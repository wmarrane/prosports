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8c36d979ef23c6/Pessoal/Documentos/Projetos/prosports_v2/personaladmin/reports/"/>
    </mc:Choice>
  </mc:AlternateContent>
  <xr:revisionPtr revIDLastSave="59" documentId="8_{08061140-7D3A-43EE-A6F1-639B358CF84B}" xr6:coauthVersionLast="47" xr6:coauthVersionMax="47" xr10:uidLastSave="{F5026109-F315-48ED-B563-B60D147DD141}"/>
  <bookViews>
    <workbookView xWindow="-93" yWindow="-93" windowWidth="23226" windowHeight="13866" tabRatio="737" xr2:uid="{52B8FA42-5539-464B-98D6-73BE6C675ABA}"/>
  </bookViews>
  <sheets>
    <sheet name="Especifico" sheetId="2" r:id="rId1"/>
    <sheet name="Grupos" sheetId="5" r:id="rId2"/>
    <sheet name="Ordem Entrada" sheetId="14" r:id="rId3"/>
    <sheet name="Chaves" sheetId="2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2" l="1"/>
  <c r="O8" i="2"/>
  <c r="N8" i="2"/>
  <c r="M8" i="2"/>
  <c r="L8" i="2"/>
  <c r="K8" i="2"/>
  <c r="J8" i="2"/>
  <c r="W55" i="5" l="1"/>
  <c r="U55" i="5"/>
  <c r="Q55" i="5"/>
  <c r="O55" i="5"/>
  <c r="K55" i="5"/>
  <c r="I55" i="5"/>
  <c r="W54" i="5"/>
  <c r="U54" i="5"/>
  <c r="Q54" i="5"/>
  <c r="O54" i="5"/>
  <c r="K54" i="5"/>
  <c r="I54" i="5"/>
  <c r="W53" i="5"/>
  <c r="U53" i="5"/>
  <c r="Q53" i="5"/>
  <c r="O53" i="5"/>
  <c r="K53" i="5"/>
  <c r="I53" i="5"/>
  <c r="W52" i="5"/>
  <c r="U52" i="5"/>
  <c r="Q52" i="5"/>
  <c r="O52" i="5"/>
  <c r="K52" i="5"/>
  <c r="I52" i="5"/>
  <c r="W51" i="5"/>
  <c r="U51" i="5"/>
  <c r="Q51" i="5"/>
  <c r="O51" i="5"/>
  <c r="K51" i="5"/>
  <c r="I51" i="5"/>
  <c r="W50" i="5"/>
  <c r="U50" i="5"/>
  <c r="Q50" i="5"/>
  <c r="O50" i="5"/>
  <c r="K50" i="5"/>
  <c r="I50" i="5"/>
  <c r="W49" i="5"/>
  <c r="U49" i="5"/>
  <c r="Q49" i="5"/>
  <c r="O49" i="5"/>
  <c r="K49" i="5"/>
  <c r="I49" i="5"/>
  <c r="W48" i="5"/>
  <c r="U48" i="5"/>
  <c r="Q48" i="5"/>
  <c r="O48" i="5"/>
  <c r="K48" i="5"/>
  <c r="I48" i="5"/>
  <c r="W47" i="5"/>
  <c r="U47" i="5"/>
  <c r="Q47" i="5"/>
  <c r="O47" i="5"/>
  <c r="K47" i="5"/>
  <c r="I47" i="5"/>
  <c r="W46" i="5"/>
  <c r="U46" i="5"/>
  <c r="Q46" i="5"/>
  <c r="O46" i="5"/>
  <c r="K46" i="5"/>
  <c r="I46" i="5"/>
  <c r="W45" i="5"/>
  <c r="U45" i="5"/>
  <c r="Q45" i="5"/>
  <c r="O45" i="5"/>
  <c r="K45" i="5"/>
  <c r="I45" i="5"/>
  <c r="W44" i="5"/>
  <c r="U44" i="5"/>
  <c r="Q44" i="5"/>
  <c r="O44" i="5"/>
  <c r="K44" i="5"/>
  <c r="I44" i="5"/>
  <c r="W43" i="5"/>
  <c r="U43" i="5"/>
  <c r="Q43" i="5"/>
  <c r="O43" i="5"/>
  <c r="K43" i="5"/>
  <c r="I43" i="5"/>
  <c r="W42" i="5"/>
  <c r="U42" i="5"/>
  <c r="Q42" i="5"/>
  <c r="O42" i="5"/>
  <c r="K42" i="5"/>
  <c r="I42" i="5"/>
  <c r="W41" i="5"/>
  <c r="U41" i="5"/>
  <c r="Q41" i="5"/>
  <c r="O41" i="5"/>
  <c r="K41" i="5"/>
  <c r="I41" i="5"/>
  <c r="W40" i="5"/>
  <c r="U40" i="5"/>
  <c r="Q40" i="5"/>
  <c r="O40" i="5"/>
  <c r="K40" i="5"/>
  <c r="I40" i="5"/>
  <c r="W39" i="5"/>
  <c r="U39" i="5"/>
  <c r="Q39" i="5"/>
  <c r="O39" i="5"/>
  <c r="K39" i="5"/>
  <c r="I39" i="5"/>
  <c r="W38" i="5"/>
  <c r="U38" i="5"/>
  <c r="Q38" i="5"/>
  <c r="O38" i="5"/>
  <c r="K38" i="5"/>
  <c r="I38" i="5"/>
  <c r="W37" i="5"/>
  <c r="U37" i="5"/>
  <c r="Q37" i="5"/>
  <c r="O37" i="5"/>
  <c r="K37" i="5"/>
  <c r="I37" i="5"/>
  <c r="W36" i="5"/>
  <c r="U36" i="5"/>
  <c r="Q36" i="5"/>
  <c r="O36" i="5"/>
  <c r="K36" i="5"/>
  <c r="I36" i="5"/>
  <c r="W35" i="5"/>
  <c r="U35" i="5"/>
  <c r="Q35" i="5"/>
  <c r="O35" i="5"/>
  <c r="K35" i="5"/>
  <c r="I35" i="5"/>
  <c r="W34" i="5"/>
  <c r="U34" i="5"/>
  <c r="Q34" i="5"/>
  <c r="O34" i="5"/>
  <c r="K34" i="5"/>
  <c r="I34" i="5"/>
  <c r="W33" i="5"/>
  <c r="U33" i="5"/>
  <c r="Q33" i="5"/>
  <c r="O33" i="5"/>
  <c r="K33" i="5"/>
  <c r="I33" i="5"/>
  <c r="W32" i="5"/>
  <c r="U32" i="5"/>
  <c r="Q32" i="5"/>
  <c r="O32" i="5"/>
  <c r="K32" i="5"/>
  <c r="I32" i="5"/>
  <c r="W31" i="5"/>
  <c r="U31" i="5"/>
  <c r="Q31" i="5"/>
  <c r="O31" i="5"/>
  <c r="K31" i="5"/>
  <c r="I31" i="5"/>
  <c r="W30" i="5"/>
  <c r="U30" i="5"/>
  <c r="Q30" i="5"/>
  <c r="O30" i="5"/>
  <c r="K30" i="5"/>
  <c r="I30" i="5"/>
  <c r="W29" i="5"/>
  <c r="U29" i="5"/>
  <c r="Q29" i="5"/>
  <c r="O29" i="5"/>
  <c r="K29" i="5"/>
  <c r="I29" i="5"/>
  <c r="W28" i="5"/>
  <c r="U28" i="5"/>
  <c r="Q28" i="5"/>
  <c r="O28" i="5"/>
  <c r="K28" i="5"/>
  <c r="I28" i="5"/>
  <c r="W27" i="5"/>
  <c r="U27" i="5"/>
  <c r="Q27" i="5"/>
  <c r="O27" i="5"/>
  <c r="K27" i="5"/>
  <c r="I27" i="5"/>
  <c r="W26" i="5"/>
  <c r="U26" i="5"/>
  <c r="Q26" i="5"/>
  <c r="O26" i="5"/>
  <c r="K26" i="5"/>
  <c r="I26" i="5"/>
  <c r="W25" i="5"/>
  <c r="U25" i="5"/>
  <c r="Q25" i="5"/>
  <c r="O25" i="5"/>
  <c r="K25" i="5"/>
  <c r="I25" i="5"/>
  <c r="W24" i="5"/>
  <c r="U24" i="5"/>
  <c r="Q24" i="5"/>
  <c r="O24" i="5"/>
  <c r="K24" i="5"/>
  <c r="I24" i="5"/>
  <c r="W23" i="5"/>
  <c r="U23" i="5"/>
  <c r="Q23" i="5"/>
  <c r="O23" i="5"/>
  <c r="K23" i="5"/>
  <c r="I23" i="5"/>
  <c r="W22" i="5"/>
  <c r="U22" i="5"/>
  <c r="Q22" i="5"/>
  <c r="O22" i="5"/>
  <c r="K22" i="5"/>
  <c r="I22" i="5"/>
  <c r="W21" i="5"/>
  <c r="U21" i="5"/>
  <c r="Q21" i="5"/>
  <c r="O21" i="5"/>
  <c r="K21" i="5"/>
  <c r="I21" i="5"/>
  <c r="W20" i="5"/>
  <c r="U20" i="5"/>
  <c r="Q20" i="5"/>
  <c r="O20" i="5"/>
  <c r="K20" i="5"/>
  <c r="I20" i="5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7" i="14"/>
  <c r="E8" i="14" s="1"/>
  <c r="E9" i="14" s="1"/>
  <c r="E10" i="14" s="1"/>
  <c r="N22" i="28" l="1"/>
  <c r="H15" i="28"/>
  <c r="J15" i="28" s="1"/>
  <c r="L14" i="28"/>
  <c r="H13" i="28"/>
  <c r="J13" i="28" s="1"/>
  <c r="N11" i="28"/>
  <c r="H11" i="28"/>
  <c r="J10" i="28"/>
  <c r="H9" i="28"/>
  <c r="L8" i="28"/>
  <c r="H6" i="28"/>
  <c r="J6" i="28" s="1"/>
  <c r="C7" i="28"/>
  <c r="D2" i="28"/>
  <c r="L25" i="28" l="1"/>
  <c r="L19" i="28"/>
  <c r="M7" i="14" l="1"/>
  <c r="M8" i="14" s="1"/>
  <c r="M9" i="14" s="1"/>
  <c r="M10" i="14" s="1"/>
  <c r="M11" i="14" s="1"/>
  <c r="M12" i="14" s="1"/>
  <c r="M13" i="14" s="1"/>
  <c r="M14" i="14" s="1"/>
  <c r="M15" i="14" s="1"/>
  <c r="M16" i="14" s="1"/>
  <c r="M17" i="14" s="1"/>
  <c r="M18" i="14" s="1"/>
  <c r="M19" i="14" s="1"/>
  <c r="M20" i="14" s="1"/>
  <c r="M21" i="14" s="1"/>
  <c r="M22" i="14" s="1"/>
  <c r="M23" i="14" s="1"/>
  <c r="M24" i="14" s="1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K6" i="14"/>
  <c r="C6" i="14"/>
  <c r="D2" i="14"/>
  <c r="C6" i="5"/>
  <c r="C8" i="2"/>
  <c r="D8" i="2"/>
  <c r="E8" i="2"/>
  <c r="F8" i="2"/>
  <c r="G8" i="2"/>
  <c r="H8" i="2"/>
  <c r="B8" i="2"/>
  <c r="D2" i="5" l="1"/>
</calcChain>
</file>

<file path=xl/sharedStrings.xml><?xml version="1.0" encoding="utf-8"?>
<sst xmlns="http://schemas.openxmlformats.org/spreadsheetml/2006/main" count="275" uniqueCount="70">
  <si>
    <t>A</t>
  </si>
  <si>
    <t>B</t>
  </si>
  <si>
    <t>C</t>
  </si>
  <si>
    <t>D</t>
  </si>
  <si>
    <t>E</t>
  </si>
  <si>
    <t>F</t>
  </si>
  <si>
    <t>G</t>
  </si>
  <si>
    <t>BOCHA</t>
  </si>
  <si>
    <t>Modalidade (Inscritos)</t>
  </si>
  <si>
    <t>Data</t>
  </si>
  <si>
    <t>Grupo A</t>
  </si>
  <si>
    <t>Grupo B</t>
  </si>
  <si>
    <t>Grupo C</t>
  </si>
  <si>
    <t>Grupo D</t>
  </si>
  <si>
    <t>Grupo E</t>
  </si>
  <si>
    <t>Grupo F</t>
  </si>
  <si>
    <t>#</t>
  </si>
  <si>
    <t>PROGRAMAÇÃO</t>
  </si>
  <si>
    <t>1ª RODADA</t>
  </si>
  <si>
    <t>2ª RODADA</t>
  </si>
  <si>
    <t>3ª RODADA</t>
  </si>
  <si>
    <t>Local</t>
  </si>
  <si>
    <t>Endereço</t>
  </si>
  <si>
    <t>Horário</t>
  </si>
  <si>
    <t>Modalidade</t>
  </si>
  <si>
    <t>Equipe</t>
  </si>
  <si>
    <t>x</t>
  </si>
  <si>
    <t>GRUPOS</t>
  </si>
  <si>
    <t>Cidade Sede</t>
  </si>
  <si>
    <t>COREOGRAFIA A</t>
  </si>
  <si>
    <t>ORDEM DE ENTRADA</t>
  </si>
  <si>
    <t>COREOGRAFIA B</t>
  </si>
  <si>
    <t>ATLETISMO FEMININO</t>
  </si>
  <si>
    <t>ATLETISMO MASCULINO</t>
  </si>
  <si>
    <t>j2</t>
  </si>
  <si>
    <t>j1</t>
  </si>
  <si>
    <t>1º / 2 º</t>
  </si>
  <si>
    <t>j4</t>
  </si>
  <si>
    <t>3º / 4 º</t>
  </si>
  <si>
    <t>j3</t>
  </si>
  <si>
    <t>j5</t>
  </si>
  <si>
    <t>TÊNIS INDIVIDUAL MASCULINO A</t>
  </si>
  <si>
    <t>Botucatu</t>
  </si>
  <si>
    <t>Conchas</t>
  </si>
  <si>
    <t>Igaraçu do Tietê</t>
  </si>
  <si>
    <t>Lençóis Paulista</t>
  </si>
  <si>
    <t>Lins</t>
  </si>
  <si>
    <t>Macatuba</t>
  </si>
  <si>
    <t>Pederneiras</t>
  </si>
  <si>
    <t>Piracicaba</t>
  </si>
  <si>
    <t>Promissão</t>
  </si>
  <si>
    <t>Santa Rita do Passa Quatro</t>
  </si>
  <si>
    <t>São Pedro</t>
  </si>
  <si>
    <t>Arealva</t>
  </si>
  <si>
    <t>Jaú</t>
  </si>
  <si>
    <t>Pirassununga</t>
  </si>
  <si>
    <t>Reginópolis</t>
  </si>
  <si>
    <t>Barra Bonita</t>
  </si>
  <si>
    <t>Descalvado</t>
  </si>
  <si>
    <t>São Manuel</t>
  </si>
  <si>
    <t>Porto Ferreira</t>
  </si>
  <si>
    <t>Brotas</t>
  </si>
  <si>
    <t>Boracéia</t>
  </si>
  <si>
    <t>Cafelândia</t>
  </si>
  <si>
    <t>Pratânia</t>
  </si>
  <si>
    <t>Saltinho</t>
  </si>
  <si>
    <t>São Carlos</t>
  </si>
  <si>
    <t>Itirapina</t>
  </si>
  <si>
    <t>Bofete</t>
  </si>
  <si>
    <t>lOGOtIPO PROSPORTS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</si>
</sst>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" fillId="3" borderId="0" xfId="0" applyFont="1" applyFill="1"/>
    <xf numFmtId="0" fontId="7" fillId="0" borderId="0" xfId="0" applyFon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2" xfId="0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11" xfId="0" applyFont="1" applyBorder="1" applyAlignment="1">
      <alignment horizontal="center"/>
    </xf>
    <xf numFmtId="0" fontId="9" fillId="0" borderId="0" xfId="0" applyFont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6" fillId="3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8" fillId="3" borderId="0" xfId="0" applyFont="1" applyFill="1" applyAlignment="1">
      <alignment horizontal="left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CF04F9-D3E2-49C9-B952-3A2CE93B84CF}" name="Tabela1" displayName="Tabela1" ref="F6:L10" totalsRowShown="0" headerRowDxfId="8" dataDxfId="7">
  <tableColumns count="7">
    <tableColumn id="1" xr3:uid="{6CD3BB56-4D1D-49DA-9740-36DEDC5CF38C}" name="#" dataDxfId="6"/>
    <tableColumn id="2" xr3:uid="{F1BE95DE-C146-47F3-A583-A284593FFF39}" name="Grupo A" dataDxfId="5"/>
    <tableColumn id="3" xr3:uid="{561CCB6A-93E3-4A3E-B58D-CA6213889527}" name="Grupo B" dataDxfId="4"/>
    <tableColumn id="4" xr3:uid="{748C8BB1-4CBB-4B47-AC19-1AFD5DF0D467}" name="Grupo C" dataDxfId="3"/>
    <tableColumn id="5" xr3:uid="{1CF58A37-C832-4E93-A5B5-FF7074E74821}" name="Grupo D" dataDxfId="2"/>
    <tableColumn id="6" xr3:uid="{6C2292D8-B6F6-461A-984C-73B5FC648B30}" name="Grupo E" dataDxfId="1"/>
    <tableColumn id="7" xr3:uid="{40CCFAB8-C510-4B38-933D-4D4F40E5140E}" name="Grupo 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0C96-1E36-4300-BE4B-CD43568FF4AA}">
  <sheetPr codeName="Planilha2"/>
  <dimension ref="A2:P122"/>
  <sheetViews>
    <sheetView showGridLines="0" tabSelected="1" workbookViewId="0">
      <selection activeCell="E14" sqref="E14"/>
    </sheetView>
  </sheetViews>
  <sheetFormatPr defaultRowHeight="14.35" x14ac:dyDescent="0.5"/>
  <cols>
    <col min="1" max="1" width="10.703125" bestFit="1" customWidth="1"/>
    <col min="2" max="3" width="17.29296875" bestFit="1" customWidth="1"/>
    <col min="4" max="5" width="14.9375" bestFit="1" customWidth="1"/>
    <col min="6" max="6" width="18.46875" bestFit="1" customWidth="1"/>
    <col min="7" max="7" width="14.9375" customWidth="1"/>
    <col min="8" max="8" width="18.3515625" bestFit="1" customWidth="1"/>
  </cols>
  <sheetData>
    <row r="2" spans="1:16" s="36" customFormat="1" ht="20.7" x14ac:dyDescent="0.7">
      <c r="A2" s="38" t="s">
        <v>69</v>
      </c>
      <c r="B2" s="39"/>
      <c r="C2" s="4" t="s">
        <v>28</v>
      </c>
      <c r="D2" s="42" t="s">
        <v>59</v>
      </c>
      <c r="E2" s="42"/>
      <c r="F2" s="42"/>
      <c r="G2" s="42"/>
      <c r="H2" s="42"/>
    </row>
    <row r="3" spans="1:16" s="36" customFormat="1" ht="20.7" x14ac:dyDescent="0.7">
      <c r="A3" s="40"/>
      <c r="B3" s="41"/>
      <c r="D3" s="37"/>
      <c r="E3" s="35"/>
    </row>
    <row r="4" spans="1:16" ht="20.7" x14ac:dyDescent="0.7">
      <c r="A4" s="4"/>
      <c r="B4" s="35"/>
    </row>
    <row r="5" spans="1:16" ht="14.45" customHeight="1" x14ac:dyDescent="0.5">
      <c r="B5" s="31" t="s">
        <v>32</v>
      </c>
      <c r="C5" s="31"/>
      <c r="D5" s="31"/>
      <c r="E5" s="31"/>
      <c r="F5" s="31"/>
      <c r="G5" s="31"/>
      <c r="H5" s="31"/>
      <c r="I5" s="2"/>
      <c r="J5" s="31" t="s">
        <v>33</v>
      </c>
      <c r="K5" s="31"/>
      <c r="L5" s="31"/>
      <c r="M5" s="31"/>
      <c r="N5" s="31"/>
      <c r="O5" s="31"/>
      <c r="P5" s="31"/>
    </row>
    <row r="6" spans="1:16" ht="14.45" customHeight="1" x14ac:dyDescent="0.5">
      <c r="B6" s="31"/>
      <c r="C6" s="31"/>
      <c r="D6" s="31"/>
      <c r="E6" s="31"/>
      <c r="F6" s="31"/>
      <c r="G6" s="31"/>
      <c r="H6" s="31"/>
      <c r="I6" s="2"/>
      <c r="J6" s="31"/>
      <c r="K6" s="31"/>
      <c r="L6" s="31"/>
      <c r="M6" s="31"/>
      <c r="N6" s="31"/>
      <c r="O6" s="31"/>
      <c r="P6" s="31"/>
    </row>
    <row r="7" spans="1:16" ht="18.350000000000001" x14ac:dyDescent="0.65">
      <c r="B7" s="5" t="s">
        <v>0</v>
      </c>
      <c r="C7" s="5" t="s">
        <v>1</v>
      </c>
      <c r="D7" s="5" t="s">
        <v>2</v>
      </c>
      <c r="E7" s="5" t="s">
        <v>3</v>
      </c>
      <c r="F7" s="5" t="s">
        <v>4</v>
      </c>
      <c r="G7" s="5" t="s">
        <v>5</v>
      </c>
      <c r="H7" s="5" t="s">
        <v>6</v>
      </c>
      <c r="J7" s="5" t="s">
        <v>0</v>
      </c>
      <c r="K7" s="5" t="s">
        <v>1</v>
      </c>
      <c r="L7" s="5" t="s">
        <v>2</v>
      </c>
      <c r="M7" s="5" t="s">
        <v>3</v>
      </c>
      <c r="N7" s="5" t="s">
        <v>4</v>
      </c>
      <c r="O7" s="5" t="s">
        <v>5</v>
      </c>
      <c r="P7" s="5" t="s">
        <v>6</v>
      </c>
    </row>
    <row r="8" spans="1:16" ht="15.7" x14ac:dyDescent="0.55000000000000004">
      <c r="B8" s="6">
        <f>COUNTA(B9:B82)</f>
        <v>0</v>
      </c>
      <c r="C8" s="6">
        <f t="shared" ref="C8:H8" si="0">COUNTA(C9:C82)</f>
        <v>0</v>
      </c>
      <c r="D8" s="6">
        <f t="shared" si="0"/>
        <v>0</v>
      </c>
      <c r="E8" s="6">
        <f t="shared" si="0"/>
        <v>0</v>
      </c>
      <c r="F8" s="6">
        <f t="shared" si="0"/>
        <v>0</v>
      </c>
      <c r="G8" s="6">
        <f t="shared" si="0"/>
        <v>0</v>
      </c>
      <c r="H8" s="6">
        <f t="shared" si="0"/>
        <v>0</v>
      </c>
      <c r="J8" s="6">
        <f>COUNTA(J9:J82)</f>
        <v>0</v>
      </c>
      <c r="K8" s="6">
        <f t="shared" ref="K8:P8" si="1">COUNTA(K9:K82)</f>
        <v>0</v>
      </c>
      <c r="L8" s="6">
        <f t="shared" si="1"/>
        <v>0</v>
      </c>
      <c r="M8" s="6">
        <f t="shared" si="1"/>
        <v>0</v>
      </c>
      <c r="N8" s="6">
        <f t="shared" si="1"/>
        <v>0</v>
      </c>
      <c r="O8" s="6">
        <f t="shared" si="1"/>
        <v>0</v>
      </c>
      <c r="P8" s="6">
        <f t="shared" si="1"/>
        <v>0</v>
      </c>
    </row>
    <row r="9" spans="1:16" x14ac:dyDescent="0.5">
      <c r="B9" s="4"/>
      <c r="C9" s="4"/>
      <c r="D9" s="4"/>
      <c r="E9" s="4"/>
      <c r="F9" s="4"/>
      <c r="G9" s="4"/>
      <c r="H9" s="4"/>
    </row>
    <row r="10" spans="1:16" x14ac:dyDescent="0.5">
      <c r="B10" s="4"/>
      <c r="C10" s="4"/>
      <c r="D10" s="4"/>
      <c r="E10" s="4"/>
      <c r="F10" s="4"/>
      <c r="G10" s="4"/>
      <c r="H10" s="4"/>
    </row>
    <row r="11" spans="1:16" x14ac:dyDescent="0.5">
      <c r="B11" s="4"/>
      <c r="C11" s="4"/>
      <c r="D11" s="4"/>
      <c r="E11" s="4"/>
      <c r="F11" s="4"/>
      <c r="G11" s="4"/>
      <c r="H11" s="4"/>
    </row>
    <row r="12" spans="1:16" x14ac:dyDescent="0.5">
      <c r="B12" s="4"/>
      <c r="C12" s="4"/>
      <c r="D12" s="4"/>
      <c r="E12" s="4"/>
      <c r="F12" s="4"/>
      <c r="G12" s="4"/>
      <c r="H12" s="4"/>
    </row>
    <row r="13" spans="1:16" x14ac:dyDescent="0.5">
      <c r="B13" s="4"/>
      <c r="C13" s="4"/>
      <c r="D13" s="4"/>
      <c r="E13" s="4"/>
      <c r="F13" s="4"/>
      <c r="G13" s="4"/>
      <c r="H13" s="4"/>
    </row>
    <row r="14" spans="1:16" x14ac:dyDescent="0.5">
      <c r="B14" s="4"/>
      <c r="C14" s="4"/>
      <c r="D14" s="4"/>
      <c r="E14" s="4"/>
      <c r="F14" s="4"/>
      <c r="G14" s="4"/>
      <c r="H14" s="4"/>
    </row>
    <row r="15" spans="1:16" x14ac:dyDescent="0.5">
      <c r="B15" s="4"/>
      <c r="C15" s="4"/>
      <c r="D15" s="4"/>
      <c r="E15" s="4"/>
      <c r="F15" s="4"/>
      <c r="G15" s="4"/>
      <c r="H15" s="4"/>
    </row>
    <row r="16" spans="1:16" x14ac:dyDescent="0.5">
      <c r="B16" s="4"/>
      <c r="C16" s="4"/>
      <c r="D16" s="4"/>
      <c r="E16" s="4"/>
      <c r="F16" s="4"/>
      <c r="G16" s="4"/>
      <c r="H16" s="4"/>
    </row>
    <row r="17" spans="2:8" x14ac:dyDescent="0.5">
      <c r="B17" s="4"/>
      <c r="C17" s="4"/>
      <c r="D17" s="4"/>
      <c r="E17" s="4"/>
      <c r="F17" s="4"/>
      <c r="G17" s="4"/>
      <c r="H17" s="4"/>
    </row>
    <row r="18" spans="2:8" x14ac:dyDescent="0.5">
      <c r="B18" s="4"/>
      <c r="C18" s="4"/>
      <c r="D18" s="4"/>
      <c r="E18" s="4"/>
      <c r="F18" s="4"/>
      <c r="G18" s="4"/>
      <c r="H18" s="4"/>
    </row>
    <row r="19" spans="2:8" x14ac:dyDescent="0.5">
      <c r="B19" s="4"/>
      <c r="C19" s="4"/>
      <c r="D19" s="4"/>
      <c r="E19" s="4"/>
      <c r="F19" s="4"/>
      <c r="G19" s="4"/>
      <c r="H19" s="4"/>
    </row>
    <row r="20" spans="2:8" x14ac:dyDescent="0.5">
      <c r="B20" s="4"/>
      <c r="C20" s="4"/>
      <c r="D20" s="4"/>
      <c r="E20" s="4"/>
      <c r="F20" s="4"/>
      <c r="G20" s="4"/>
      <c r="H20" s="4"/>
    </row>
    <row r="21" spans="2:8" x14ac:dyDescent="0.5">
      <c r="B21" s="4"/>
      <c r="C21" s="4"/>
      <c r="D21" s="4"/>
      <c r="E21" s="4"/>
      <c r="F21" s="4"/>
      <c r="G21" s="4"/>
      <c r="H21" s="4"/>
    </row>
    <row r="22" spans="2:8" x14ac:dyDescent="0.5">
      <c r="B22" s="4"/>
      <c r="C22" s="4"/>
      <c r="D22" s="4"/>
      <c r="E22" s="4"/>
      <c r="F22" s="4"/>
      <c r="G22" s="4"/>
      <c r="H22" s="4"/>
    </row>
    <row r="23" spans="2:8" x14ac:dyDescent="0.5">
      <c r="B23" s="4"/>
      <c r="C23" s="4"/>
      <c r="D23" s="4"/>
      <c r="E23" s="4"/>
      <c r="F23" s="4"/>
      <c r="G23" s="4"/>
      <c r="H23" s="4"/>
    </row>
    <row r="24" spans="2:8" x14ac:dyDescent="0.5">
      <c r="B24" s="4"/>
      <c r="C24" s="4"/>
      <c r="D24" s="4"/>
      <c r="E24" s="4"/>
      <c r="F24" s="4"/>
      <c r="G24" s="4"/>
      <c r="H24" s="4"/>
    </row>
    <row r="25" spans="2:8" x14ac:dyDescent="0.5">
      <c r="B25" s="4"/>
      <c r="C25" s="4"/>
      <c r="D25" s="4"/>
      <c r="E25" s="4"/>
      <c r="F25" s="4"/>
      <c r="G25" s="4"/>
      <c r="H25" s="4"/>
    </row>
    <row r="26" spans="2:8" x14ac:dyDescent="0.5">
      <c r="B26" s="4"/>
      <c r="C26" s="4"/>
      <c r="D26" s="4"/>
      <c r="E26" s="4"/>
      <c r="F26" s="4"/>
      <c r="G26" s="4"/>
      <c r="H26" s="4"/>
    </row>
    <row r="27" spans="2:8" x14ac:dyDescent="0.5">
      <c r="B27" s="4"/>
      <c r="C27" s="4"/>
      <c r="D27" s="4"/>
      <c r="E27" s="4"/>
      <c r="F27" s="4"/>
      <c r="G27" s="4"/>
      <c r="H27" s="4"/>
    </row>
    <row r="28" spans="2:8" x14ac:dyDescent="0.5">
      <c r="B28" s="4"/>
      <c r="C28" s="4"/>
      <c r="D28" s="4"/>
      <c r="E28" s="4"/>
      <c r="F28" s="4"/>
      <c r="G28" s="4"/>
      <c r="H28" s="4"/>
    </row>
    <row r="29" spans="2:8" x14ac:dyDescent="0.5">
      <c r="B29" s="4"/>
      <c r="C29" s="4"/>
      <c r="D29" s="4"/>
      <c r="E29" s="4"/>
      <c r="F29" s="4"/>
      <c r="G29" s="4"/>
      <c r="H29" s="4"/>
    </row>
    <row r="30" spans="2:8" x14ac:dyDescent="0.5">
      <c r="B30" s="4"/>
      <c r="C30" s="4"/>
      <c r="D30" s="4"/>
      <c r="E30" s="4"/>
      <c r="F30" s="4"/>
      <c r="G30" s="4"/>
      <c r="H30" s="4"/>
    </row>
    <row r="31" spans="2:8" x14ac:dyDescent="0.5">
      <c r="B31" s="4"/>
      <c r="C31" s="4"/>
      <c r="D31" s="4"/>
      <c r="E31" s="4"/>
      <c r="F31" s="4"/>
      <c r="G31" s="4"/>
      <c r="H31" s="4"/>
    </row>
    <row r="32" spans="2:8" x14ac:dyDescent="0.5">
      <c r="B32" s="4"/>
      <c r="C32" s="4"/>
      <c r="D32" s="4"/>
      <c r="E32" s="4"/>
      <c r="F32" s="4"/>
      <c r="G32" s="4"/>
      <c r="H32" s="4"/>
    </row>
    <row r="33" spans="2:8" x14ac:dyDescent="0.5">
      <c r="B33" s="4"/>
      <c r="C33" s="4"/>
      <c r="D33" s="4"/>
      <c r="E33" s="4"/>
      <c r="F33" s="4"/>
      <c r="G33" s="4"/>
      <c r="H33" s="4"/>
    </row>
    <row r="34" spans="2:8" x14ac:dyDescent="0.5">
      <c r="B34" s="4"/>
      <c r="C34" s="4"/>
      <c r="D34" s="4"/>
      <c r="E34" s="4"/>
      <c r="F34" s="4"/>
      <c r="G34" s="4"/>
      <c r="H34" s="4"/>
    </row>
    <row r="35" spans="2:8" x14ac:dyDescent="0.5">
      <c r="B35" s="4"/>
      <c r="C35" s="4"/>
      <c r="D35" s="4"/>
      <c r="E35" s="4"/>
      <c r="F35" s="4"/>
      <c r="G35" s="4"/>
      <c r="H35" s="4"/>
    </row>
    <row r="36" spans="2:8" x14ac:dyDescent="0.5">
      <c r="B36" s="4"/>
      <c r="C36" s="4"/>
      <c r="D36" s="4"/>
      <c r="E36" s="4"/>
      <c r="F36" s="4"/>
      <c r="G36" s="4"/>
      <c r="H36" s="4"/>
    </row>
    <row r="37" spans="2:8" x14ac:dyDescent="0.5">
      <c r="B37" s="4"/>
      <c r="C37" s="4"/>
      <c r="D37" s="4"/>
      <c r="E37" s="4"/>
      <c r="F37" s="4"/>
      <c r="G37" s="4"/>
      <c r="H37" s="4"/>
    </row>
    <row r="38" spans="2:8" x14ac:dyDescent="0.5">
      <c r="B38" s="4"/>
      <c r="C38" s="4"/>
      <c r="D38" s="4"/>
      <c r="E38" s="4"/>
      <c r="F38" s="4"/>
      <c r="G38" s="4"/>
      <c r="H38" s="4"/>
    </row>
    <row r="39" spans="2:8" x14ac:dyDescent="0.5">
      <c r="B39" s="4"/>
      <c r="C39" s="4"/>
      <c r="D39" s="4"/>
      <c r="E39" s="4"/>
      <c r="F39" s="4"/>
      <c r="G39" s="4"/>
      <c r="H39" s="4"/>
    </row>
    <row r="40" spans="2:8" x14ac:dyDescent="0.5">
      <c r="B40" s="4"/>
      <c r="C40" s="4"/>
      <c r="D40" s="4"/>
      <c r="E40" s="4"/>
      <c r="F40" s="4"/>
      <c r="G40" s="4"/>
      <c r="H40" s="4"/>
    </row>
    <row r="41" spans="2:8" x14ac:dyDescent="0.5">
      <c r="B41" s="4"/>
      <c r="C41" s="4"/>
      <c r="D41" s="4"/>
      <c r="E41" s="4"/>
      <c r="F41" s="4"/>
      <c r="G41" s="4"/>
      <c r="H41" s="4"/>
    </row>
    <row r="42" spans="2:8" x14ac:dyDescent="0.5">
      <c r="B42" s="4"/>
      <c r="C42" s="4"/>
      <c r="D42" s="4"/>
      <c r="E42" s="4"/>
      <c r="F42" s="4"/>
      <c r="G42" s="4"/>
      <c r="H42" s="4"/>
    </row>
    <row r="43" spans="2:8" x14ac:dyDescent="0.5">
      <c r="B43" s="4"/>
      <c r="C43" s="4"/>
      <c r="D43" s="4"/>
      <c r="E43" s="4"/>
      <c r="F43" s="4"/>
      <c r="G43" s="4"/>
      <c r="H43" s="4"/>
    </row>
    <row r="44" spans="2:8" x14ac:dyDescent="0.5">
      <c r="B44" s="4"/>
      <c r="C44" s="4"/>
      <c r="D44" s="4"/>
      <c r="E44" s="4"/>
      <c r="F44" s="4"/>
      <c r="G44" s="4"/>
      <c r="H44" s="4"/>
    </row>
    <row r="45" spans="2:8" x14ac:dyDescent="0.5">
      <c r="B45" s="4"/>
      <c r="C45" s="4"/>
      <c r="D45" s="4"/>
      <c r="E45" s="4"/>
      <c r="F45" s="4"/>
      <c r="G45" s="4"/>
      <c r="H45" s="4"/>
    </row>
    <row r="46" spans="2:8" x14ac:dyDescent="0.5">
      <c r="B46" s="4"/>
      <c r="C46" s="4"/>
      <c r="D46" s="4"/>
      <c r="E46" s="4"/>
      <c r="F46" s="4"/>
      <c r="G46" s="4"/>
      <c r="H46" s="4"/>
    </row>
    <row r="47" spans="2:8" x14ac:dyDescent="0.5">
      <c r="B47" s="4"/>
      <c r="C47" s="4"/>
      <c r="D47" s="4"/>
      <c r="E47" s="4"/>
      <c r="F47" s="4"/>
      <c r="G47" s="4"/>
      <c r="H47" s="4"/>
    </row>
    <row r="48" spans="2:8" x14ac:dyDescent="0.5">
      <c r="B48" s="4"/>
      <c r="C48" s="4"/>
      <c r="D48" s="4"/>
      <c r="E48" s="4"/>
      <c r="F48" s="4"/>
      <c r="G48" s="4"/>
      <c r="H48" s="4"/>
    </row>
    <row r="49" spans="2:8" x14ac:dyDescent="0.5">
      <c r="B49" s="4"/>
      <c r="C49" s="4"/>
      <c r="D49" s="4"/>
      <c r="E49" s="4"/>
      <c r="F49" s="4"/>
      <c r="G49" s="4"/>
      <c r="H49" s="4"/>
    </row>
    <row r="50" spans="2:8" x14ac:dyDescent="0.5">
      <c r="B50" s="4"/>
      <c r="C50" s="4"/>
      <c r="D50" s="4"/>
      <c r="E50" s="4"/>
      <c r="F50" s="4"/>
      <c r="G50" s="4"/>
      <c r="H50" s="4"/>
    </row>
    <row r="51" spans="2:8" x14ac:dyDescent="0.5">
      <c r="B51" s="4"/>
      <c r="C51" s="4"/>
      <c r="D51" s="4"/>
      <c r="E51" s="4"/>
      <c r="F51" s="4"/>
      <c r="G51" s="4"/>
      <c r="H51" s="4"/>
    </row>
    <row r="52" spans="2:8" x14ac:dyDescent="0.5">
      <c r="B52" s="4"/>
      <c r="C52" s="4"/>
      <c r="D52" s="4"/>
      <c r="E52" s="4"/>
      <c r="F52" s="4"/>
      <c r="G52" s="4"/>
      <c r="H52" s="4"/>
    </row>
    <row r="53" spans="2:8" x14ac:dyDescent="0.5">
      <c r="B53" s="4"/>
      <c r="C53" s="4"/>
      <c r="D53" s="4"/>
      <c r="E53" s="4"/>
      <c r="F53" s="4"/>
      <c r="G53" s="4"/>
      <c r="H53" s="4"/>
    </row>
    <row r="54" spans="2:8" x14ac:dyDescent="0.5">
      <c r="B54" s="4"/>
      <c r="C54" s="4"/>
      <c r="D54" s="4"/>
      <c r="E54" s="4"/>
      <c r="F54" s="4"/>
      <c r="G54" s="4"/>
      <c r="H54" s="4"/>
    </row>
    <row r="55" spans="2:8" x14ac:dyDescent="0.5">
      <c r="B55" s="4"/>
      <c r="C55" s="4"/>
      <c r="D55" s="4"/>
      <c r="E55" s="4"/>
      <c r="F55" s="4"/>
      <c r="G55" s="4"/>
      <c r="H55" s="4"/>
    </row>
    <row r="56" spans="2:8" x14ac:dyDescent="0.5">
      <c r="B56" s="4"/>
      <c r="C56" s="4"/>
      <c r="D56" s="4"/>
      <c r="E56" s="4"/>
      <c r="F56" s="4"/>
      <c r="G56" s="4"/>
      <c r="H56" s="4"/>
    </row>
    <row r="57" spans="2:8" x14ac:dyDescent="0.5">
      <c r="B57" s="4"/>
      <c r="C57" s="4"/>
      <c r="D57" s="4"/>
      <c r="E57" s="4"/>
      <c r="F57" s="4"/>
      <c r="G57" s="4"/>
      <c r="H57" s="4"/>
    </row>
    <row r="58" spans="2:8" x14ac:dyDescent="0.5">
      <c r="B58" s="4"/>
      <c r="C58" s="4"/>
      <c r="D58" s="4"/>
      <c r="E58" s="4"/>
      <c r="F58" s="4"/>
      <c r="G58" s="4"/>
      <c r="H58" s="4"/>
    </row>
    <row r="59" spans="2:8" x14ac:dyDescent="0.5">
      <c r="B59" s="4"/>
      <c r="C59" s="4"/>
      <c r="D59" s="4"/>
      <c r="E59" s="4"/>
      <c r="F59" s="4"/>
      <c r="G59" s="4"/>
      <c r="H59" s="4"/>
    </row>
    <row r="60" spans="2:8" x14ac:dyDescent="0.5">
      <c r="B60" s="4"/>
      <c r="C60" s="4"/>
      <c r="D60" s="4"/>
      <c r="E60" s="4"/>
      <c r="F60" s="4"/>
      <c r="G60" s="4"/>
      <c r="H60" s="4"/>
    </row>
    <row r="61" spans="2:8" x14ac:dyDescent="0.5">
      <c r="B61" s="4"/>
      <c r="C61" s="4"/>
      <c r="D61" s="4"/>
      <c r="E61" s="4"/>
      <c r="F61" s="4"/>
      <c r="G61" s="4"/>
      <c r="H61" s="4"/>
    </row>
    <row r="62" spans="2:8" x14ac:dyDescent="0.5">
      <c r="B62" s="4"/>
      <c r="C62" s="4"/>
      <c r="D62" s="4"/>
      <c r="E62" s="4"/>
      <c r="F62" s="4"/>
      <c r="G62" s="4"/>
      <c r="H62" s="4"/>
    </row>
    <row r="63" spans="2:8" x14ac:dyDescent="0.5">
      <c r="B63" s="4"/>
      <c r="C63" s="4"/>
      <c r="D63" s="4"/>
      <c r="E63" s="4"/>
      <c r="F63" s="4"/>
      <c r="G63" s="4"/>
      <c r="H63" s="4"/>
    </row>
    <row r="64" spans="2:8" x14ac:dyDescent="0.5">
      <c r="B64" s="4"/>
      <c r="C64" s="4"/>
      <c r="D64" s="4"/>
      <c r="E64" s="4"/>
      <c r="F64" s="4"/>
      <c r="G64" s="4"/>
      <c r="H64" s="4"/>
    </row>
    <row r="65" spans="2:8" x14ac:dyDescent="0.5">
      <c r="B65" s="4"/>
      <c r="C65" s="4"/>
      <c r="D65" s="4"/>
      <c r="E65" s="4"/>
      <c r="F65" s="4"/>
      <c r="G65" s="4"/>
      <c r="H65" s="4"/>
    </row>
    <row r="66" spans="2:8" x14ac:dyDescent="0.5">
      <c r="B66" s="4"/>
      <c r="C66" s="4"/>
      <c r="D66" s="4"/>
      <c r="E66" s="4"/>
      <c r="F66" s="4"/>
      <c r="G66" s="4"/>
      <c r="H66" s="4"/>
    </row>
    <row r="67" spans="2:8" x14ac:dyDescent="0.5">
      <c r="B67" s="4"/>
      <c r="C67" s="4"/>
      <c r="D67" s="4"/>
      <c r="E67" s="4"/>
      <c r="F67" s="4"/>
      <c r="G67" s="4"/>
      <c r="H67" s="4"/>
    </row>
    <row r="68" spans="2:8" x14ac:dyDescent="0.5">
      <c r="B68" s="4"/>
      <c r="C68" s="4"/>
      <c r="D68" s="4"/>
      <c r="E68" s="4"/>
      <c r="F68" s="4"/>
      <c r="G68" s="4"/>
      <c r="H68" s="4"/>
    </row>
    <row r="69" spans="2:8" x14ac:dyDescent="0.5">
      <c r="B69" s="4"/>
      <c r="C69" s="4"/>
      <c r="D69" s="4"/>
      <c r="E69" s="4"/>
      <c r="F69" s="4"/>
      <c r="G69" s="4"/>
      <c r="H69" s="4"/>
    </row>
    <row r="70" spans="2:8" x14ac:dyDescent="0.5">
      <c r="B70" s="4"/>
      <c r="C70" s="4"/>
      <c r="D70" s="4"/>
      <c r="E70" s="4"/>
      <c r="F70" s="4"/>
      <c r="G70" s="4"/>
      <c r="H70" s="4"/>
    </row>
    <row r="71" spans="2:8" x14ac:dyDescent="0.5">
      <c r="B71" s="4"/>
      <c r="C71" s="4"/>
      <c r="D71" s="4"/>
      <c r="E71" s="4"/>
      <c r="F71" s="4"/>
      <c r="G71" s="4"/>
      <c r="H71" s="4"/>
    </row>
    <row r="72" spans="2:8" x14ac:dyDescent="0.5">
      <c r="B72" s="4"/>
      <c r="C72" s="4"/>
      <c r="D72" s="4"/>
      <c r="E72" s="4"/>
      <c r="F72" s="4"/>
      <c r="G72" s="4"/>
      <c r="H72" s="4"/>
    </row>
    <row r="73" spans="2:8" x14ac:dyDescent="0.5">
      <c r="B73" s="4"/>
      <c r="C73" s="4"/>
      <c r="D73" s="4"/>
      <c r="E73" s="4"/>
      <c r="F73" s="4"/>
      <c r="G73" s="4"/>
      <c r="H73" s="4"/>
    </row>
    <row r="74" spans="2:8" x14ac:dyDescent="0.5">
      <c r="B74" s="4"/>
      <c r="C74" s="4"/>
      <c r="D74" s="4"/>
      <c r="E74" s="4"/>
      <c r="F74" s="4"/>
      <c r="G74" s="4"/>
      <c r="H74" s="4"/>
    </row>
    <row r="75" spans="2:8" x14ac:dyDescent="0.5">
      <c r="B75" s="4"/>
      <c r="C75" s="4"/>
      <c r="D75" s="4"/>
      <c r="E75" s="4"/>
      <c r="F75" s="4"/>
      <c r="G75" s="4"/>
      <c r="H75" s="4"/>
    </row>
    <row r="76" spans="2:8" x14ac:dyDescent="0.5">
      <c r="B76" s="4"/>
      <c r="C76" s="4"/>
      <c r="D76" s="4"/>
      <c r="E76" s="4"/>
      <c r="F76" s="4"/>
      <c r="G76" s="4"/>
      <c r="H76" s="4"/>
    </row>
    <row r="77" spans="2:8" x14ac:dyDescent="0.5">
      <c r="B77" s="4"/>
      <c r="C77" s="4"/>
      <c r="D77" s="4"/>
      <c r="E77" s="4"/>
      <c r="F77" s="4"/>
      <c r="G77" s="4"/>
      <c r="H77" s="4"/>
    </row>
    <row r="78" spans="2:8" x14ac:dyDescent="0.5">
      <c r="B78" s="4"/>
      <c r="C78" s="4"/>
      <c r="D78" s="4"/>
      <c r="E78" s="4"/>
      <c r="F78" s="4"/>
      <c r="G78" s="4"/>
      <c r="H78" s="4"/>
    </row>
    <row r="79" spans="2:8" x14ac:dyDescent="0.5">
      <c r="B79" s="4"/>
      <c r="C79" s="4"/>
      <c r="D79" s="4"/>
      <c r="E79" s="4"/>
      <c r="F79" s="4"/>
      <c r="G79" s="4"/>
      <c r="H79" s="4"/>
    </row>
    <row r="80" spans="2:8" x14ac:dyDescent="0.5">
      <c r="B80" s="4"/>
      <c r="C80" s="4"/>
      <c r="D80" s="4"/>
      <c r="E80" s="4"/>
      <c r="F80" s="4"/>
      <c r="G80" s="4"/>
      <c r="H80" s="4"/>
    </row>
    <row r="81" spans="2:8" x14ac:dyDescent="0.5">
      <c r="B81" s="4"/>
      <c r="C81" s="4"/>
      <c r="D81" s="4"/>
      <c r="E81" s="4"/>
      <c r="F81" s="4"/>
      <c r="G81" s="4"/>
      <c r="H81" s="4"/>
    </row>
    <row r="82" spans="2:8" x14ac:dyDescent="0.5">
      <c r="B82" s="4"/>
      <c r="C82" s="4"/>
      <c r="D82" s="4"/>
      <c r="E82" s="4"/>
      <c r="F82" s="4"/>
      <c r="G82" s="4"/>
      <c r="H82" s="4"/>
    </row>
    <row r="83" spans="2:8" x14ac:dyDescent="0.5">
      <c r="B83" s="4"/>
      <c r="C83" s="4"/>
      <c r="D83" s="4"/>
      <c r="E83" s="4"/>
      <c r="F83" s="4"/>
      <c r="G83" s="4"/>
      <c r="H83" s="4"/>
    </row>
    <row r="84" spans="2:8" x14ac:dyDescent="0.5">
      <c r="B84" s="4"/>
      <c r="C84" s="4"/>
      <c r="D84" s="4"/>
      <c r="E84" s="4"/>
      <c r="F84" s="4"/>
      <c r="G84" s="4"/>
      <c r="H84" s="4"/>
    </row>
    <row r="85" spans="2:8" x14ac:dyDescent="0.5">
      <c r="B85" s="4"/>
      <c r="C85" s="4"/>
      <c r="D85" s="4"/>
      <c r="E85" s="4"/>
      <c r="F85" s="4"/>
      <c r="G85" s="4"/>
      <c r="H85" s="4"/>
    </row>
    <row r="86" spans="2:8" x14ac:dyDescent="0.5">
      <c r="B86" s="4"/>
      <c r="C86" s="4"/>
      <c r="D86" s="4"/>
      <c r="E86" s="4"/>
      <c r="F86" s="4"/>
      <c r="G86" s="4"/>
      <c r="H86" s="4"/>
    </row>
    <row r="87" spans="2:8" x14ac:dyDescent="0.5">
      <c r="B87" s="4"/>
      <c r="C87" s="4"/>
      <c r="D87" s="4"/>
      <c r="E87" s="4"/>
      <c r="F87" s="4"/>
      <c r="G87" s="4"/>
      <c r="H87" s="4"/>
    </row>
    <row r="88" spans="2:8" x14ac:dyDescent="0.5">
      <c r="B88" s="4"/>
      <c r="C88" s="4"/>
      <c r="D88" s="4"/>
      <c r="E88" s="4"/>
      <c r="F88" s="4"/>
      <c r="G88" s="4"/>
      <c r="H88" s="4"/>
    </row>
    <row r="89" spans="2:8" x14ac:dyDescent="0.5">
      <c r="B89" s="4"/>
      <c r="C89" s="4"/>
      <c r="D89" s="4"/>
      <c r="E89" s="4"/>
      <c r="F89" s="4"/>
      <c r="G89" s="4"/>
      <c r="H89" s="4"/>
    </row>
    <row r="90" spans="2:8" x14ac:dyDescent="0.5">
      <c r="B90" s="4"/>
      <c r="C90" s="4"/>
      <c r="D90" s="4"/>
      <c r="E90" s="4"/>
      <c r="F90" s="4"/>
      <c r="G90" s="4"/>
      <c r="H90" s="4"/>
    </row>
    <row r="91" spans="2:8" x14ac:dyDescent="0.5">
      <c r="B91" s="4"/>
      <c r="C91" s="4"/>
      <c r="D91" s="4"/>
      <c r="E91" s="4"/>
      <c r="F91" s="4"/>
      <c r="G91" s="4"/>
      <c r="H91" s="4"/>
    </row>
    <row r="92" spans="2:8" x14ac:dyDescent="0.5">
      <c r="B92" s="4"/>
      <c r="C92" s="4"/>
      <c r="D92" s="4"/>
      <c r="E92" s="4"/>
      <c r="F92" s="4"/>
      <c r="G92" s="4"/>
      <c r="H92" s="4"/>
    </row>
    <row r="93" spans="2:8" x14ac:dyDescent="0.5">
      <c r="B93" s="4"/>
      <c r="C93" s="4"/>
      <c r="D93" s="4"/>
      <c r="E93" s="4"/>
      <c r="F93" s="4"/>
      <c r="G93" s="4"/>
      <c r="H93" s="4"/>
    </row>
    <row r="94" spans="2:8" x14ac:dyDescent="0.5">
      <c r="B94" s="4"/>
      <c r="C94" s="4"/>
      <c r="D94" s="4"/>
      <c r="E94" s="4"/>
      <c r="F94" s="4"/>
      <c r="G94" s="4"/>
      <c r="H94" s="4"/>
    </row>
    <row r="95" spans="2:8" x14ac:dyDescent="0.5">
      <c r="B95" s="4"/>
      <c r="C95" s="4"/>
      <c r="D95" s="4"/>
      <c r="E95" s="4"/>
      <c r="F95" s="4"/>
      <c r="G95" s="4"/>
      <c r="H95" s="4"/>
    </row>
    <row r="96" spans="2:8" x14ac:dyDescent="0.5">
      <c r="B96" s="4"/>
      <c r="C96" s="4"/>
      <c r="D96" s="4"/>
      <c r="E96" s="4"/>
      <c r="F96" s="4"/>
      <c r="G96" s="4"/>
      <c r="H96" s="4"/>
    </row>
    <row r="97" spans="2:8" x14ac:dyDescent="0.5">
      <c r="B97" s="4"/>
      <c r="C97" s="4"/>
      <c r="D97" s="4"/>
      <c r="E97" s="4"/>
      <c r="F97" s="4"/>
      <c r="G97" s="4"/>
      <c r="H97" s="4"/>
    </row>
    <row r="98" spans="2:8" x14ac:dyDescent="0.5">
      <c r="B98" s="4"/>
      <c r="C98" s="4"/>
      <c r="D98" s="4"/>
      <c r="E98" s="4"/>
      <c r="F98" s="4"/>
      <c r="G98" s="4"/>
      <c r="H98" s="4"/>
    </row>
    <row r="99" spans="2:8" x14ac:dyDescent="0.5">
      <c r="B99" s="4"/>
      <c r="C99" s="4"/>
      <c r="D99" s="4"/>
      <c r="E99" s="4"/>
      <c r="F99" s="4"/>
      <c r="G99" s="4"/>
      <c r="H99" s="4"/>
    </row>
    <row r="100" spans="2:8" x14ac:dyDescent="0.5">
      <c r="B100" s="4"/>
      <c r="C100" s="4"/>
      <c r="D100" s="4"/>
      <c r="E100" s="4"/>
      <c r="F100" s="4"/>
      <c r="G100" s="4"/>
      <c r="H100" s="4"/>
    </row>
    <row r="101" spans="2:8" x14ac:dyDescent="0.5">
      <c r="B101" s="4"/>
      <c r="C101" s="4"/>
      <c r="D101" s="4"/>
      <c r="E101" s="4"/>
      <c r="F101" s="4"/>
      <c r="G101" s="4"/>
      <c r="H101" s="4"/>
    </row>
    <row r="102" spans="2:8" x14ac:dyDescent="0.5">
      <c r="B102" s="4"/>
      <c r="C102" s="4"/>
      <c r="D102" s="4"/>
      <c r="E102" s="4"/>
      <c r="F102" s="4"/>
      <c r="G102" s="4"/>
      <c r="H102" s="4"/>
    </row>
    <row r="103" spans="2:8" x14ac:dyDescent="0.5">
      <c r="B103" s="4"/>
      <c r="C103" s="4"/>
      <c r="D103" s="4"/>
      <c r="E103" s="4"/>
      <c r="F103" s="4"/>
      <c r="G103" s="4"/>
      <c r="H103" s="4"/>
    </row>
    <row r="104" spans="2:8" x14ac:dyDescent="0.5">
      <c r="B104" s="4"/>
      <c r="C104" s="4"/>
      <c r="D104" s="4"/>
      <c r="E104" s="4"/>
      <c r="F104" s="4"/>
      <c r="G104" s="4"/>
      <c r="H104" s="4"/>
    </row>
    <row r="105" spans="2:8" x14ac:dyDescent="0.5">
      <c r="B105" s="4"/>
      <c r="C105" s="4"/>
      <c r="D105" s="4"/>
      <c r="E105" s="4"/>
      <c r="F105" s="4"/>
      <c r="G105" s="4"/>
      <c r="H105" s="4"/>
    </row>
    <row r="106" spans="2:8" x14ac:dyDescent="0.5">
      <c r="B106" s="4"/>
      <c r="C106" s="4"/>
      <c r="D106" s="4"/>
      <c r="E106" s="4"/>
      <c r="F106" s="4"/>
      <c r="G106" s="4"/>
      <c r="H106" s="4"/>
    </row>
    <row r="107" spans="2:8" x14ac:dyDescent="0.5">
      <c r="B107" s="4"/>
      <c r="C107" s="4"/>
      <c r="D107" s="4"/>
      <c r="E107" s="4"/>
      <c r="F107" s="4"/>
      <c r="G107" s="4"/>
      <c r="H107" s="4"/>
    </row>
    <row r="108" spans="2:8" x14ac:dyDescent="0.5">
      <c r="B108" s="4"/>
      <c r="C108" s="4"/>
      <c r="D108" s="4"/>
      <c r="E108" s="4"/>
      <c r="F108" s="4"/>
      <c r="G108" s="4"/>
      <c r="H108" s="4"/>
    </row>
    <row r="109" spans="2:8" x14ac:dyDescent="0.5">
      <c r="B109" s="4"/>
      <c r="C109" s="4"/>
      <c r="D109" s="4"/>
      <c r="E109" s="4"/>
      <c r="F109" s="4"/>
      <c r="G109" s="4"/>
      <c r="H109" s="4"/>
    </row>
    <row r="110" spans="2:8" x14ac:dyDescent="0.5">
      <c r="B110" s="4"/>
      <c r="C110" s="4"/>
      <c r="D110" s="4"/>
      <c r="E110" s="4"/>
      <c r="F110" s="4"/>
      <c r="G110" s="4"/>
      <c r="H110" s="4"/>
    </row>
    <row r="111" spans="2:8" x14ac:dyDescent="0.5">
      <c r="B111" s="4"/>
      <c r="C111" s="4"/>
      <c r="D111" s="4"/>
      <c r="E111" s="4"/>
      <c r="F111" s="4"/>
      <c r="G111" s="4"/>
      <c r="H111" s="4"/>
    </row>
    <row r="112" spans="2:8" x14ac:dyDescent="0.5">
      <c r="B112" s="4"/>
      <c r="C112" s="4"/>
      <c r="D112" s="4"/>
      <c r="E112" s="4"/>
      <c r="F112" s="4"/>
      <c r="G112" s="4"/>
      <c r="H112" s="4"/>
    </row>
    <row r="113" spans="2:8" x14ac:dyDescent="0.5">
      <c r="B113" s="4"/>
      <c r="C113" s="4"/>
      <c r="D113" s="4"/>
      <c r="E113" s="4"/>
      <c r="F113" s="4"/>
      <c r="G113" s="4"/>
      <c r="H113" s="4"/>
    </row>
    <row r="114" spans="2:8" x14ac:dyDescent="0.5">
      <c r="B114" s="4"/>
      <c r="C114" s="4"/>
      <c r="D114" s="4"/>
      <c r="E114" s="4"/>
      <c r="F114" s="4"/>
      <c r="G114" s="4"/>
      <c r="H114" s="4"/>
    </row>
    <row r="115" spans="2:8" x14ac:dyDescent="0.5">
      <c r="B115" s="4"/>
      <c r="C115" s="4"/>
      <c r="D115" s="4"/>
      <c r="E115" s="4"/>
      <c r="F115" s="4"/>
      <c r="G115" s="4"/>
      <c r="H115" s="4"/>
    </row>
    <row r="116" spans="2:8" x14ac:dyDescent="0.5">
      <c r="B116" s="3"/>
      <c r="C116" s="3"/>
      <c r="D116" s="3"/>
      <c r="E116" s="3"/>
      <c r="F116" s="3"/>
      <c r="G116" s="3"/>
      <c r="H116" s="3"/>
    </row>
    <row r="117" spans="2:8" x14ac:dyDescent="0.5">
      <c r="B117" s="3"/>
      <c r="C117" s="3"/>
      <c r="D117" s="3"/>
      <c r="E117" s="3"/>
      <c r="F117" s="3"/>
      <c r="G117" s="3"/>
      <c r="H117" s="3"/>
    </row>
    <row r="118" spans="2:8" x14ac:dyDescent="0.5">
      <c r="B118" s="3"/>
      <c r="C118" s="3"/>
      <c r="D118" s="3"/>
      <c r="E118" s="3"/>
      <c r="F118" s="3"/>
      <c r="G118" s="3"/>
      <c r="H118" s="3"/>
    </row>
    <row r="119" spans="2:8" x14ac:dyDescent="0.5">
      <c r="B119" s="3"/>
      <c r="C119" s="3"/>
      <c r="D119" s="3"/>
      <c r="E119" s="3"/>
      <c r="F119" s="3"/>
      <c r="G119" s="3"/>
      <c r="H119" s="3"/>
    </row>
    <row r="120" spans="2:8" x14ac:dyDescent="0.5">
      <c r="B120" s="3"/>
      <c r="C120" s="3"/>
      <c r="D120" s="3"/>
      <c r="E120" s="3"/>
      <c r="F120" s="3"/>
      <c r="G120" s="3"/>
      <c r="H120" s="3"/>
    </row>
    <row r="121" spans="2:8" x14ac:dyDescent="0.5">
      <c r="B121" s="3"/>
      <c r="C121" s="3"/>
      <c r="D121" s="3"/>
      <c r="E121" s="3"/>
      <c r="F121" s="3"/>
      <c r="G121" s="3"/>
      <c r="H121" s="3"/>
    </row>
    <row r="122" spans="2:8" x14ac:dyDescent="0.5">
      <c r="B122" s="3"/>
      <c r="C122" s="3"/>
      <c r="D122" s="3"/>
      <c r="E122" s="3"/>
      <c r="F122" s="3"/>
      <c r="G122" s="3"/>
      <c r="H122" s="3"/>
    </row>
  </sheetData>
  <mergeCells count="4">
    <mergeCell ref="B5:H6"/>
    <mergeCell ref="J5:P6"/>
    <mergeCell ref="A2:B3"/>
    <mergeCell ref="D2:H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BDD4-1BD3-42E1-B3B2-80FCF95D584C}">
  <sheetPr codeName="Planilha5"/>
  <dimension ref="A2:X80"/>
  <sheetViews>
    <sheetView showGridLines="0" workbookViewId="0">
      <selection activeCell="D2" sqref="D2:H2"/>
    </sheetView>
  </sheetViews>
  <sheetFormatPr defaultRowHeight="14.35" x14ac:dyDescent="0.5"/>
  <cols>
    <col min="1" max="1" width="10.52734375" bestFit="1" customWidth="1"/>
    <col min="2" max="2" width="20.5859375" bestFit="1" customWidth="1"/>
    <col min="3" max="3" width="10.52734375" bestFit="1" customWidth="1"/>
    <col min="6" max="6" width="1.87890625" bestFit="1" customWidth="1"/>
    <col min="7" max="14" width="20.8203125" customWidth="1"/>
    <col min="15" max="24" width="14.64453125" customWidth="1"/>
  </cols>
  <sheetData>
    <row r="2" spans="1:24" ht="20.7" x14ac:dyDescent="0.7">
      <c r="A2" s="38" t="s">
        <v>69</v>
      </c>
      <c r="B2" s="39"/>
      <c r="C2" s="4" t="s">
        <v>28</v>
      </c>
      <c r="D2" s="42" t="str">
        <f>Especifico!D2</f>
        <v>São Manuel</v>
      </c>
      <c r="E2" s="42"/>
      <c r="F2" s="42"/>
      <c r="G2" s="42"/>
      <c r="H2" s="42"/>
    </row>
    <row r="3" spans="1:24" x14ac:dyDescent="0.5">
      <c r="A3" s="40"/>
      <c r="B3" s="41"/>
    </row>
    <row r="5" spans="1:24" x14ac:dyDescent="0.5">
      <c r="B5" s="30" t="s">
        <v>8</v>
      </c>
      <c r="C5" s="30"/>
      <c r="F5" s="32" t="s">
        <v>27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spans="1:24" ht="26.35" x14ac:dyDescent="0.9">
      <c r="B6" s="18" t="s">
        <v>7</v>
      </c>
      <c r="C6" s="7">
        <f>COUNTA(B7:B80)</f>
        <v>18</v>
      </c>
      <c r="F6" s="4" t="s">
        <v>16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</row>
    <row r="7" spans="1:24" ht="15.7" x14ac:dyDescent="0.55000000000000004">
      <c r="B7" s="19" t="s">
        <v>53</v>
      </c>
      <c r="F7" s="19">
        <v>1</v>
      </c>
      <c r="G7" s="19" t="s">
        <v>53</v>
      </c>
      <c r="H7" s="19" t="s">
        <v>47</v>
      </c>
      <c r="I7" s="19" t="s">
        <v>64</v>
      </c>
      <c r="J7" s="19" t="s">
        <v>59</v>
      </c>
      <c r="K7" s="19" t="s">
        <v>45</v>
      </c>
      <c r="L7" s="19" t="s">
        <v>51</v>
      </c>
    </row>
    <row r="8" spans="1:24" ht="15.7" x14ac:dyDescent="0.55000000000000004">
      <c r="B8" s="19" t="s">
        <v>57</v>
      </c>
      <c r="F8" s="19">
        <v>2</v>
      </c>
      <c r="G8" s="19" t="s">
        <v>65</v>
      </c>
      <c r="H8" s="19" t="s">
        <v>54</v>
      </c>
      <c r="I8" s="19" t="s">
        <v>55</v>
      </c>
      <c r="J8" s="19" t="s">
        <v>42</v>
      </c>
      <c r="K8" s="19" t="s">
        <v>49</v>
      </c>
      <c r="L8" s="19" t="s">
        <v>62</v>
      </c>
    </row>
    <row r="9" spans="1:24" ht="15.7" x14ac:dyDescent="0.55000000000000004">
      <c r="B9" s="19" t="s">
        <v>62</v>
      </c>
      <c r="F9" s="19">
        <v>3</v>
      </c>
      <c r="G9" s="19" t="s">
        <v>50</v>
      </c>
      <c r="H9" s="19" t="s">
        <v>46</v>
      </c>
      <c r="I9" s="19" t="s">
        <v>63</v>
      </c>
      <c r="J9" s="19" t="s">
        <v>44</v>
      </c>
      <c r="K9" s="19" t="s">
        <v>57</v>
      </c>
      <c r="L9" s="19" t="s">
        <v>66</v>
      </c>
    </row>
    <row r="10" spans="1:24" ht="15.7" x14ac:dyDescent="0.55000000000000004">
      <c r="B10" s="19" t="s">
        <v>42</v>
      </c>
      <c r="F10" s="19">
        <v>4</v>
      </c>
      <c r="G10" s="19"/>
      <c r="H10" s="19"/>
      <c r="I10" s="19"/>
      <c r="J10" s="19"/>
      <c r="K10" s="19"/>
      <c r="L10" s="19"/>
    </row>
    <row r="11" spans="1:24" ht="15.7" x14ac:dyDescent="0.55000000000000004">
      <c r="B11" s="19" t="s">
        <v>63</v>
      </c>
    </row>
    <row r="12" spans="1:24" ht="15.7" x14ac:dyDescent="0.55000000000000004">
      <c r="B12" s="19" t="s">
        <v>44</v>
      </c>
    </row>
    <row r="13" spans="1:24" ht="15.7" x14ac:dyDescent="0.55000000000000004">
      <c r="B13" s="19" t="s">
        <v>54</v>
      </c>
    </row>
    <row r="14" spans="1:24" ht="15.7" x14ac:dyDescent="0.55000000000000004">
      <c r="B14" s="19" t="s">
        <v>45</v>
      </c>
      <c r="G14" s="8" t="s">
        <v>17</v>
      </c>
      <c r="H14" s="1"/>
      <c r="I14" s="1"/>
      <c r="J14" s="1"/>
      <c r="K14" s="1"/>
      <c r="M14" s="8" t="s">
        <v>17</v>
      </c>
      <c r="N14" s="1"/>
      <c r="O14" s="1"/>
      <c r="P14" s="1"/>
      <c r="Q14" s="1"/>
      <c r="S14" s="8" t="s">
        <v>17</v>
      </c>
      <c r="T14" s="1"/>
      <c r="U14" s="1"/>
      <c r="V14" s="1"/>
      <c r="W14" s="1"/>
    </row>
    <row r="15" spans="1:24" ht="15.7" x14ac:dyDescent="0.55000000000000004">
      <c r="B15" s="19" t="s">
        <v>46</v>
      </c>
      <c r="G15" s="8" t="s">
        <v>18</v>
      </c>
      <c r="H15" s="1"/>
      <c r="I15" s="1"/>
      <c r="J15" s="1"/>
      <c r="K15" s="1"/>
      <c r="M15" s="8" t="s">
        <v>19</v>
      </c>
      <c r="N15" s="1"/>
      <c r="O15" s="1"/>
      <c r="P15" s="1"/>
      <c r="Q15" s="1"/>
      <c r="S15" s="8" t="s">
        <v>20</v>
      </c>
      <c r="T15" s="1"/>
      <c r="U15" s="1"/>
      <c r="V15" s="1"/>
      <c r="W15" s="1"/>
    </row>
    <row r="16" spans="1:24" ht="15.7" x14ac:dyDescent="0.55000000000000004">
      <c r="B16" s="19" t="s">
        <v>47</v>
      </c>
      <c r="G16" s="9" t="s">
        <v>9</v>
      </c>
      <c r="H16" s="10"/>
      <c r="I16" s="11"/>
      <c r="J16" s="11"/>
      <c r="K16" s="12"/>
      <c r="M16" s="9" t="s">
        <v>9</v>
      </c>
      <c r="N16" s="10"/>
      <c r="O16" s="11"/>
      <c r="P16" s="11"/>
      <c r="Q16" s="12"/>
      <c r="S16" s="9" t="s">
        <v>9</v>
      </c>
      <c r="T16" s="10"/>
      <c r="U16" s="11"/>
      <c r="V16" s="11"/>
      <c r="W16" s="12"/>
    </row>
    <row r="17" spans="2:23" ht="15.7" x14ac:dyDescent="0.55000000000000004">
      <c r="B17" s="19" t="s">
        <v>49</v>
      </c>
      <c r="G17" s="9" t="s">
        <v>21</v>
      </c>
      <c r="H17" s="10"/>
      <c r="I17" s="11"/>
      <c r="J17" s="11"/>
      <c r="K17" s="12"/>
      <c r="M17" s="9" t="s">
        <v>21</v>
      </c>
      <c r="N17" s="10"/>
      <c r="O17" s="11"/>
      <c r="P17" s="11"/>
      <c r="Q17" s="12"/>
      <c r="S17" s="9" t="s">
        <v>21</v>
      </c>
      <c r="T17" s="10"/>
      <c r="U17" s="11"/>
      <c r="V17" s="11"/>
      <c r="W17" s="12"/>
    </row>
    <row r="18" spans="2:23" ht="15.7" x14ac:dyDescent="0.55000000000000004">
      <c r="B18" s="19" t="s">
        <v>55</v>
      </c>
      <c r="G18" s="13" t="s">
        <v>22</v>
      </c>
      <c r="H18" s="14"/>
      <c r="I18" s="15"/>
      <c r="J18" s="15"/>
      <c r="K18" s="16"/>
      <c r="M18" s="13" t="s">
        <v>22</v>
      </c>
      <c r="N18" s="14"/>
      <c r="O18" s="15"/>
      <c r="P18" s="15"/>
      <c r="Q18" s="16"/>
      <c r="S18" s="13" t="s">
        <v>22</v>
      </c>
      <c r="T18" s="14"/>
      <c r="U18" s="15"/>
      <c r="V18" s="15"/>
      <c r="W18" s="16"/>
    </row>
    <row r="19" spans="2:23" ht="15.7" x14ac:dyDescent="0.55000000000000004">
      <c r="B19" s="19" t="s">
        <v>64</v>
      </c>
      <c r="G19" s="17" t="s">
        <v>23</v>
      </c>
      <c r="H19" s="17" t="s">
        <v>24</v>
      </c>
      <c r="I19" s="17" t="s">
        <v>25</v>
      </c>
      <c r="J19" s="17" t="s">
        <v>26</v>
      </c>
      <c r="K19" s="17" t="s">
        <v>25</v>
      </c>
      <c r="M19" s="17" t="s">
        <v>23</v>
      </c>
      <c r="N19" s="17" t="s">
        <v>24</v>
      </c>
      <c r="O19" s="17" t="s">
        <v>25</v>
      </c>
      <c r="P19" s="17" t="s">
        <v>26</v>
      </c>
      <c r="Q19" s="17" t="s">
        <v>25</v>
      </c>
      <c r="S19" s="17" t="s">
        <v>23</v>
      </c>
      <c r="T19" s="17" t="s">
        <v>24</v>
      </c>
      <c r="U19" s="17" t="s">
        <v>25</v>
      </c>
      <c r="V19" s="17" t="s">
        <v>26</v>
      </c>
      <c r="W19" s="17" t="s">
        <v>25</v>
      </c>
    </row>
    <row r="20" spans="2:23" ht="15.7" x14ac:dyDescent="0.55000000000000004">
      <c r="B20" s="19" t="s">
        <v>50</v>
      </c>
      <c r="G20" s="29"/>
      <c r="H20" s="29"/>
      <c r="I20" s="29" t="str">
        <f>G7</f>
        <v>Arealva</v>
      </c>
      <c r="J20" s="29" t="s">
        <v>26</v>
      </c>
      <c r="K20" s="29">
        <f>G10</f>
        <v>0</v>
      </c>
      <c r="L20" s="1"/>
      <c r="M20" s="29"/>
      <c r="N20" s="29"/>
      <c r="O20" s="29" t="str">
        <f>G9</f>
        <v>Promissão</v>
      </c>
      <c r="P20" s="29" t="s">
        <v>26</v>
      </c>
      <c r="Q20" s="29" t="str">
        <f>G7</f>
        <v>Arealva</v>
      </c>
      <c r="R20" s="1"/>
      <c r="S20" s="29"/>
      <c r="T20" s="29"/>
      <c r="U20" s="29" t="str">
        <f>G7</f>
        <v>Arealva</v>
      </c>
      <c r="V20" s="29" t="s">
        <v>26</v>
      </c>
      <c r="W20" s="29" t="str">
        <f>G8</f>
        <v>Saltinho</v>
      </c>
    </row>
    <row r="21" spans="2:23" ht="15.7" x14ac:dyDescent="0.55000000000000004">
      <c r="B21" s="19" t="s">
        <v>65</v>
      </c>
      <c r="G21" s="29"/>
      <c r="H21" s="29"/>
      <c r="I21" s="29" t="str">
        <f>G8</f>
        <v>Saltinho</v>
      </c>
      <c r="J21" s="29" t="s">
        <v>26</v>
      </c>
      <c r="K21" s="29" t="str">
        <f>G9</f>
        <v>Promissão</v>
      </c>
      <c r="L21" s="1"/>
      <c r="M21" s="29"/>
      <c r="N21" s="29"/>
      <c r="O21" s="29">
        <f>G10</f>
        <v>0</v>
      </c>
      <c r="P21" s="29" t="s">
        <v>26</v>
      </c>
      <c r="Q21" s="29" t="str">
        <f>G8</f>
        <v>Saltinho</v>
      </c>
      <c r="R21" s="1"/>
      <c r="S21" s="29"/>
      <c r="T21" s="29"/>
      <c r="U21" s="29" t="str">
        <f>G9</f>
        <v>Promissão</v>
      </c>
      <c r="V21" s="29" t="s">
        <v>26</v>
      </c>
      <c r="W21" s="29">
        <f>G10</f>
        <v>0</v>
      </c>
    </row>
    <row r="22" spans="2:23" ht="15.7" x14ac:dyDescent="0.55000000000000004">
      <c r="B22" s="19" t="s">
        <v>51</v>
      </c>
      <c r="G22" s="29"/>
      <c r="H22" s="29"/>
      <c r="I22" s="29" t="str">
        <f>H7</f>
        <v>Macatuba</v>
      </c>
      <c r="J22" s="29" t="s">
        <v>26</v>
      </c>
      <c r="K22" s="29">
        <f>H10</f>
        <v>0</v>
      </c>
      <c r="L22" s="1"/>
      <c r="M22" s="29"/>
      <c r="N22" s="29"/>
      <c r="O22" s="29" t="str">
        <f>H9</f>
        <v>Lins</v>
      </c>
      <c r="P22" s="29" t="s">
        <v>26</v>
      </c>
      <c r="Q22" s="29" t="str">
        <f>H7</f>
        <v>Macatuba</v>
      </c>
      <c r="R22" s="1"/>
      <c r="S22" s="29"/>
      <c r="T22" s="29"/>
      <c r="U22" s="29" t="str">
        <f>H7</f>
        <v>Macatuba</v>
      </c>
      <c r="V22" s="29" t="s">
        <v>26</v>
      </c>
      <c r="W22" s="29" t="str">
        <f>H8</f>
        <v>Jaú</v>
      </c>
    </row>
    <row r="23" spans="2:23" ht="15.7" x14ac:dyDescent="0.55000000000000004">
      <c r="B23" s="19" t="s">
        <v>66</v>
      </c>
      <c r="G23" s="29"/>
      <c r="H23" s="29"/>
      <c r="I23" s="29" t="str">
        <f>H8</f>
        <v>Jaú</v>
      </c>
      <c r="J23" s="29" t="s">
        <v>26</v>
      </c>
      <c r="K23" s="29" t="str">
        <f>H9</f>
        <v>Lins</v>
      </c>
      <c r="L23" s="1"/>
      <c r="M23" s="29"/>
      <c r="N23" s="29"/>
      <c r="O23" s="29">
        <f>H10</f>
        <v>0</v>
      </c>
      <c r="P23" s="29" t="s">
        <v>26</v>
      </c>
      <c r="Q23" s="29" t="str">
        <f>H8</f>
        <v>Jaú</v>
      </c>
      <c r="R23" s="1"/>
      <c r="S23" s="29"/>
      <c r="T23" s="29"/>
      <c r="U23" s="29" t="str">
        <f>H9</f>
        <v>Lins</v>
      </c>
      <c r="V23" s="29" t="s">
        <v>26</v>
      </c>
      <c r="W23" s="29">
        <f>H10</f>
        <v>0</v>
      </c>
    </row>
    <row r="24" spans="2:23" ht="15.7" x14ac:dyDescent="0.55000000000000004">
      <c r="B24" s="19" t="s">
        <v>59</v>
      </c>
      <c r="G24" s="29"/>
      <c r="H24" s="29"/>
      <c r="I24" s="29" t="str">
        <f>I7</f>
        <v>Pratânia</v>
      </c>
      <c r="J24" s="29" t="s">
        <v>26</v>
      </c>
      <c r="K24" s="29">
        <f>I10</f>
        <v>0</v>
      </c>
      <c r="L24" s="1"/>
      <c r="M24" s="29"/>
      <c r="N24" s="29"/>
      <c r="O24" s="29" t="str">
        <f>I9</f>
        <v>Cafelândia</v>
      </c>
      <c r="P24" s="29" t="s">
        <v>26</v>
      </c>
      <c r="Q24" s="29" t="str">
        <f>I7</f>
        <v>Pratânia</v>
      </c>
      <c r="R24" s="1"/>
      <c r="S24" s="29"/>
      <c r="T24" s="29"/>
      <c r="U24" s="29" t="str">
        <f>I7</f>
        <v>Pratânia</v>
      </c>
      <c r="V24" s="29" t="s">
        <v>26</v>
      </c>
      <c r="W24" s="29" t="str">
        <f>I8</f>
        <v>Pirassununga</v>
      </c>
    </row>
    <row r="25" spans="2:23" ht="15.7" x14ac:dyDescent="0.55000000000000004">
      <c r="B25" s="19"/>
      <c r="G25" s="29"/>
      <c r="H25" s="29"/>
      <c r="I25" s="29" t="str">
        <f>I8</f>
        <v>Pirassununga</v>
      </c>
      <c r="J25" s="29" t="s">
        <v>26</v>
      </c>
      <c r="K25" s="29" t="str">
        <f>I9</f>
        <v>Cafelândia</v>
      </c>
      <c r="L25" s="1"/>
      <c r="M25" s="29"/>
      <c r="N25" s="29"/>
      <c r="O25" s="29">
        <f>I10</f>
        <v>0</v>
      </c>
      <c r="P25" s="29" t="s">
        <v>26</v>
      </c>
      <c r="Q25" s="29" t="str">
        <f>I8</f>
        <v>Pirassununga</v>
      </c>
      <c r="R25" s="1"/>
      <c r="S25" s="29"/>
      <c r="T25" s="29"/>
      <c r="U25" s="29" t="str">
        <f>I9</f>
        <v>Cafelândia</v>
      </c>
      <c r="V25" s="29" t="s">
        <v>26</v>
      </c>
      <c r="W25" s="29">
        <f>I10</f>
        <v>0</v>
      </c>
    </row>
    <row r="26" spans="2:23" ht="15.7" x14ac:dyDescent="0.55000000000000004">
      <c r="B26" s="19"/>
      <c r="G26" s="29"/>
      <c r="H26" s="29"/>
      <c r="I26" s="29" t="str">
        <f>J7</f>
        <v>São Manuel</v>
      </c>
      <c r="J26" s="29" t="s">
        <v>26</v>
      </c>
      <c r="K26" s="29">
        <f>J10</f>
        <v>0</v>
      </c>
      <c r="L26" s="1"/>
      <c r="M26" s="29"/>
      <c r="N26" s="29"/>
      <c r="O26" s="29" t="str">
        <f>J9</f>
        <v>Igaraçu do Tietê</v>
      </c>
      <c r="P26" s="29" t="s">
        <v>26</v>
      </c>
      <c r="Q26" s="29" t="str">
        <f>J7</f>
        <v>São Manuel</v>
      </c>
      <c r="R26" s="1"/>
      <c r="S26" s="29"/>
      <c r="T26" s="29"/>
      <c r="U26" s="29" t="str">
        <f>J7</f>
        <v>São Manuel</v>
      </c>
      <c r="V26" s="29" t="s">
        <v>26</v>
      </c>
      <c r="W26" s="29" t="str">
        <f>J8</f>
        <v>Botucatu</v>
      </c>
    </row>
    <row r="27" spans="2:23" ht="15.7" x14ac:dyDescent="0.55000000000000004">
      <c r="B27" s="19"/>
      <c r="G27" s="29"/>
      <c r="H27" s="29"/>
      <c r="I27" s="29" t="str">
        <f>J8</f>
        <v>Botucatu</v>
      </c>
      <c r="J27" s="29" t="s">
        <v>26</v>
      </c>
      <c r="K27" s="29" t="str">
        <f>J9</f>
        <v>Igaraçu do Tietê</v>
      </c>
      <c r="L27" s="1"/>
      <c r="M27" s="29"/>
      <c r="N27" s="29"/>
      <c r="O27" s="29">
        <f>J10</f>
        <v>0</v>
      </c>
      <c r="P27" s="29" t="s">
        <v>26</v>
      </c>
      <c r="Q27" s="29" t="str">
        <f>J8</f>
        <v>Botucatu</v>
      </c>
      <c r="R27" s="1"/>
      <c r="S27" s="29"/>
      <c r="T27" s="29"/>
      <c r="U27" s="29" t="str">
        <f>J9</f>
        <v>Igaraçu do Tietê</v>
      </c>
      <c r="V27" s="29" t="s">
        <v>26</v>
      </c>
      <c r="W27" s="29">
        <f>J10</f>
        <v>0</v>
      </c>
    </row>
    <row r="28" spans="2:23" ht="15.7" x14ac:dyDescent="0.55000000000000004">
      <c r="B28" s="19"/>
      <c r="G28" s="29"/>
      <c r="H28" s="29"/>
      <c r="I28" s="29" t="str">
        <f>K7</f>
        <v>Lençóis Paulista</v>
      </c>
      <c r="J28" s="29" t="s">
        <v>26</v>
      </c>
      <c r="K28" s="29">
        <f>K10</f>
        <v>0</v>
      </c>
      <c r="L28" s="1"/>
      <c r="M28" s="29"/>
      <c r="N28" s="29"/>
      <c r="O28" s="29" t="str">
        <f>K9</f>
        <v>Barra Bonita</v>
      </c>
      <c r="P28" s="29" t="s">
        <v>26</v>
      </c>
      <c r="Q28" s="29" t="str">
        <f>K7</f>
        <v>Lençóis Paulista</v>
      </c>
      <c r="R28" s="1"/>
      <c r="S28" s="29"/>
      <c r="T28" s="29"/>
      <c r="U28" s="29" t="str">
        <f>K7</f>
        <v>Lençóis Paulista</v>
      </c>
      <c r="V28" s="29" t="s">
        <v>26</v>
      </c>
      <c r="W28" s="29" t="str">
        <f>K8</f>
        <v>Piracicaba</v>
      </c>
    </row>
    <row r="29" spans="2:23" ht="15.7" x14ac:dyDescent="0.55000000000000004">
      <c r="B29" s="19"/>
      <c r="G29" s="29"/>
      <c r="H29" s="29"/>
      <c r="I29" s="29" t="str">
        <f>K8</f>
        <v>Piracicaba</v>
      </c>
      <c r="J29" s="29" t="s">
        <v>26</v>
      </c>
      <c r="K29" s="29" t="str">
        <f>K9</f>
        <v>Barra Bonita</v>
      </c>
      <c r="L29" s="1"/>
      <c r="M29" s="29"/>
      <c r="N29" s="29"/>
      <c r="O29" s="29">
        <f>K10</f>
        <v>0</v>
      </c>
      <c r="P29" s="29" t="s">
        <v>26</v>
      </c>
      <c r="Q29" s="29" t="str">
        <f>K8</f>
        <v>Piracicaba</v>
      </c>
      <c r="R29" s="1"/>
      <c r="S29" s="29"/>
      <c r="T29" s="29"/>
      <c r="U29" s="29" t="str">
        <f>K9</f>
        <v>Barra Bonita</v>
      </c>
      <c r="V29" s="29" t="s">
        <v>26</v>
      </c>
      <c r="W29" s="29">
        <f>K10</f>
        <v>0</v>
      </c>
    </row>
    <row r="30" spans="2:23" ht="15.7" x14ac:dyDescent="0.55000000000000004">
      <c r="B30" s="19"/>
      <c r="G30" s="29"/>
      <c r="H30" s="29"/>
      <c r="I30" s="29" t="str">
        <f>L7</f>
        <v>Santa Rita do Passa Quatro</v>
      </c>
      <c r="J30" s="29" t="s">
        <v>26</v>
      </c>
      <c r="K30" s="29">
        <f>L10</f>
        <v>0</v>
      </c>
      <c r="L30" s="1"/>
      <c r="M30" s="29"/>
      <c r="N30" s="29"/>
      <c r="O30" s="29" t="str">
        <f>L9</f>
        <v>São Carlos</v>
      </c>
      <c r="P30" s="29" t="s">
        <v>26</v>
      </c>
      <c r="Q30" s="29" t="str">
        <f>L7</f>
        <v>Santa Rita do Passa Quatro</v>
      </c>
      <c r="R30" s="1"/>
      <c r="S30" s="29"/>
      <c r="T30" s="29"/>
      <c r="U30" s="29" t="str">
        <f>L7</f>
        <v>Santa Rita do Passa Quatro</v>
      </c>
      <c r="V30" s="29" t="s">
        <v>26</v>
      </c>
      <c r="W30" s="29" t="str">
        <f>L8</f>
        <v>Boracéia</v>
      </c>
    </row>
    <row r="31" spans="2:23" ht="15.7" x14ac:dyDescent="0.55000000000000004">
      <c r="B31" s="19"/>
      <c r="G31" s="29"/>
      <c r="H31" s="29"/>
      <c r="I31" s="29" t="str">
        <f>L8</f>
        <v>Boracéia</v>
      </c>
      <c r="J31" s="29" t="s">
        <v>26</v>
      </c>
      <c r="K31" s="29" t="str">
        <f>L9</f>
        <v>São Carlos</v>
      </c>
      <c r="L31" s="1"/>
      <c r="M31" s="29"/>
      <c r="N31" s="29"/>
      <c r="O31" s="29">
        <f>L10</f>
        <v>0</v>
      </c>
      <c r="P31" s="29" t="s">
        <v>26</v>
      </c>
      <c r="Q31" s="29" t="str">
        <f>L8</f>
        <v>Boracéia</v>
      </c>
      <c r="R31" s="1"/>
      <c r="S31" s="29"/>
      <c r="T31" s="29"/>
      <c r="U31" s="29" t="str">
        <f>L9</f>
        <v>São Carlos</v>
      </c>
      <c r="V31" s="29" t="s">
        <v>26</v>
      </c>
      <c r="W31" s="29">
        <f>L10</f>
        <v>0</v>
      </c>
    </row>
    <row r="32" spans="2:23" ht="15.7" x14ac:dyDescent="0.55000000000000004">
      <c r="B32" s="19"/>
      <c r="G32" s="29"/>
      <c r="H32" s="29"/>
      <c r="I32" s="29" t="e">
        <f>#REF!</f>
        <v>#REF!</v>
      </c>
      <c r="J32" s="29" t="s">
        <v>26</v>
      </c>
      <c r="K32" s="29" t="e">
        <f>#REF!</f>
        <v>#REF!</v>
      </c>
      <c r="L32" s="1"/>
      <c r="M32" s="29"/>
      <c r="N32" s="29"/>
      <c r="O32" s="29" t="e">
        <f>#REF!</f>
        <v>#REF!</v>
      </c>
      <c r="P32" s="29" t="s">
        <v>26</v>
      </c>
      <c r="Q32" s="29" t="e">
        <f>#REF!</f>
        <v>#REF!</v>
      </c>
      <c r="R32" s="1"/>
      <c r="S32" s="29"/>
      <c r="T32" s="29"/>
      <c r="U32" s="29" t="e">
        <f>#REF!</f>
        <v>#REF!</v>
      </c>
      <c r="V32" s="29" t="s">
        <v>26</v>
      </c>
      <c r="W32" s="29" t="e">
        <f>#REF!</f>
        <v>#REF!</v>
      </c>
    </row>
    <row r="33" spans="2:23" ht="15.7" x14ac:dyDescent="0.55000000000000004">
      <c r="B33" s="19"/>
      <c r="G33" s="29"/>
      <c r="H33" s="29"/>
      <c r="I33" s="29" t="e">
        <f>#REF!</f>
        <v>#REF!</v>
      </c>
      <c r="J33" s="29" t="s">
        <v>26</v>
      </c>
      <c r="K33" s="29" t="e">
        <f>#REF!</f>
        <v>#REF!</v>
      </c>
      <c r="L33" s="1"/>
      <c r="M33" s="29"/>
      <c r="N33" s="29"/>
      <c r="O33" s="29" t="e">
        <f>#REF!</f>
        <v>#REF!</v>
      </c>
      <c r="P33" s="29" t="s">
        <v>26</v>
      </c>
      <c r="Q33" s="29" t="e">
        <f>#REF!</f>
        <v>#REF!</v>
      </c>
      <c r="R33" s="1"/>
      <c r="S33" s="29"/>
      <c r="T33" s="29"/>
      <c r="U33" s="29" t="e">
        <f>#REF!</f>
        <v>#REF!</v>
      </c>
      <c r="V33" s="29" t="s">
        <v>26</v>
      </c>
      <c r="W33" s="29" t="e">
        <f>#REF!</f>
        <v>#REF!</v>
      </c>
    </row>
    <row r="34" spans="2:23" ht="15.7" x14ac:dyDescent="0.55000000000000004">
      <c r="B34" s="19"/>
      <c r="G34" s="29"/>
      <c r="H34" s="29"/>
      <c r="I34" s="29" t="e">
        <f>#REF!</f>
        <v>#REF!</v>
      </c>
      <c r="J34" s="29" t="s">
        <v>26</v>
      </c>
      <c r="K34" s="29" t="e">
        <f>#REF!</f>
        <v>#REF!</v>
      </c>
      <c r="L34" s="1"/>
      <c r="M34" s="29"/>
      <c r="N34" s="29"/>
      <c r="O34" s="29" t="e">
        <f>#REF!</f>
        <v>#REF!</v>
      </c>
      <c r="P34" s="29" t="s">
        <v>26</v>
      </c>
      <c r="Q34" s="29" t="e">
        <f>#REF!</f>
        <v>#REF!</v>
      </c>
      <c r="R34" s="1"/>
      <c r="S34" s="29"/>
      <c r="T34" s="29"/>
      <c r="U34" s="29" t="e">
        <f>#REF!</f>
        <v>#REF!</v>
      </c>
      <c r="V34" s="29" t="s">
        <v>26</v>
      </c>
      <c r="W34" s="29" t="e">
        <f>#REF!</f>
        <v>#REF!</v>
      </c>
    </row>
    <row r="35" spans="2:23" ht="15.7" x14ac:dyDescent="0.55000000000000004">
      <c r="B35" s="19"/>
      <c r="G35" s="29"/>
      <c r="H35" s="29"/>
      <c r="I35" s="29" t="e">
        <f>#REF!</f>
        <v>#REF!</v>
      </c>
      <c r="J35" s="29" t="s">
        <v>26</v>
      </c>
      <c r="K35" s="29" t="e">
        <f>#REF!</f>
        <v>#REF!</v>
      </c>
      <c r="L35" s="1"/>
      <c r="M35" s="29"/>
      <c r="N35" s="29"/>
      <c r="O35" s="29" t="e">
        <f>#REF!</f>
        <v>#REF!</v>
      </c>
      <c r="P35" s="29" t="s">
        <v>26</v>
      </c>
      <c r="Q35" s="29" t="e">
        <f>#REF!</f>
        <v>#REF!</v>
      </c>
      <c r="R35" s="1"/>
      <c r="S35" s="29"/>
      <c r="T35" s="29"/>
      <c r="U35" s="29" t="e">
        <f>#REF!</f>
        <v>#REF!</v>
      </c>
      <c r="V35" s="29" t="s">
        <v>26</v>
      </c>
      <c r="W35" s="29" t="e">
        <f>#REF!</f>
        <v>#REF!</v>
      </c>
    </row>
    <row r="36" spans="2:23" ht="15.7" x14ac:dyDescent="0.55000000000000004">
      <c r="B36" s="19"/>
      <c r="G36" s="29"/>
      <c r="H36" s="29"/>
      <c r="I36" s="29" t="e">
        <f>#REF!</f>
        <v>#REF!</v>
      </c>
      <c r="J36" s="29" t="s">
        <v>26</v>
      </c>
      <c r="K36" s="29" t="e">
        <f>#REF!</f>
        <v>#REF!</v>
      </c>
      <c r="L36" s="1"/>
      <c r="M36" s="29"/>
      <c r="N36" s="29"/>
      <c r="O36" s="29" t="e">
        <f>#REF!</f>
        <v>#REF!</v>
      </c>
      <c r="P36" s="29" t="s">
        <v>26</v>
      </c>
      <c r="Q36" s="29" t="e">
        <f>#REF!</f>
        <v>#REF!</v>
      </c>
      <c r="R36" s="1"/>
      <c r="S36" s="29"/>
      <c r="T36" s="29"/>
      <c r="U36" s="29" t="e">
        <f>#REF!</f>
        <v>#REF!</v>
      </c>
      <c r="V36" s="29" t="s">
        <v>26</v>
      </c>
      <c r="W36" s="29" t="e">
        <f>#REF!</f>
        <v>#REF!</v>
      </c>
    </row>
    <row r="37" spans="2:23" ht="15.7" x14ac:dyDescent="0.55000000000000004">
      <c r="B37" s="19"/>
      <c r="G37" s="29"/>
      <c r="H37" s="29"/>
      <c r="I37" s="29" t="e">
        <f>#REF!</f>
        <v>#REF!</v>
      </c>
      <c r="J37" s="29" t="s">
        <v>26</v>
      </c>
      <c r="K37" s="29" t="e">
        <f>#REF!</f>
        <v>#REF!</v>
      </c>
      <c r="L37" s="1"/>
      <c r="M37" s="29"/>
      <c r="N37" s="29"/>
      <c r="O37" s="29" t="e">
        <f>#REF!</f>
        <v>#REF!</v>
      </c>
      <c r="P37" s="29" t="s">
        <v>26</v>
      </c>
      <c r="Q37" s="29" t="e">
        <f>#REF!</f>
        <v>#REF!</v>
      </c>
      <c r="R37" s="1"/>
      <c r="S37" s="29"/>
      <c r="T37" s="29"/>
      <c r="U37" s="29" t="e">
        <f>#REF!</f>
        <v>#REF!</v>
      </c>
      <c r="V37" s="29" t="s">
        <v>26</v>
      </c>
      <c r="W37" s="29" t="e">
        <f>#REF!</f>
        <v>#REF!</v>
      </c>
    </row>
    <row r="38" spans="2:23" ht="15.7" x14ac:dyDescent="0.55000000000000004">
      <c r="B38" s="19"/>
      <c r="G38" s="29"/>
      <c r="H38" s="29"/>
      <c r="I38" s="29" t="e">
        <f>#REF!</f>
        <v>#REF!</v>
      </c>
      <c r="J38" s="29" t="s">
        <v>26</v>
      </c>
      <c r="K38" s="29" t="e">
        <f>#REF!</f>
        <v>#REF!</v>
      </c>
      <c r="L38" s="1"/>
      <c r="M38" s="29"/>
      <c r="N38" s="29"/>
      <c r="O38" s="29" t="e">
        <f>#REF!</f>
        <v>#REF!</v>
      </c>
      <c r="P38" s="29" t="s">
        <v>26</v>
      </c>
      <c r="Q38" s="29" t="e">
        <f>#REF!</f>
        <v>#REF!</v>
      </c>
      <c r="R38" s="1"/>
      <c r="S38" s="29"/>
      <c r="T38" s="29"/>
      <c r="U38" s="29" t="e">
        <f>#REF!</f>
        <v>#REF!</v>
      </c>
      <c r="V38" s="29" t="s">
        <v>26</v>
      </c>
      <c r="W38" s="29" t="e">
        <f>#REF!</f>
        <v>#REF!</v>
      </c>
    </row>
    <row r="39" spans="2:23" ht="15.7" x14ac:dyDescent="0.55000000000000004">
      <c r="B39" s="19"/>
      <c r="G39" s="29"/>
      <c r="H39" s="29"/>
      <c r="I39" s="29" t="e">
        <f>#REF!</f>
        <v>#REF!</v>
      </c>
      <c r="J39" s="29" t="s">
        <v>26</v>
      </c>
      <c r="K39" s="29" t="e">
        <f>#REF!</f>
        <v>#REF!</v>
      </c>
      <c r="L39" s="1"/>
      <c r="M39" s="29"/>
      <c r="N39" s="29"/>
      <c r="O39" s="29" t="e">
        <f>#REF!</f>
        <v>#REF!</v>
      </c>
      <c r="P39" s="29" t="s">
        <v>26</v>
      </c>
      <c r="Q39" s="29" t="e">
        <f>#REF!</f>
        <v>#REF!</v>
      </c>
      <c r="R39" s="1"/>
      <c r="S39" s="29"/>
      <c r="T39" s="29"/>
      <c r="U39" s="29" t="e">
        <f>#REF!</f>
        <v>#REF!</v>
      </c>
      <c r="V39" s="29" t="s">
        <v>26</v>
      </c>
      <c r="W39" s="29" t="e">
        <f>#REF!</f>
        <v>#REF!</v>
      </c>
    </row>
    <row r="40" spans="2:23" ht="15.7" x14ac:dyDescent="0.55000000000000004">
      <c r="B40" s="19"/>
      <c r="G40" s="29"/>
      <c r="H40" s="29"/>
      <c r="I40" s="29" t="e">
        <f>#REF!</f>
        <v>#REF!</v>
      </c>
      <c r="J40" s="29" t="s">
        <v>26</v>
      </c>
      <c r="K40" s="29" t="e">
        <f>#REF!</f>
        <v>#REF!</v>
      </c>
      <c r="L40" s="1"/>
      <c r="M40" s="29"/>
      <c r="N40" s="29"/>
      <c r="O40" s="29" t="e">
        <f>#REF!</f>
        <v>#REF!</v>
      </c>
      <c r="P40" s="29" t="s">
        <v>26</v>
      </c>
      <c r="Q40" s="29" t="e">
        <f>#REF!</f>
        <v>#REF!</v>
      </c>
      <c r="R40" s="1"/>
      <c r="S40" s="29"/>
      <c r="T40" s="29"/>
      <c r="U40" s="29" t="e">
        <f>#REF!</f>
        <v>#REF!</v>
      </c>
      <c r="V40" s="29" t="s">
        <v>26</v>
      </c>
      <c r="W40" s="29" t="e">
        <f>#REF!</f>
        <v>#REF!</v>
      </c>
    </row>
    <row r="41" spans="2:23" ht="15.7" x14ac:dyDescent="0.55000000000000004">
      <c r="B41" s="19"/>
      <c r="G41" s="29"/>
      <c r="H41" s="29"/>
      <c r="I41" s="29" t="e">
        <f>#REF!</f>
        <v>#REF!</v>
      </c>
      <c r="J41" s="29" t="s">
        <v>26</v>
      </c>
      <c r="K41" s="29" t="e">
        <f>#REF!</f>
        <v>#REF!</v>
      </c>
      <c r="L41" s="1"/>
      <c r="M41" s="29"/>
      <c r="N41" s="29"/>
      <c r="O41" s="29" t="e">
        <f>#REF!</f>
        <v>#REF!</v>
      </c>
      <c r="P41" s="29" t="s">
        <v>26</v>
      </c>
      <c r="Q41" s="29" t="e">
        <f>#REF!</f>
        <v>#REF!</v>
      </c>
      <c r="R41" s="1"/>
      <c r="S41" s="29"/>
      <c r="T41" s="29"/>
      <c r="U41" s="29" t="e">
        <f>#REF!</f>
        <v>#REF!</v>
      </c>
      <c r="V41" s="29" t="s">
        <v>26</v>
      </c>
      <c r="W41" s="29" t="e">
        <f>#REF!</f>
        <v>#REF!</v>
      </c>
    </row>
    <row r="42" spans="2:23" ht="15.7" x14ac:dyDescent="0.55000000000000004">
      <c r="B42" s="19"/>
      <c r="G42" s="29"/>
      <c r="H42" s="29"/>
      <c r="I42" s="29" t="e">
        <f>#REF!</f>
        <v>#REF!</v>
      </c>
      <c r="J42" s="29" t="s">
        <v>26</v>
      </c>
      <c r="K42" s="29" t="e">
        <f>#REF!</f>
        <v>#REF!</v>
      </c>
      <c r="L42" s="1"/>
      <c r="M42" s="29"/>
      <c r="N42" s="29"/>
      <c r="O42" s="29" t="e">
        <f>#REF!</f>
        <v>#REF!</v>
      </c>
      <c r="P42" s="29" t="s">
        <v>26</v>
      </c>
      <c r="Q42" s="29" t="e">
        <f>#REF!</f>
        <v>#REF!</v>
      </c>
      <c r="R42" s="1"/>
      <c r="S42" s="29"/>
      <c r="T42" s="29"/>
      <c r="U42" s="29" t="e">
        <f>#REF!</f>
        <v>#REF!</v>
      </c>
      <c r="V42" s="29" t="s">
        <v>26</v>
      </c>
      <c r="W42" s="29" t="e">
        <f>#REF!</f>
        <v>#REF!</v>
      </c>
    </row>
    <row r="43" spans="2:23" ht="15.7" x14ac:dyDescent="0.55000000000000004">
      <c r="B43" s="19"/>
      <c r="G43" s="29"/>
      <c r="H43" s="29"/>
      <c r="I43" s="29" t="e">
        <f>#REF!</f>
        <v>#REF!</v>
      </c>
      <c r="J43" s="29" t="s">
        <v>26</v>
      </c>
      <c r="K43" s="29" t="e">
        <f>#REF!</f>
        <v>#REF!</v>
      </c>
      <c r="L43" s="1"/>
      <c r="M43" s="29"/>
      <c r="N43" s="29"/>
      <c r="O43" s="29" t="e">
        <f>#REF!</f>
        <v>#REF!</v>
      </c>
      <c r="P43" s="29" t="s">
        <v>26</v>
      </c>
      <c r="Q43" s="29" t="e">
        <f>#REF!</f>
        <v>#REF!</v>
      </c>
      <c r="R43" s="1"/>
      <c r="S43" s="29"/>
      <c r="T43" s="29"/>
      <c r="U43" s="29" t="e">
        <f>#REF!</f>
        <v>#REF!</v>
      </c>
      <c r="V43" s="29" t="s">
        <v>26</v>
      </c>
      <c r="W43" s="29" t="e">
        <f>#REF!</f>
        <v>#REF!</v>
      </c>
    </row>
    <row r="44" spans="2:23" ht="15.7" x14ac:dyDescent="0.55000000000000004">
      <c r="B44" s="19"/>
      <c r="G44" s="29"/>
      <c r="H44" s="29"/>
      <c r="I44" s="29" t="e">
        <f>#REF!</f>
        <v>#REF!</v>
      </c>
      <c r="J44" s="29" t="s">
        <v>26</v>
      </c>
      <c r="K44" s="29" t="e">
        <f>#REF!</f>
        <v>#REF!</v>
      </c>
      <c r="L44" s="1"/>
      <c r="M44" s="29"/>
      <c r="N44" s="29"/>
      <c r="O44" s="29" t="e">
        <f>#REF!</f>
        <v>#REF!</v>
      </c>
      <c r="P44" s="29" t="s">
        <v>26</v>
      </c>
      <c r="Q44" s="29" t="e">
        <f>#REF!</f>
        <v>#REF!</v>
      </c>
      <c r="R44" s="1"/>
      <c r="S44" s="29"/>
      <c r="T44" s="29"/>
      <c r="U44" s="29" t="e">
        <f>#REF!</f>
        <v>#REF!</v>
      </c>
      <c r="V44" s="29" t="s">
        <v>26</v>
      </c>
      <c r="W44" s="29" t="e">
        <f>#REF!</f>
        <v>#REF!</v>
      </c>
    </row>
    <row r="45" spans="2:23" ht="15.7" x14ac:dyDescent="0.55000000000000004">
      <c r="B45" s="19"/>
      <c r="G45" s="29"/>
      <c r="H45" s="29"/>
      <c r="I45" s="29" t="e">
        <f>#REF!</f>
        <v>#REF!</v>
      </c>
      <c r="J45" s="29" t="s">
        <v>26</v>
      </c>
      <c r="K45" s="29" t="e">
        <f>#REF!</f>
        <v>#REF!</v>
      </c>
      <c r="L45" s="1"/>
      <c r="M45" s="29"/>
      <c r="N45" s="29"/>
      <c r="O45" s="29" t="e">
        <f>#REF!</f>
        <v>#REF!</v>
      </c>
      <c r="P45" s="29" t="s">
        <v>26</v>
      </c>
      <c r="Q45" s="29" t="e">
        <f>#REF!</f>
        <v>#REF!</v>
      </c>
      <c r="R45" s="1"/>
      <c r="S45" s="29"/>
      <c r="T45" s="29"/>
      <c r="U45" s="29" t="e">
        <f>#REF!</f>
        <v>#REF!</v>
      </c>
      <c r="V45" s="29" t="s">
        <v>26</v>
      </c>
      <c r="W45" s="29" t="e">
        <f>#REF!</f>
        <v>#REF!</v>
      </c>
    </row>
    <row r="46" spans="2:23" ht="15.7" x14ac:dyDescent="0.55000000000000004">
      <c r="B46" s="19"/>
      <c r="G46" s="29"/>
      <c r="H46" s="29"/>
      <c r="I46" s="29" t="e">
        <f>#REF!</f>
        <v>#REF!</v>
      </c>
      <c r="J46" s="29" t="s">
        <v>26</v>
      </c>
      <c r="K46" s="29" t="e">
        <f>#REF!</f>
        <v>#REF!</v>
      </c>
      <c r="L46" s="1"/>
      <c r="M46" s="29"/>
      <c r="N46" s="29"/>
      <c r="O46" s="29" t="e">
        <f>#REF!</f>
        <v>#REF!</v>
      </c>
      <c r="P46" s="29" t="s">
        <v>26</v>
      </c>
      <c r="Q46" s="29" t="e">
        <f>#REF!</f>
        <v>#REF!</v>
      </c>
      <c r="R46" s="1"/>
      <c r="S46" s="29"/>
      <c r="T46" s="29"/>
      <c r="U46" s="29" t="e">
        <f>#REF!</f>
        <v>#REF!</v>
      </c>
      <c r="V46" s="29" t="s">
        <v>26</v>
      </c>
      <c r="W46" s="29" t="e">
        <f>#REF!</f>
        <v>#REF!</v>
      </c>
    </row>
    <row r="47" spans="2:23" ht="15.7" x14ac:dyDescent="0.55000000000000004">
      <c r="B47" s="19"/>
      <c r="G47" s="29"/>
      <c r="H47" s="29"/>
      <c r="I47" s="29" t="e">
        <f>#REF!</f>
        <v>#REF!</v>
      </c>
      <c r="J47" s="29" t="s">
        <v>26</v>
      </c>
      <c r="K47" s="29" t="e">
        <f>#REF!</f>
        <v>#REF!</v>
      </c>
      <c r="L47" s="1"/>
      <c r="M47" s="29"/>
      <c r="N47" s="29"/>
      <c r="O47" s="29" t="e">
        <f>#REF!</f>
        <v>#REF!</v>
      </c>
      <c r="P47" s="29" t="s">
        <v>26</v>
      </c>
      <c r="Q47" s="29" t="e">
        <f>#REF!</f>
        <v>#REF!</v>
      </c>
      <c r="R47" s="1"/>
      <c r="S47" s="29"/>
      <c r="T47" s="29"/>
      <c r="U47" s="29" t="e">
        <f>#REF!</f>
        <v>#REF!</v>
      </c>
      <c r="V47" s="29" t="s">
        <v>26</v>
      </c>
      <c r="W47" s="29" t="e">
        <f>#REF!</f>
        <v>#REF!</v>
      </c>
    </row>
    <row r="48" spans="2:23" ht="15.7" x14ac:dyDescent="0.55000000000000004">
      <c r="B48" s="19"/>
      <c r="G48" s="29"/>
      <c r="H48" s="29"/>
      <c r="I48" s="29" t="e">
        <f>#REF!</f>
        <v>#REF!</v>
      </c>
      <c r="J48" s="29" t="s">
        <v>26</v>
      </c>
      <c r="K48" s="29" t="e">
        <f>#REF!</f>
        <v>#REF!</v>
      </c>
      <c r="L48" s="1"/>
      <c r="M48" s="29"/>
      <c r="N48" s="29"/>
      <c r="O48" s="29" t="e">
        <f>#REF!</f>
        <v>#REF!</v>
      </c>
      <c r="P48" s="29" t="s">
        <v>26</v>
      </c>
      <c r="Q48" s="29" t="e">
        <f>#REF!</f>
        <v>#REF!</v>
      </c>
      <c r="R48" s="1"/>
      <c r="S48" s="29"/>
      <c r="T48" s="29"/>
      <c r="U48" s="29" t="e">
        <f>#REF!</f>
        <v>#REF!</v>
      </c>
      <c r="V48" s="29" t="s">
        <v>26</v>
      </c>
      <c r="W48" s="29" t="e">
        <f>#REF!</f>
        <v>#REF!</v>
      </c>
    </row>
    <row r="49" spans="2:23" ht="15.7" x14ac:dyDescent="0.55000000000000004">
      <c r="B49" s="19"/>
      <c r="G49" s="29"/>
      <c r="H49" s="29"/>
      <c r="I49" s="29" t="e">
        <f>#REF!</f>
        <v>#REF!</v>
      </c>
      <c r="J49" s="29" t="s">
        <v>26</v>
      </c>
      <c r="K49" s="29" t="e">
        <f>#REF!</f>
        <v>#REF!</v>
      </c>
      <c r="L49" s="1"/>
      <c r="M49" s="29"/>
      <c r="N49" s="29"/>
      <c r="O49" s="29" t="e">
        <f>#REF!</f>
        <v>#REF!</v>
      </c>
      <c r="P49" s="29" t="s">
        <v>26</v>
      </c>
      <c r="Q49" s="29" t="e">
        <f>#REF!</f>
        <v>#REF!</v>
      </c>
      <c r="R49" s="1"/>
      <c r="S49" s="29"/>
      <c r="T49" s="29"/>
      <c r="U49" s="29" t="e">
        <f>#REF!</f>
        <v>#REF!</v>
      </c>
      <c r="V49" s="29" t="s">
        <v>26</v>
      </c>
      <c r="W49" s="29" t="e">
        <f>#REF!</f>
        <v>#REF!</v>
      </c>
    </row>
    <row r="50" spans="2:23" ht="15.7" x14ac:dyDescent="0.55000000000000004">
      <c r="B50" s="19"/>
      <c r="G50" s="29"/>
      <c r="H50" s="29"/>
      <c r="I50" s="29" t="e">
        <f>#REF!</f>
        <v>#REF!</v>
      </c>
      <c r="J50" s="29" t="s">
        <v>26</v>
      </c>
      <c r="K50" s="29" t="e">
        <f>#REF!</f>
        <v>#REF!</v>
      </c>
      <c r="L50" s="1"/>
      <c r="M50" s="29"/>
      <c r="N50" s="29"/>
      <c r="O50" s="29" t="e">
        <f>#REF!</f>
        <v>#REF!</v>
      </c>
      <c r="P50" s="29" t="s">
        <v>26</v>
      </c>
      <c r="Q50" s="29" t="e">
        <f>#REF!</f>
        <v>#REF!</v>
      </c>
      <c r="R50" s="1"/>
      <c r="S50" s="29"/>
      <c r="T50" s="29"/>
      <c r="U50" s="29" t="e">
        <f>#REF!</f>
        <v>#REF!</v>
      </c>
      <c r="V50" s="29" t="s">
        <v>26</v>
      </c>
      <c r="W50" s="29" t="e">
        <f>#REF!</f>
        <v>#REF!</v>
      </c>
    </row>
    <row r="51" spans="2:23" ht="15.7" x14ac:dyDescent="0.55000000000000004">
      <c r="B51" s="19"/>
      <c r="G51" s="29"/>
      <c r="H51" s="29"/>
      <c r="I51" s="29" t="e">
        <f>#REF!</f>
        <v>#REF!</v>
      </c>
      <c r="J51" s="29" t="s">
        <v>26</v>
      </c>
      <c r="K51" s="29" t="e">
        <f>#REF!</f>
        <v>#REF!</v>
      </c>
      <c r="L51" s="1"/>
      <c r="M51" s="29"/>
      <c r="N51" s="29"/>
      <c r="O51" s="29" t="e">
        <f>#REF!</f>
        <v>#REF!</v>
      </c>
      <c r="P51" s="29" t="s">
        <v>26</v>
      </c>
      <c r="Q51" s="29" t="e">
        <f>#REF!</f>
        <v>#REF!</v>
      </c>
      <c r="R51" s="1"/>
      <c r="S51" s="29"/>
      <c r="T51" s="29"/>
      <c r="U51" s="29" t="e">
        <f>#REF!</f>
        <v>#REF!</v>
      </c>
      <c r="V51" s="29" t="s">
        <v>26</v>
      </c>
      <c r="W51" s="29" t="e">
        <f>#REF!</f>
        <v>#REF!</v>
      </c>
    </row>
    <row r="52" spans="2:23" ht="15.7" x14ac:dyDescent="0.55000000000000004">
      <c r="B52" s="19"/>
      <c r="G52" s="29"/>
      <c r="H52" s="29"/>
      <c r="I52" s="29" t="e">
        <f>#REF!</f>
        <v>#REF!</v>
      </c>
      <c r="J52" s="29" t="s">
        <v>26</v>
      </c>
      <c r="K52" s="29" t="e">
        <f>#REF!</f>
        <v>#REF!</v>
      </c>
      <c r="L52" s="1"/>
      <c r="M52" s="29"/>
      <c r="N52" s="29"/>
      <c r="O52" s="29" t="e">
        <f>#REF!</f>
        <v>#REF!</v>
      </c>
      <c r="P52" s="29" t="s">
        <v>26</v>
      </c>
      <c r="Q52" s="29" t="e">
        <f>#REF!</f>
        <v>#REF!</v>
      </c>
      <c r="R52" s="1"/>
      <c r="S52" s="29"/>
      <c r="T52" s="29"/>
      <c r="U52" s="29" t="e">
        <f>#REF!</f>
        <v>#REF!</v>
      </c>
      <c r="V52" s="29" t="s">
        <v>26</v>
      </c>
      <c r="W52" s="29" t="e">
        <f>#REF!</f>
        <v>#REF!</v>
      </c>
    </row>
    <row r="53" spans="2:23" ht="15.7" x14ac:dyDescent="0.55000000000000004">
      <c r="B53" s="19"/>
      <c r="G53" s="29"/>
      <c r="H53" s="29"/>
      <c r="I53" s="29" t="e">
        <f>#REF!</f>
        <v>#REF!</v>
      </c>
      <c r="J53" s="29" t="s">
        <v>26</v>
      </c>
      <c r="K53" s="29" t="e">
        <f>#REF!</f>
        <v>#REF!</v>
      </c>
      <c r="L53" s="1"/>
      <c r="M53" s="29"/>
      <c r="N53" s="29"/>
      <c r="O53" s="29" t="e">
        <f>#REF!</f>
        <v>#REF!</v>
      </c>
      <c r="P53" s="29" t="s">
        <v>26</v>
      </c>
      <c r="Q53" s="29" t="e">
        <f>#REF!</f>
        <v>#REF!</v>
      </c>
      <c r="R53" s="1"/>
      <c r="S53" s="29"/>
      <c r="T53" s="29"/>
      <c r="U53" s="29" t="e">
        <f>#REF!</f>
        <v>#REF!</v>
      </c>
      <c r="V53" s="29" t="s">
        <v>26</v>
      </c>
      <c r="W53" s="29" t="e">
        <f>#REF!</f>
        <v>#REF!</v>
      </c>
    </row>
    <row r="54" spans="2:23" ht="15.7" x14ac:dyDescent="0.55000000000000004">
      <c r="B54" s="19"/>
      <c r="G54" s="29"/>
      <c r="H54" s="29"/>
      <c r="I54" s="29" t="e">
        <f>#REF!</f>
        <v>#REF!</v>
      </c>
      <c r="J54" s="29" t="s">
        <v>26</v>
      </c>
      <c r="K54" s="29" t="e">
        <f>#REF!</f>
        <v>#REF!</v>
      </c>
      <c r="L54" s="1"/>
      <c r="M54" s="29"/>
      <c r="N54" s="29"/>
      <c r="O54" s="29" t="e">
        <f>#REF!</f>
        <v>#REF!</v>
      </c>
      <c r="P54" s="29" t="s">
        <v>26</v>
      </c>
      <c r="Q54" s="29" t="e">
        <f>#REF!</f>
        <v>#REF!</v>
      </c>
      <c r="R54" s="1"/>
      <c r="S54" s="29"/>
      <c r="T54" s="29"/>
      <c r="U54" s="29" t="e">
        <f>#REF!</f>
        <v>#REF!</v>
      </c>
      <c r="V54" s="29" t="s">
        <v>26</v>
      </c>
      <c r="W54" s="29" t="e">
        <f>#REF!</f>
        <v>#REF!</v>
      </c>
    </row>
    <row r="55" spans="2:23" ht="15.7" x14ac:dyDescent="0.55000000000000004">
      <c r="B55" s="19"/>
      <c r="G55" s="29"/>
      <c r="H55" s="29"/>
      <c r="I55" s="29" t="e">
        <f>#REF!</f>
        <v>#REF!</v>
      </c>
      <c r="J55" s="29" t="s">
        <v>26</v>
      </c>
      <c r="K55" s="29" t="e">
        <f>#REF!</f>
        <v>#REF!</v>
      </c>
      <c r="L55" s="1"/>
      <c r="M55" s="29"/>
      <c r="N55" s="29"/>
      <c r="O55" s="29" t="e">
        <f>#REF!</f>
        <v>#REF!</v>
      </c>
      <c r="P55" s="29" t="s">
        <v>26</v>
      </c>
      <c r="Q55" s="29" t="e">
        <f>#REF!</f>
        <v>#REF!</v>
      </c>
      <c r="R55" s="1"/>
      <c r="S55" s="29"/>
      <c r="T55" s="29"/>
      <c r="U55" s="29" t="e">
        <f>#REF!</f>
        <v>#REF!</v>
      </c>
      <c r="V55" s="29" t="s">
        <v>26</v>
      </c>
      <c r="W55" s="29" t="e">
        <f>#REF!</f>
        <v>#REF!</v>
      </c>
    </row>
    <row r="56" spans="2:23" ht="15.7" x14ac:dyDescent="0.55000000000000004">
      <c r="B56" s="19"/>
    </row>
    <row r="57" spans="2:23" ht="15.7" x14ac:dyDescent="0.55000000000000004">
      <c r="B57" s="19"/>
    </row>
    <row r="58" spans="2:23" ht="15.7" x14ac:dyDescent="0.55000000000000004">
      <c r="B58" s="19"/>
    </row>
    <row r="59" spans="2:23" ht="15.7" x14ac:dyDescent="0.55000000000000004">
      <c r="B59" s="19"/>
    </row>
    <row r="60" spans="2:23" ht="15.7" x14ac:dyDescent="0.55000000000000004">
      <c r="B60" s="19"/>
    </row>
    <row r="61" spans="2:23" ht="15.7" x14ac:dyDescent="0.55000000000000004">
      <c r="B61" s="19"/>
    </row>
    <row r="62" spans="2:23" ht="15.7" x14ac:dyDescent="0.55000000000000004">
      <c r="B62" s="19"/>
    </row>
    <row r="63" spans="2:23" ht="15.7" x14ac:dyDescent="0.55000000000000004">
      <c r="B63" s="19"/>
    </row>
    <row r="64" spans="2:23" ht="15.7" x14ac:dyDescent="0.55000000000000004">
      <c r="B64" s="19"/>
    </row>
    <row r="65" spans="2:2" ht="15.7" x14ac:dyDescent="0.55000000000000004">
      <c r="B65" s="19"/>
    </row>
    <row r="66" spans="2:2" ht="15.7" x14ac:dyDescent="0.55000000000000004">
      <c r="B66" s="19"/>
    </row>
    <row r="67" spans="2:2" ht="15.7" x14ac:dyDescent="0.55000000000000004">
      <c r="B67" s="19"/>
    </row>
    <row r="68" spans="2:2" ht="15.7" x14ac:dyDescent="0.55000000000000004">
      <c r="B68" s="19"/>
    </row>
    <row r="69" spans="2:2" ht="15.7" x14ac:dyDescent="0.55000000000000004">
      <c r="B69" s="19"/>
    </row>
    <row r="70" spans="2:2" ht="15.7" x14ac:dyDescent="0.55000000000000004">
      <c r="B70" s="19"/>
    </row>
    <row r="71" spans="2:2" ht="15.7" x14ac:dyDescent="0.55000000000000004">
      <c r="B71" s="19"/>
    </row>
    <row r="72" spans="2:2" ht="15.7" x14ac:dyDescent="0.55000000000000004">
      <c r="B72" s="19"/>
    </row>
    <row r="73" spans="2:2" ht="15.7" x14ac:dyDescent="0.55000000000000004">
      <c r="B73" s="19"/>
    </row>
    <row r="74" spans="2:2" ht="15.7" x14ac:dyDescent="0.55000000000000004">
      <c r="B74" s="19"/>
    </row>
    <row r="75" spans="2:2" ht="15.7" x14ac:dyDescent="0.55000000000000004">
      <c r="B75" s="19"/>
    </row>
    <row r="76" spans="2:2" ht="15.7" x14ac:dyDescent="0.55000000000000004">
      <c r="B76" s="19"/>
    </row>
    <row r="77" spans="2:2" ht="15.7" x14ac:dyDescent="0.55000000000000004">
      <c r="B77" s="19"/>
    </row>
    <row r="78" spans="2:2" ht="15.7" x14ac:dyDescent="0.55000000000000004">
      <c r="B78" s="19"/>
    </row>
    <row r="79" spans="2:2" ht="15.7" x14ac:dyDescent="0.55000000000000004">
      <c r="B79" s="19"/>
    </row>
    <row r="80" spans="2:2" ht="15.7" x14ac:dyDescent="0.55000000000000004">
      <c r="B80" s="19"/>
    </row>
  </sheetData>
  <mergeCells count="4">
    <mergeCell ref="B5:C5"/>
    <mergeCell ref="F5:X5"/>
    <mergeCell ref="A2:B3"/>
    <mergeCell ref="D2:H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7FA8-6B4B-4518-81E9-8B1F2FC56950}">
  <sheetPr codeName="Planilha12"/>
  <dimension ref="A2:O80"/>
  <sheetViews>
    <sheetView showGridLines="0" workbookViewId="0">
      <selection activeCell="D2" sqref="D2:H2"/>
    </sheetView>
  </sheetViews>
  <sheetFormatPr defaultRowHeight="14.35" x14ac:dyDescent="0.5"/>
  <cols>
    <col min="1" max="1" width="10.703125" bestFit="1" customWidth="1"/>
    <col min="2" max="2" width="33.703125" bestFit="1" customWidth="1"/>
    <col min="3" max="3" width="10.52734375" bestFit="1" customWidth="1"/>
    <col min="6" max="6" width="26.1171875" bestFit="1" customWidth="1"/>
    <col min="7" max="7" width="2.703125" bestFit="1" customWidth="1"/>
    <col min="10" max="10" width="26.1171875" bestFit="1" customWidth="1"/>
    <col min="11" max="11" width="4.17578125" bestFit="1" customWidth="1"/>
    <col min="14" max="14" width="26.1171875" bestFit="1" customWidth="1"/>
    <col min="15" max="15" width="2.703125" bestFit="1" customWidth="1"/>
  </cols>
  <sheetData>
    <row r="2" spans="1:15" ht="20.7" x14ac:dyDescent="0.7">
      <c r="A2" s="38" t="s">
        <v>69</v>
      </c>
      <c r="B2" s="39"/>
      <c r="C2" s="4" t="s">
        <v>28</v>
      </c>
      <c r="D2" s="42" t="str">
        <f>Especifico!D2</f>
        <v>São Manuel</v>
      </c>
      <c r="E2" s="42"/>
      <c r="F2" s="42"/>
      <c r="G2" s="42"/>
      <c r="H2" s="42"/>
    </row>
    <row r="3" spans="1:15" s="36" customFormat="1" ht="20.7" x14ac:dyDescent="0.7">
      <c r="A3" s="40"/>
      <c r="B3" s="41"/>
      <c r="C3" s="37"/>
      <c r="D3" s="35"/>
    </row>
    <row r="5" spans="1:15" x14ac:dyDescent="0.5">
      <c r="B5" s="30" t="s">
        <v>8</v>
      </c>
      <c r="C5" s="30"/>
      <c r="E5" s="33" t="s">
        <v>30</v>
      </c>
      <c r="F5" s="33"/>
      <c r="G5" s="33"/>
      <c r="J5" s="30" t="s">
        <v>8</v>
      </c>
      <c r="K5" s="30"/>
      <c r="M5" s="33" t="s">
        <v>30</v>
      </c>
      <c r="N5" s="33"/>
      <c r="O5" s="33"/>
    </row>
    <row r="6" spans="1:15" ht="26.35" x14ac:dyDescent="0.9">
      <c r="B6" s="18" t="s">
        <v>29</v>
      </c>
      <c r="C6" s="7">
        <f>COUNTA(B7:B80)</f>
        <v>1</v>
      </c>
      <c r="E6" s="7" t="s">
        <v>16</v>
      </c>
      <c r="F6" s="18" t="s">
        <v>29</v>
      </c>
      <c r="G6" s="7"/>
      <c r="J6" s="18" t="s">
        <v>31</v>
      </c>
      <c r="K6" s="7">
        <f>COUNTA(J7:J80)</f>
        <v>18</v>
      </c>
      <c r="M6" s="7" t="s">
        <v>16</v>
      </c>
      <c r="N6" s="18" t="s">
        <v>31</v>
      </c>
      <c r="O6" s="7"/>
    </row>
    <row r="7" spans="1:15" ht="15.7" x14ac:dyDescent="0.55000000000000004">
      <c r="B7" s="19" t="s">
        <v>52</v>
      </c>
      <c r="E7" t="str">
        <f>IF(F7="","",1)</f>
        <v/>
      </c>
      <c r="F7" s="19"/>
      <c r="J7" s="19" t="s">
        <v>68</v>
      </c>
      <c r="M7">
        <f>IF(N7="","",1)</f>
        <v>1</v>
      </c>
      <c r="N7" s="19" t="s">
        <v>67</v>
      </c>
    </row>
    <row r="8" spans="1:15" ht="15.7" x14ac:dyDescent="0.55000000000000004">
      <c r="B8" s="19"/>
      <c r="E8" t="str">
        <f>IF(F8="","",E7+1)</f>
        <v/>
      </c>
      <c r="F8" s="19"/>
      <c r="J8" s="19" t="s">
        <v>42</v>
      </c>
      <c r="M8">
        <f>IF(N8="","",M7+1)</f>
        <v>2</v>
      </c>
      <c r="N8" s="19" t="s">
        <v>59</v>
      </c>
    </row>
    <row r="9" spans="1:15" ht="15.7" x14ac:dyDescent="0.55000000000000004">
      <c r="B9" s="19"/>
      <c r="E9" t="str">
        <f t="shared" ref="E9:E45" si="0">IF(F9="","",E8+1)</f>
        <v/>
      </c>
      <c r="F9" s="19"/>
      <c r="J9" s="19" t="s">
        <v>61</v>
      </c>
      <c r="M9">
        <f t="shared" ref="M9:M45" si="1">IF(N9="","",M8+1)</f>
        <v>3</v>
      </c>
      <c r="N9" s="19" t="s">
        <v>50</v>
      </c>
    </row>
    <row r="10" spans="1:15" ht="15.7" x14ac:dyDescent="0.55000000000000004">
      <c r="B10" s="19"/>
      <c r="E10" t="str">
        <f t="shared" si="0"/>
        <v/>
      </c>
      <c r="F10" s="19"/>
      <c r="J10" s="19" t="s">
        <v>63</v>
      </c>
      <c r="M10">
        <f t="shared" si="1"/>
        <v>4</v>
      </c>
      <c r="N10" s="19" t="s">
        <v>44</v>
      </c>
    </row>
    <row r="11" spans="1:15" ht="15.7" x14ac:dyDescent="0.55000000000000004">
      <c r="B11" s="19"/>
      <c r="E11" t="str">
        <f t="shared" si="0"/>
        <v/>
      </c>
      <c r="F11" s="19"/>
      <c r="J11" s="19" t="s">
        <v>58</v>
      </c>
      <c r="M11">
        <f t="shared" si="1"/>
        <v>5</v>
      </c>
      <c r="N11" s="19" t="s">
        <v>58</v>
      </c>
    </row>
    <row r="12" spans="1:15" ht="15.7" x14ac:dyDescent="0.55000000000000004">
      <c r="B12" s="19"/>
      <c r="E12" t="str">
        <f t="shared" si="0"/>
        <v/>
      </c>
      <c r="F12" s="19"/>
      <c r="J12" s="19" t="s">
        <v>44</v>
      </c>
      <c r="M12">
        <f t="shared" si="1"/>
        <v>6</v>
      </c>
      <c r="N12" s="19" t="s">
        <v>47</v>
      </c>
    </row>
    <row r="13" spans="1:15" ht="15.7" x14ac:dyDescent="0.55000000000000004">
      <c r="B13" s="19"/>
      <c r="E13" t="str">
        <f t="shared" si="0"/>
        <v/>
      </c>
      <c r="F13" s="19"/>
      <c r="J13" s="19" t="s">
        <v>67</v>
      </c>
      <c r="M13">
        <f t="shared" si="1"/>
        <v>7</v>
      </c>
      <c r="N13" s="19" t="s">
        <v>56</v>
      </c>
    </row>
    <row r="14" spans="1:15" ht="15.7" x14ac:dyDescent="0.55000000000000004">
      <c r="B14" s="19"/>
      <c r="E14" t="str">
        <f t="shared" si="0"/>
        <v/>
      </c>
      <c r="F14" s="19"/>
      <c r="J14" s="19" t="s">
        <v>54</v>
      </c>
      <c r="M14">
        <f t="shared" si="1"/>
        <v>8</v>
      </c>
      <c r="N14" s="19" t="s">
        <v>60</v>
      </c>
    </row>
    <row r="15" spans="1:15" ht="15.7" x14ac:dyDescent="0.55000000000000004">
      <c r="B15" s="19"/>
      <c r="E15" t="str">
        <f t="shared" si="0"/>
        <v/>
      </c>
      <c r="F15" s="19"/>
      <c r="J15" s="19" t="s">
        <v>45</v>
      </c>
      <c r="M15">
        <f t="shared" si="1"/>
        <v>9</v>
      </c>
      <c r="N15" s="19" t="s">
        <v>42</v>
      </c>
    </row>
    <row r="16" spans="1:15" ht="15.7" x14ac:dyDescent="0.55000000000000004">
      <c r="B16" s="19"/>
      <c r="E16" t="str">
        <f t="shared" si="0"/>
        <v/>
      </c>
      <c r="J16" t="s">
        <v>46</v>
      </c>
      <c r="M16">
        <f t="shared" si="1"/>
        <v>10</v>
      </c>
      <c r="N16" t="s">
        <v>63</v>
      </c>
    </row>
    <row r="17" spans="2:14" ht="15.7" x14ac:dyDescent="0.55000000000000004">
      <c r="B17" s="19"/>
      <c r="E17" t="str">
        <f t="shared" si="0"/>
        <v/>
      </c>
      <c r="J17" t="s">
        <v>47</v>
      </c>
      <c r="M17">
        <f t="shared" si="1"/>
        <v>11</v>
      </c>
      <c r="N17" t="s">
        <v>51</v>
      </c>
    </row>
    <row r="18" spans="2:14" ht="15.7" x14ac:dyDescent="0.55000000000000004">
      <c r="B18" s="19"/>
      <c r="E18" t="str">
        <f t="shared" si="0"/>
        <v/>
      </c>
      <c r="J18" t="s">
        <v>49</v>
      </c>
      <c r="M18">
        <f t="shared" si="1"/>
        <v>12</v>
      </c>
      <c r="N18" t="s">
        <v>54</v>
      </c>
    </row>
    <row r="19" spans="2:14" ht="15.7" x14ac:dyDescent="0.55000000000000004">
      <c r="B19" s="19"/>
      <c r="E19" t="str">
        <f t="shared" si="0"/>
        <v/>
      </c>
      <c r="J19" t="s">
        <v>55</v>
      </c>
      <c r="M19">
        <f t="shared" si="1"/>
        <v>13</v>
      </c>
      <c r="N19" t="s">
        <v>68</v>
      </c>
    </row>
    <row r="20" spans="2:14" ht="15.7" x14ac:dyDescent="0.55000000000000004">
      <c r="B20" s="19"/>
      <c r="E20" t="str">
        <f t="shared" si="0"/>
        <v/>
      </c>
      <c r="J20" t="s">
        <v>60</v>
      </c>
      <c r="M20">
        <f t="shared" si="1"/>
        <v>14</v>
      </c>
      <c r="N20" t="s">
        <v>61</v>
      </c>
    </row>
    <row r="21" spans="2:14" ht="15.7" x14ac:dyDescent="0.55000000000000004">
      <c r="B21" s="19"/>
      <c r="E21" t="str">
        <f t="shared" si="0"/>
        <v/>
      </c>
      <c r="J21" t="s">
        <v>50</v>
      </c>
      <c r="M21">
        <f t="shared" si="1"/>
        <v>15</v>
      </c>
      <c r="N21" t="s">
        <v>49</v>
      </c>
    </row>
    <row r="22" spans="2:14" ht="15.7" x14ac:dyDescent="0.55000000000000004">
      <c r="B22" s="19"/>
      <c r="E22" t="str">
        <f t="shared" si="0"/>
        <v/>
      </c>
      <c r="J22" t="s">
        <v>56</v>
      </c>
      <c r="M22">
        <f t="shared" si="1"/>
        <v>16</v>
      </c>
      <c r="N22" t="s">
        <v>45</v>
      </c>
    </row>
    <row r="23" spans="2:14" ht="15.7" x14ac:dyDescent="0.55000000000000004">
      <c r="B23" s="19"/>
      <c r="E23" t="str">
        <f t="shared" si="0"/>
        <v/>
      </c>
      <c r="J23" t="s">
        <v>51</v>
      </c>
      <c r="M23">
        <f t="shared" si="1"/>
        <v>17</v>
      </c>
      <c r="N23" t="s">
        <v>55</v>
      </c>
    </row>
    <row r="24" spans="2:14" ht="15.7" x14ac:dyDescent="0.55000000000000004">
      <c r="B24" s="19"/>
      <c r="E24" t="str">
        <f t="shared" si="0"/>
        <v/>
      </c>
      <c r="J24" t="s">
        <v>59</v>
      </c>
      <c r="M24">
        <f t="shared" si="1"/>
        <v>18</v>
      </c>
      <c r="N24" t="s">
        <v>46</v>
      </c>
    </row>
    <row r="25" spans="2:14" ht="15.7" x14ac:dyDescent="0.55000000000000004">
      <c r="B25" s="19"/>
      <c r="E25" t="str">
        <f t="shared" si="0"/>
        <v/>
      </c>
      <c r="M25" t="str">
        <f t="shared" si="1"/>
        <v/>
      </c>
    </row>
    <row r="26" spans="2:14" ht="15.7" x14ac:dyDescent="0.55000000000000004">
      <c r="B26" s="19"/>
      <c r="E26" t="str">
        <f t="shared" si="0"/>
        <v/>
      </c>
      <c r="M26" t="str">
        <f t="shared" si="1"/>
        <v/>
      </c>
    </row>
    <row r="27" spans="2:14" ht="15.7" x14ac:dyDescent="0.55000000000000004">
      <c r="B27" s="19"/>
      <c r="E27" t="str">
        <f t="shared" si="0"/>
        <v/>
      </c>
      <c r="M27" t="str">
        <f t="shared" si="1"/>
        <v/>
      </c>
    </row>
    <row r="28" spans="2:14" ht="15.7" x14ac:dyDescent="0.55000000000000004">
      <c r="B28" s="19"/>
      <c r="E28" t="str">
        <f t="shared" si="0"/>
        <v/>
      </c>
      <c r="M28" t="str">
        <f t="shared" si="1"/>
        <v/>
      </c>
    </row>
    <row r="29" spans="2:14" ht="15.7" x14ac:dyDescent="0.55000000000000004">
      <c r="B29" s="19"/>
      <c r="E29" t="str">
        <f t="shared" si="0"/>
        <v/>
      </c>
      <c r="M29" t="str">
        <f t="shared" si="1"/>
        <v/>
      </c>
    </row>
    <row r="30" spans="2:14" ht="15.7" x14ac:dyDescent="0.55000000000000004">
      <c r="B30" s="19"/>
      <c r="E30" t="str">
        <f t="shared" si="0"/>
        <v/>
      </c>
      <c r="M30" t="str">
        <f t="shared" si="1"/>
        <v/>
      </c>
    </row>
    <row r="31" spans="2:14" ht="15.7" x14ac:dyDescent="0.55000000000000004">
      <c r="B31" s="19"/>
      <c r="E31" t="str">
        <f t="shared" si="0"/>
        <v/>
      </c>
      <c r="M31" t="str">
        <f t="shared" si="1"/>
        <v/>
      </c>
    </row>
    <row r="32" spans="2:14" ht="15.7" x14ac:dyDescent="0.55000000000000004">
      <c r="B32" s="19"/>
      <c r="E32" t="str">
        <f t="shared" si="0"/>
        <v/>
      </c>
      <c r="M32" t="str">
        <f t="shared" si="1"/>
        <v/>
      </c>
    </row>
    <row r="33" spans="2:13" ht="15.7" x14ac:dyDescent="0.55000000000000004">
      <c r="B33" s="19"/>
      <c r="E33" t="str">
        <f t="shared" si="0"/>
        <v/>
      </c>
      <c r="M33" t="str">
        <f t="shared" si="1"/>
        <v/>
      </c>
    </row>
    <row r="34" spans="2:13" ht="15.7" x14ac:dyDescent="0.55000000000000004">
      <c r="B34" s="19"/>
      <c r="E34" t="str">
        <f t="shared" si="0"/>
        <v/>
      </c>
      <c r="M34" t="str">
        <f t="shared" si="1"/>
        <v/>
      </c>
    </row>
    <row r="35" spans="2:13" ht="15.7" x14ac:dyDescent="0.55000000000000004">
      <c r="B35" s="19"/>
      <c r="E35" t="str">
        <f t="shared" si="0"/>
        <v/>
      </c>
      <c r="M35" t="str">
        <f t="shared" si="1"/>
        <v/>
      </c>
    </row>
    <row r="36" spans="2:13" ht="15.7" x14ac:dyDescent="0.55000000000000004">
      <c r="B36" s="19"/>
      <c r="E36" t="str">
        <f t="shared" si="0"/>
        <v/>
      </c>
      <c r="M36" t="str">
        <f t="shared" si="1"/>
        <v/>
      </c>
    </row>
    <row r="37" spans="2:13" ht="15.7" x14ac:dyDescent="0.55000000000000004">
      <c r="B37" s="19"/>
      <c r="E37" t="str">
        <f t="shared" si="0"/>
        <v/>
      </c>
      <c r="M37" t="str">
        <f t="shared" si="1"/>
        <v/>
      </c>
    </row>
    <row r="38" spans="2:13" ht="15.7" x14ac:dyDescent="0.55000000000000004">
      <c r="B38" s="19"/>
      <c r="E38" t="str">
        <f t="shared" si="0"/>
        <v/>
      </c>
      <c r="M38" t="str">
        <f t="shared" si="1"/>
        <v/>
      </c>
    </row>
    <row r="39" spans="2:13" ht="15.7" x14ac:dyDescent="0.55000000000000004">
      <c r="B39" s="19"/>
      <c r="E39" t="str">
        <f t="shared" si="0"/>
        <v/>
      </c>
      <c r="M39" t="str">
        <f t="shared" si="1"/>
        <v/>
      </c>
    </row>
    <row r="40" spans="2:13" ht="15.7" x14ac:dyDescent="0.55000000000000004">
      <c r="B40" s="19"/>
      <c r="E40" t="str">
        <f t="shared" si="0"/>
        <v/>
      </c>
      <c r="M40" t="str">
        <f t="shared" si="1"/>
        <v/>
      </c>
    </row>
    <row r="41" spans="2:13" ht="15.7" x14ac:dyDescent="0.55000000000000004">
      <c r="B41" s="19"/>
      <c r="E41" t="str">
        <f t="shared" si="0"/>
        <v/>
      </c>
      <c r="M41" t="str">
        <f t="shared" si="1"/>
        <v/>
      </c>
    </row>
    <row r="42" spans="2:13" ht="15.7" x14ac:dyDescent="0.55000000000000004">
      <c r="B42" s="19"/>
      <c r="E42" t="str">
        <f t="shared" si="0"/>
        <v/>
      </c>
      <c r="M42" t="str">
        <f t="shared" si="1"/>
        <v/>
      </c>
    </row>
    <row r="43" spans="2:13" ht="15.7" x14ac:dyDescent="0.55000000000000004">
      <c r="B43" s="19"/>
      <c r="E43" t="str">
        <f t="shared" si="0"/>
        <v/>
      </c>
      <c r="M43" t="str">
        <f t="shared" si="1"/>
        <v/>
      </c>
    </row>
    <row r="44" spans="2:13" ht="15.7" x14ac:dyDescent="0.55000000000000004">
      <c r="B44" s="19"/>
      <c r="E44" t="str">
        <f t="shared" si="0"/>
        <v/>
      </c>
      <c r="M44" t="str">
        <f t="shared" si="1"/>
        <v/>
      </c>
    </row>
    <row r="45" spans="2:13" ht="15.7" x14ac:dyDescent="0.55000000000000004">
      <c r="B45" s="19"/>
      <c r="E45" t="str">
        <f t="shared" si="0"/>
        <v/>
      </c>
      <c r="M45" t="str">
        <f t="shared" si="1"/>
        <v/>
      </c>
    </row>
    <row r="46" spans="2:13" ht="15.7" x14ac:dyDescent="0.55000000000000004">
      <c r="B46" s="19"/>
    </row>
    <row r="47" spans="2:13" ht="15.7" x14ac:dyDescent="0.55000000000000004">
      <c r="B47" s="19"/>
    </row>
    <row r="48" spans="2:13" ht="15.7" x14ac:dyDescent="0.55000000000000004">
      <c r="B48" s="19"/>
    </row>
    <row r="49" spans="2:2" ht="15.7" x14ac:dyDescent="0.55000000000000004">
      <c r="B49" s="19"/>
    </row>
    <row r="50" spans="2:2" ht="15.7" x14ac:dyDescent="0.55000000000000004">
      <c r="B50" s="19"/>
    </row>
    <row r="51" spans="2:2" ht="15.7" x14ac:dyDescent="0.55000000000000004">
      <c r="B51" s="19"/>
    </row>
    <row r="52" spans="2:2" ht="15.7" x14ac:dyDescent="0.55000000000000004">
      <c r="B52" s="19"/>
    </row>
    <row r="53" spans="2:2" ht="15.7" x14ac:dyDescent="0.55000000000000004">
      <c r="B53" s="19"/>
    </row>
    <row r="54" spans="2:2" ht="15.7" x14ac:dyDescent="0.55000000000000004">
      <c r="B54" s="19"/>
    </row>
    <row r="55" spans="2:2" ht="15.7" x14ac:dyDescent="0.55000000000000004">
      <c r="B55" s="19"/>
    </row>
    <row r="56" spans="2:2" ht="15.7" x14ac:dyDescent="0.55000000000000004">
      <c r="B56" s="19"/>
    </row>
    <row r="57" spans="2:2" ht="15.7" x14ac:dyDescent="0.55000000000000004">
      <c r="B57" s="19"/>
    </row>
    <row r="58" spans="2:2" ht="15.7" x14ac:dyDescent="0.55000000000000004">
      <c r="B58" s="19"/>
    </row>
    <row r="59" spans="2:2" ht="15.7" x14ac:dyDescent="0.55000000000000004">
      <c r="B59" s="19"/>
    </row>
    <row r="60" spans="2:2" ht="15.7" x14ac:dyDescent="0.55000000000000004">
      <c r="B60" s="19"/>
    </row>
    <row r="61" spans="2:2" ht="15.7" x14ac:dyDescent="0.55000000000000004">
      <c r="B61" s="19"/>
    </row>
    <row r="62" spans="2:2" ht="15.7" x14ac:dyDescent="0.55000000000000004">
      <c r="B62" s="19"/>
    </row>
    <row r="63" spans="2:2" ht="15.7" x14ac:dyDescent="0.55000000000000004">
      <c r="B63" s="19"/>
    </row>
    <row r="64" spans="2:2" ht="15.7" x14ac:dyDescent="0.55000000000000004">
      <c r="B64" s="19"/>
    </row>
    <row r="65" spans="2:2" ht="15.7" x14ac:dyDescent="0.55000000000000004">
      <c r="B65" s="19"/>
    </row>
    <row r="66" spans="2:2" ht="15.7" x14ac:dyDescent="0.55000000000000004">
      <c r="B66" s="19"/>
    </row>
    <row r="67" spans="2:2" ht="15.7" x14ac:dyDescent="0.55000000000000004">
      <c r="B67" s="19"/>
    </row>
    <row r="68" spans="2:2" ht="15.7" x14ac:dyDescent="0.55000000000000004">
      <c r="B68" s="19"/>
    </row>
    <row r="69" spans="2:2" ht="15.7" x14ac:dyDescent="0.55000000000000004">
      <c r="B69" s="19"/>
    </row>
    <row r="70" spans="2:2" ht="15.7" x14ac:dyDescent="0.55000000000000004">
      <c r="B70" s="19"/>
    </row>
    <row r="71" spans="2:2" ht="15.7" x14ac:dyDescent="0.55000000000000004">
      <c r="B71" s="19"/>
    </row>
    <row r="72" spans="2:2" ht="15.7" x14ac:dyDescent="0.55000000000000004">
      <c r="B72" s="19"/>
    </row>
    <row r="73" spans="2:2" ht="15.7" x14ac:dyDescent="0.55000000000000004">
      <c r="B73" s="19"/>
    </row>
    <row r="74" spans="2:2" ht="15.7" x14ac:dyDescent="0.55000000000000004">
      <c r="B74" s="19"/>
    </row>
    <row r="75" spans="2:2" ht="15.7" x14ac:dyDescent="0.55000000000000004">
      <c r="B75" s="19"/>
    </row>
    <row r="76" spans="2:2" ht="15.7" x14ac:dyDescent="0.55000000000000004">
      <c r="B76" s="19"/>
    </row>
    <row r="77" spans="2:2" ht="15.7" x14ac:dyDescent="0.55000000000000004">
      <c r="B77" s="19"/>
    </row>
    <row r="78" spans="2:2" ht="15.7" x14ac:dyDescent="0.55000000000000004">
      <c r="B78" s="19"/>
    </row>
    <row r="79" spans="2:2" ht="15.7" x14ac:dyDescent="0.55000000000000004">
      <c r="B79" s="19"/>
    </row>
    <row r="80" spans="2:2" ht="15.7" x14ac:dyDescent="0.55000000000000004">
      <c r="B80" s="19"/>
    </row>
  </sheetData>
  <mergeCells count="6">
    <mergeCell ref="B5:C5"/>
    <mergeCell ref="J5:K5"/>
    <mergeCell ref="E5:G5"/>
    <mergeCell ref="M5:O5"/>
    <mergeCell ref="A2:B3"/>
    <mergeCell ref="D2:H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C6D7-5744-4630-8DDF-ED2F0A427CC6}">
  <sheetPr codeName="Planilha26"/>
  <dimension ref="A2:O185"/>
  <sheetViews>
    <sheetView showGridLines="0" workbookViewId="0">
      <selection activeCell="D2" sqref="D2:H2"/>
    </sheetView>
  </sheetViews>
  <sheetFormatPr defaultRowHeight="14.35" x14ac:dyDescent="0.5"/>
  <cols>
    <col min="1" max="1" width="10.703125" bestFit="1" customWidth="1"/>
    <col min="2" max="2" width="50.703125" bestFit="1" customWidth="1"/>
    <col min="3" max="3" width="10.52734375" bestFit="1" customWidth="1"/>
    <col min="4" max="4" width="2.87890625" customWidth="1"/>
    <col min="8" max="8" width="23.17578125" customWidth="1"/>
  </cols>
  <sheetData>
    <row r="2" spans="1:15" s="36" customFormat="1" ht="20.7" x14ac:dyDescent="0.7">
      <c r="A2" s="38" t="s">
        <v>69</v>
      </c>
      <c r="B2" s="39"/>
      <c r="C2" s="4" t="s">
        <v>28</v>
      </c>
      <c r="D2" s="42" t="str">
        <f>Especifico!D2</f>
        <v>São Manuel</v>
      </c>
      <c r="E2" s="42"/>
      <c r="F2" s="42"/>
      <c r="G2" s="42"/>
      <c r="H2" s="42"/>
    </row>
    <row r="3" spans="1:15" s="36" customFormat="1" x14ac:dyDescent="0.5">
      <c r="A3" s="40"/>
      <c r="B3" s="41"/>
    </row>
    <row r="4" spans="1:15" s="36" customFormat="1" x14ac:dyDescent="0.5"/>
    <row r="5" spans="1:15" ht="18.350000000000001" x14ac:dyDescent="0.65">
      <c r="G5" s="34">
        <v>5</v>
      </c>
      <c r="H5" s="34"/>
      <c r="I5" s="34"/>
      <c r="J5" s="34"/>
      <c r="K5" s="34"/>
      <c r="L5" s="34"/>
      <c r="M5" s="34"/>
      <c r="N5" s="34"/>
      <c r="O5" s="34"/>
    </row>
    <row r="6" spans="1:15" ht="14.7" thickBot="1" x14ac:dyDescent="0.55000000000000004">
      <c r="B6" s="30" t="s">
        <v>8</v>
      </c>
      <c r="C6" s="30"/>
      <c r="G6">
        <v>1</v>
      </c>
      <c r="H6" s="1" t="str">
        <f>$D$8</f>
        <v>Lins</v>
      </c>
      <c r="I6" s="23"/>
      <c r="J6" s="23" t="str">
        <f>H6</f>
        <v>Lins</v>
      </c>
      <c r="K6" s="24"/>
      <c r="L6" s="1"/>
      <c r="M6" s="1"/>
      <c r="N6" s="1"/>
    </row>
    <row r="7" spans="1:15" ht="26.35" x14ac:dyDescent="0.9">
      <c r="B7" s="18" t="s">
        <v>41</v>
      </c>
      <c r="C7" s="7">
        <f>COUNTA(B8:B81)</f>
        <v>5</v>
      </c>
      <c r="H7" s="20"/>
      <c r="I7" s="1"/>
      <c r="J7" s="1"/>
      <c r="K7" s="21"/>
      <c r="L7" s="1"/>
      <c r="M7" s="1"/>
      <c r="N7" s="1"/>
    </row>
    <row r="8" spans="1:15" ht="16" thickBot="1" x14ac:dyDescent="0.6">
      <c r="B8" s="19" t="s">
        <v>42</v>
      </c>
      <c r="D8" s="28" t="s">
        <v>46</v>
      </c>
      <c r="H8" s="1"/>
      <c r="I8" s="1"/>
      <c r="J8" s="1"/>
      <c r="K8" s="22" t="s">
        <v>34</v>
      </c>
      <c r="L8" s="23" t="str">
        <f>IF(OR(K6="",K10=""),"",+IF(K6&gt;K10,J6,J10))</f>
        <v/>
      </c>
      <c r="M8" s="24"/>
      <c r="N8" s="1"/>
    </row>
    <row r="9" spans="1:15" ht="16" thickBot="1" x14ac:dyDescent="0.6">
      <c r="B9" s="19" t="s">
        <v>43</v>
      </c>
      <c r="D9" s="28" t="s">
        <v>43</v>
      </c>
      <c r="G9">
        <v>2</v>
      </c>
      <c r="H9" s="1" t="str">
        <f>$D$9</f>
        <v>Conchas</v>
      </c>
      <c r="I9" s="24"/>
      <c r="J9" s="1"/>
      <c r="K9" s="22"/>
      <c r="L9" s="1"/>
      <c r="M9" s="21"/>
      <c r="N9" s="1"/>
    </row>
    <row r="10" spans="1:15" ht="16" thickBot="1" x14ac:dyDescent="0.6">
      <c r="B10" s="19" t="s">
        <v>46</v>
      </c>
      <c r="D10" s="28" t="s">
        <v>42</v>
      </c>
      <c r="H10" s="20"/>
      <c r="I10" s="21" t="s">
        <v>35</v>
      </c>
      <c r="J10" s="23" t="str">
        <f>IF(OR(I9="",I11=""),"",+IF(I9&gt;I11,H9,H11))</f>
        <v/>
      </c>
      <c r="K10" s="25"/>
      <c r="L10" s="1"/>
      <c r="M10" s="22"/>
      <c r="N10" s="1"/>
    </row>
    <row r="11" spans="1:15" ht="16" thickBot="1" x14ac:dyDescent="0.6">
      <c r="B11" s="19" t="s">
        <v>48</v>
      </c>
      <c r="D11" s="28" t="s">
        <v>49</v>
      </c>
      <c r="G11">
        <v>3</v>
      </c>
      <c r="H11" s="1" t="str">
        <f>$D$10</f>
        <v>Botucatu</v>
      </c>
      <c r="I11" s="25"/>
      <c r="J11" s="1"/>
      <c r="K11" s="1"/>
      <c r="L11" s="26" t="s">
        <v>36</v>
      </c>
      <c r="M11" s="27" t="s">
        <v>40</v>
      </c>
      <c r="N11" s="23" t="str">
        <f>IF(OR(M8="",M14=""),"",+IF(M8&gt;M14,L8,L14))</f>
        <v/>
      </c>
    </row>
    <row r="12" spans="1:15" ht="15.7" x14ac:dyDescent="0.55000000000000004">
      <c r="B12" s="19" t="s">
        <v>49</v>
      </c>
      <c r="D12" s="28" t="s">
        <v>48</v>
      </c>
      <c r="H12" s="20"/>
      <c r="I12" s="1"/>
      <c r="J12" s="1"/>
      <c r="K12" s="1"/>
      <c r="L12" s="1"/>
      <c r="M12" s="22"/>
      <c r="N12" s="1"/>
    </row>
    <row r="13" spans="1:15" ht="16" thickBot="1" x14ac:dyDescent="0.6">
      <c r="B13" s="19"/>
      <c r="D13" s="28"/>
      <c r="G13">
        <v>4</v>
      </c>
      <c r="H13" s="23" t="str">
        <f>$D$11</f>
        <v>Piracicaba</v>
      </c>
      <c r="I13" s="23"/>
      <c r="J13" s="23" t="str">
        <f>H13</f>
        <v>Piracicaba</v>
      </c>
      <c r="K13" s="24"/>
      <c r="L13" s="1"/>
      <c r="M13" s="22"/>
      <c r="N13" s="1"/>
    </row>
    <row r="14" spans="1:15" ht="16" thickBot="1" x14ac:dyDescent="0.6">
      <c r="B14" s="19"/>
      <c r="D14" s="28"/>
      <c r="H14" s="1"/>
      <c r="I14" s="1"/>
      <c r="J14" s="1"/>
      <c r="K14" s="21" t="s">
        <v>39</v>
      </c>
      <c r="L14" s="23" t="str">
        <f>IF(OR(K13="",K15=""),"",+IF(K13&gt;K15,H13,H15))</f>
        <v/>
      </c>
      <c r="M14" s="25"/>
      <c r="N14" s="1"/>
    </row>
    <row r="15" spans="1:15" ht="16" thickBot="1" x14ac:dyDescent="0.6">
      <c r="B15" s="19"/>
      <c r="D15" s="28"/>
      <c r="G15">
        <v>5</v>
      </c>
      <c r="H15" s="23" t="str">
        <f>$D$12</f>
        <v>Pederneiras</v>
      </c>
      <c r="I15" s="23"/>
      <c r="J15" s="23" t="str">
        <f>H15</f>
        <v>Pederneiras</v>
      </c>
      <c r="K15" s="25"/>
      <c r="L15" s="1"/>
      <c r="M15" s="1"/>
      <c r="N15" s="1"/>
    </row>
    <row r="16" spans="1:15" ht="15.7" x14ac:dyDescent="0.55000000000000004">
      <c r="B16" s="19"/>
      <c r="D16" s="28"/>
    </row>
    <row r="17" spans="2:14" ht="15.7" x14ac:dyDescent="0.55000000000000004">
      <c r="B17" s="19"/>
      <c r="D17" s="28"/>
    </row>
    <row r="18" spans="2:14" ht="15.7" x14ac:dyDescent="0.55000000000000004">
      <c r="B18" s="19"/>
      <c r="D18" s="28"/>
    </row>
    <row r="19" spans="2:14" ht="16" thickBot="1" x14ac:dyDescent="0.6">
      <c r="B19" s="19"/>
      <c r="D19" s="28"/>
      <c r="L19" s="23" t="str">
        <f>IF(OR(L8="",L14=""),"",+IF(K6&gt;K10,J10,J6))</f>
        <v/>
      </c>
      <c r="M19" s="24"/>
      <c r="N19" s="1"/>
    </row>
    <row r="20" spans="2:14" ht="15.7" x14ac:dyDescent="0.55000000000000004">
      <c r="B20" s="19"/>
      <c r="D20" s="28"/>
      <c r="L20" s="1"/>
      <c r="M20" s="21"/>
      <c r="N20" s="1"/>
    </row>
    <row r="21" spans="2:14" ht="15.7" x14ac:dyDescent="0.55000000000000004">
      <c r="B21" s="19"/>
      <c r="D21" s="28"/>
      <c r="L21" s="1"/>
      <c r="M21" s="22"/>
      <c r="N21" s="1"/>
    </row>
    <row r="22" spans="2:14" ht="16" thickBot="1" x14ac:dyDescent="0.6">
      <c r="B22" s="19"/>
      <c r="D22" s="28"/>
      <c r="L22" s="26" t="s">
        <v>38</v>
      </c>
      <c r="M22" s="22" t="s">
        <v>37</v>
      </c>
      <c r="N22" s="23" t="str">
        <f>IF(OR(M19="",M25=""),"",+IF(M19&gt;M25,L19,L25))</f>
        <v/>
      </c>
    </row>
    <row r="23" spans="2:14" ht="15.7" x14ac:dyDescent="0.55000000000000004">
      <c r="B23" s="19"/>
      <c r="D23" s="28"/>
      <c r="L23" s="1"/>
      <c r="M23" s="22"/>
      <c r="N23" s="1"/>
    </row>
    <row r="24" spans="2:14" ht="15.7" x14ac:dyDescent="0.55000000000000004">
      <c r="B24" s="19"/>
      <c r="D24" s="28"/>
      <c r="L24" s="1"/>
      <c r="M24" s="22"/>
      <c r="N24" s="1"/>
    </row>
    <row r="25" spans="2:14" ht="16" thickBot="1" x14ac:dyDescent="0.6">
      <c r="B25" s="19"/>
      <c r="D25" s="28"/>
      <c r="L25" s="23" t="str">
        <f>IF(OR(L8="",L14=""),"",+IF(K13&gt;K15,J15,J13))</f>
        <v/>
      </c>
      <c r="M25" s="25"/>
      <c r="N25" s="1"/>
    </row>
    <row r="26" spans="2:14" ht="15.7" x14ac:dyDescent="0.55000000000000004">
      <c r="B26" s="19"/>
      <c r="D26" s="28"/>
      <c r="L26" s="1"/>
      <c r="M26" s="1"/>
      <c r="N26" s="1"/>
    </row>
    <row r="27" spans="2:14" ht="15.7" x14ac:dyDescent="0.55000000000000004">
      <c r="B27" s="19"/>
      <c r="D27" s="28"/>
    </row>
    <row r="28" spans="2:14" ht="15.7" x14ac:dyDescent="0.55000000000000004">
      <c r="B28" s="19"/>
      <c r="D28" s="28"/>
    </row>
    <row r="29" spans="2:14" ht="15.7" x14ac:dyDescent="0.55000000000000004">
      <c r="B29" s="19"/>
      <c r="D29" s="28"/>
    </row>
    <row r="30" spans="2:14" ht="15.7" x14ac:dyDescent="0.55000000000000004">
      <c r="B30" s="19"/>
      <c r="D30" s="28"/>
    </row>
    <row r="31" spans="2:14" ht="15.7" x14ac:dyDescent="0.55000000000000004">
      <c r="B31" s="19"/>
      <c r="D31" s="28"/>
    </row>
    <row r="32" spans="2:14" ht="15.7" x14ac:dyDescent="0.55000000000000004">
      <c r="B32" s="19"/>
      <c r="D32" s="28"/>
    </row>
    <row r="33" spans="2:4" ht="15.7" x14ac:dyDescent="0.55000000000000004">
      <c r="B33" s="19"/>
      <c r="D33" s="28"/>
    </row>
    <row r="34" spans="2:4" ht="15.7" x14ac:dyDescent="0.55000000000000004">
      <c r="B34" s="19"/>
      <c r="D34" s="28"/>
    </row>
    <row r="35" spans="2:4" ht="15.7" x14ac:dyDescent="0.55000000000000004">
      <c r="B35" s="19"/>
      <c r="D35" s="28"/>
    </row>
    <row r="36" spans="2:4" ht="15.7" x14ac:dyDescent="0.55000000000000004">
      <c r="B36" s="19"/>
      <c r="D36" s="28"/>
    </row>
    <row r="37" spans="2:4" ht="15.7" x14ac:dyDescent="0.55000000000000004">
      <c r="B37" s="19"/>
      <c r="D37" s="28"/>
    </row>
    <row r="38" spans="2:4" ht="15.7" x14ac:dyDescent="0.55000000000000004">
      <c r="B38" s="19"/>
      <c r="D38" s="28"/>
    </row>
    <row r="39" spans="2:4" ht="15.7" x14ac:dyDescent="0.55000000000000004">
      <c r="B39" s="19"/>
      <c r="D39" s="28"/>
    </row>
    <row r="40" spans="2:4" ht="15.7" x14ac:dyDescent="0.55000000000000004">
      <c r="B40" s="19"/>
      <c r="D40" s="28"/>
    </row>
    <row r="41" spans="2:4" ht="15.7" x14ac:dyDescent="0.55000000000000004">
      <c r="B41" s="19"/>
      <c r="D41" s="28"/>
    </row>
    <row r="42" spans="2:4" ht="15.7" x14ac:dyDescent="0.55000000000000004">
      <c r="B42" s="19"/>
      <c r="D42" s="28"/>
    </row>
    <row r="43" spans="2:4" ht="15.7" x14ac:dyDescent="0.55000000000000004">
      <c r="B43" s="19"/>
      <c r="D43" s="28"/>
    </row>
    <row r="44" spans="2:4" ht="15.7" x14ac:dyDescent="0.55000000000000004">
      <c r="B44" s="19"/>
      <c r="D44" s="28"/>
    </row>
    <row r="45" spans="2:4" ht="15.7" x14ac:dyDescent="0.55000000000000004">
      <c r="B45" s="19"/>
      <c r="D45" s="28"/>
    </row>
    <row r="46" spans="2:4" ht="15.7" x14ac:dyDescent="0.55000000000000004">
      <c r="B46" s="19"/>
      <c r="D46" s="28"/>
    </row>
    <row r="47" spans="2:4" ht="15.7" x14ac:dyDescent="0.55000000000000004">
      <c r="B47" s="19"/>
      <c r="D47" s="28"/>
    </row>
    <row r="48" spans="2:4" ht="15.7" x14ac:dyDescent="0.55000000000000004">
      <c r="B48" s="19"/>
      <c r="D48" s="28"/>
    </row>
    <row r="49" spans="2:4" ht="15.7" x14ac:dyDescent="0.55000000000000004">
      <c r="B49" s="19"/>
      <c r="D49" s="28"/>
    </row>
    <row r="50" spans="2:4" ht="15.7" x14ac:dyDescent="0.55000000000000004">
      <c r="B50" s="19"/>
      <c r="D50" s="28"/>
    </row>
    <row r="51" spans="2:4" ht="15.7" x14ac:dyDescent="0.55000000000000004">
      <c r="B51" s="19"/>
      <c r="D51" s="28"/>
    </row>
    <row r="52" spans="2:4" ht="15.7" x14ac:dyDescent="0.55000000000000004">
      <c r="B52" s="19"/>
      <c r="D52" s="28"/>
    </row>
    <row r="53" spans="2:4" ht="15.7" x14ac:dyDescent="0.55000000000000004">
      <c r="B53" s="19"/>
      <c r="D53" s="28"/>
    </row>
    <row r="54" spans="2:4" ht="15.7" x14ac:dyDescent="0.55000000000000004">
      <c r="B54" s="19"/>
      <c r="D54" s="28"/>
    </row>
    <row r="55" spans="2:4" ht="15.7" x14ac:dyDescent="0.55000000000000004">
      <c r="B55" s="19"/>
      <c r="D55" s="28"/>
    </row>
    <row r="56" spans="2:4" ht="15.7" x14ac:dyDescent="0.55000000000000004">
      <c r="B56" s="19"/>
      <c r="D56" s="28"/>
    </row>
    <row r="57" spans="2:4" ht="15.7" x14ac:dyDescent="0.55000000000000004">
      <c r="B57" s="19"/>
      <c r="D57" s="28"/>
    </row>
    <row r="58" spans="2:4" ht="15.7" x14ac:dyDescent="0.55000000000000004">
      <c r="B58" s="19"/>
      <c r="D58" s="28"/>
    </row>
    <row r="59" spans="2:4" ht="15.7" x14ac:dyDescent="0.55000000000000004">
      <c r="B59" s="19"/>
      <c r="D59" s="28"/>
    </row>
    <row r="60" spans="2:4" ht="15.7" x14ac:dyDescent="0.55000000000000004">
      <c r="B60" s="19"/>
      <c r="D60" s="28"/>
    </row>
    <row r="61" spans="2:4" ht="15.7" x14ac:dyDescent="0.55000000000000004">
      <c r="B61" s="19"/>
      <c r="D61" s="28"/>
    </row>
    <row r="62" spans="2:4" ht="15.7" x14ac:dyDescent="0.55000000000000004">
      <c r="B62" s="19"/>
      <c r="D62" s="28"/>
    </row>
    <row r="63" spans="2:4" ht="15.7" x14ac:dyDescent="0.55000000000000004">
      <c r="B63" s="19"/>
      <c r="D63" s="28"/>
    </row>
    <row r="64" spans="2:4" ht="15.7" x14ac:dyDescent="0.55000000000000004">
      <c r="B64" s="19"/>
      <c r="D64" s="28"/>
    </row>
    <row r="65" spans="2:4" ht="15.7" x14ac:dyDescent="0.55000000000000004">
      <c r="B65" s="19"/>
      <c r="D65" s="28"/>
    </row>
    <row r="66" spans="2:4" ht="15.7" x14ac:dyDescent="0.55000000000000004">
      <c r="B66" s="19"/>
      <c r="D66" s="28"/>
    </row>
    <row r="67" spans="2:4" ht="15.7" x14ac:dyDescent="0.55000000000000004">
      <c r="B67" s="19"/>
      <c r="D67" s="28"/>
    </row>
    <row r="68" spans="2:4" ht="15.7" x14ac:dyDescent="0.55000000000000004">
      <c r="B68" s="19"/>
      <c r="D68" s="28"/>
    </row>
    <row r="69" spans="2:4" ht="15.7" x14ac:dyDescent="0.55000000000000004">
      <c r="B69" s="19"/>
      <c r="D69" s="28"/>
    </row>
    <row r="70" spans="2:4" ht="15.7" x14ac:dyDescent="0.55000000000000004">
      <c r="B70" s="19"/>
      <c r="D70" s="28"/>
    </row>
    <row r="71" spans="2:4" ht="15.7" x14ac:dyDescent="0.55000000000000004">
      <c r="B71" s="19"/>
      <c r="D71" s="28"/>
    </row>
    <row r="72" spans="2:4" ht="15.7" x14ac:dyDescent="0.55000000000000004">
      <c r="B72" s="19"/>
      <c r="D72" s="28"/>
    </row>
    <row r="73" spans="2:4" ht="15.7" x14ac:dyDescent="0.55000000000000004">
      <c r="B73" s="19"/>
      <c r="D73" s="28"/>
    </row>
    <row r="74" spans="2:4" ht="15.7" x14ac:dyDescent="0.55000000000000004">
      <c r="B74" s="19"/>
      <c r="D74" s="28"/>
    </row>
    <row r="75" spans="2:4" ht="15.7" x14ac:dyDescent="0.55000000000000004">
      <c r="B75" s="19"/>
      <c r="D75" s="28"/>
    </row>
    <row r="76" spans="2:4" ht="15.7" x14ac:dyDescent="0.55000000000000004">
      <c r="B76" s="19"/>
      <c r="D76" s="28"/>
    </row>
    <row r="77" spans="2:4" ht="15.7" x14ac:dyDescent="0.55000000000000004">
      <c r="B77" s="19"/>
      <c r="D77" s="28"/>
    </row>
    <row r="78" spans="2:4" ht="15.7" x14ac:dyDescent="0.55000000000000004">
      <c r="B78" s="19"/>
      <c r="D78" s="28"/>
    </row>
    <row r="79" spans="2:4" ht="15.7" x14ac:dyDescent="0.55000000000000004">
      <c r="B79" s="19"/>
      <c r="D79" s="28"/>
    </row>
    <row r="80" spans="2:4" ht="15.7" x14ac:dyDescent="0.55000000000000004">
      <c r="B80" s="19"/>
      <c r="D80" s="28"/>
    </row>
    <row r="81" spans="2:4" ht="15.7" x14ac:dyDescent="0.55000000000000004">
      <c r="B81" s="19"/>
      <c r="D81" s="28"/>
    </row>
    <row r="82" spans="2:4" x14ac:dyDescent="0.5">
      <c r="D82" s="28"/>
    </row>
    <row r="83" spans="2:4" x14ac:dyDescent="0.5">
      <c r="D83" s="28"/>
    </row>
    <row r="84" spans="2:4" x14ac:dyDescent="0.5">
      <c r="D84" s="28"/>
    </row>
    <row r="85" spans="2:4" x14ac:dyDescent="0.5">
      <c r="D85" s="28"/>
    </row>
    <row r="86" spans="2:4" x14ac:dyDescent="0.5">
      <c r="D86" s="28"/>
    </row>
    <row r="87" spans="2:4" x14ac:dyDescent="0.5">
      <c r="D87" s="28"/>
    </row>
    <row r="88" spans="2:4" x14ac:dyDescent="0.5">
      <c r="D88" s="28"/>
    </row>
    <row r="89" spans="2:4" x14ac:dyDescent="0.5">
      <c r="D89" s="28"/>
    </row>
    <row r="90" spans="2:4" x14ac:dyDescent="0.5">
      <c r="D90" s="28"/>
    </row>
    <row r="91" spans="2:4" x14ac:dyDescent="0.5">
      <c r="D91" s="28"/>
    </row>
    <row r="92" spans="2:4" x14ac:dyDescent="0.5">
      <c r="D92" s="28"/>
    </row>
    <row r="93" spans="2:4" x14ac:dyDescent="0.5">
      <c r="D93" s="28"/>
    </row>
    <row r="94" spans="2:4" x14ac:dyDescent="0.5">
      <c r="D94" s="28"/>
    </row>
    <row r="95" spans="2:4" x14ac:dyDescent="0.5">
      <c r="D95" s="28"/>
    </row>
    <row r="96" spans="2:4" x14ac:dyDescent="0.5">
      <c r="D96" s="28"/>
    </row>
    <row r="97" spans="4:4" x14ac:dyDescent="0.5">
      <c r="D97" s="28"/>
    </row>
    <row r="98" spans="4:4" x14ac:dyDescent="0.5">
      <c r="D98" s="28"/>
    </row>
    <row r="99" spans="4:4" x14ac:dyDescent="0.5">
      <c r="D99" s="28"/>
    </row>
    <row r="100" spans="4:4" x14ac:dyDescent="0.5">
      <c r="D100" s="28"/>
    </row>
    <row r="101" spans="4:4" x14ac:dyDescent="0.5">
      <c r="D101" s="28"/>
    </row>
    <row r="102" spans="4:4" x14ac:dyDescent="0.5">
      <c r="D102" s="28"/>
    </row>
    <row r="103" spans="4:4" x14ac:dyDescent="0.5">
      <c r="D103" s="28"/>
    </row>
    <row r="104" spans="4:4" x14ac:dyDescent="0.5">
      <c r="D104" s="28"/>
    </row>
    <row r="105" spans="4:4" x14ac:dyDescent="0.5">
      <c r="D105" s="28"/>
    </row>
    <row r="106" spans="4:4" x14ac:dyDescent="0.5">
      <c r="D106" s="28"/>
    </row>
    <row r="107" spans="4:4" x14ac:dyDescent="0.5">
      <c r="D107" s="28"/>
    </row>
    <row r="108" spans="4:4" x14ac:dyDescent="0.5">
      <c r="D108" s="28"/>
    </row>
    <row r="109" spans="4:4" x14ac:dyDescent="0.5">
      <c r="D109" s="28"/>
    </row>
    <row r="110" spans="4:4" x14ac:dyDescent="0.5">
      <c r="D110" s="28"/>
    </row>
    <row r="111" spans="4:4" x14ac:dyDescent="0.5">
      <c r="D111" s="28"/>
    </row>
    <row r="112" spans="4:4" x14ac:dyDescent="0.5">
      <c r="D112" s="28"/>
    </row>
    <row r="113" spans="4:4" x14ac:dyDescent="0.5">
      <c r="D113" s="28"/>
    </row>
    <row r="114" spans="4:4" x14ac:dyDescent="0.5">
      <c r="D114" s="28"/>
    </row>
    <row r="115" spans="4:4" x14ac:dyDescent="0.5">
      <c r="D115" s="28"/>
    </row>
    <row r="116" spans="4:4" x14ac:dyDescent="0.5">
      <c r="D116" s="28"/>
    </row>
    <row r="117" spans="4:4" x14ac:dyDescent="0.5">
      <c r="D117" s="28"/>
    </row>
    <row r="118" spans="4:4" x14ac:dyDescent="0.5">
      <c r="D118" s="28"/>
    </row>
    <row r="119" spans="4:4" x14ac:dyDescent="0.5">
      <c r="D119" s="28"/>
    </row>
    <row r="120" spans="4:4" x14ac:dyDescent="0.5">
      <c r="D120" s="28"/>
    </row>
    <row r="121" spans="4:4" x14ac:dyDescent="0.5">
      <c r="D121" s="28"/>
    </row>
    <row r="122" spans="4:4" x14ac:dyDescent="0.5">
      <c r="D122" s="28"/>
    </row>
    <row r="123" spans="4:4" x14ac:dyDescent="0.5">
      <c r="D123" s="28"/>
    </row>
    <row r="124" spans="4:4" x14ac:dyDescent="0.5">
      <c r="D124" s="28"/>
    </row>
    <row r="125" spans="4:4" x14ac:dyDescent="0.5">
      <c r="D125" s="28"/>
    </row>
    <row r="126" spans="4:4" x14ac:dyDescent="0.5">
      <c r="D126" s="28"/>
    </row>
    <row r="127" spans="4:4" x14ac:dyDescent="0.5">
      <c r="D127" s="28"/>
    </row>
    <row r="128" spans="4:4" x14ac:dyDescent="0.5">
      <c r="D128" s="28"/>
    </row>
    <row r="129" spans="4:4" x14ac:dyDescent="0.5">
      <c r="D129" s="28"/>
    </row>
    <row r="130" spans="4:4" x14ac:dyDescent="0.5">
      <c r="D130" s="28"/>
    </row>
    <row r="131" spans="4:4" x14ac:dyDescent="0.5">
      <c r="D131" s="28"/>
    </row>
    <row r="132" spans="4:4" x14ac:dyDescent="0.5">
      <c r="D132" s="28"/>
    </row>
    <row r="133" spans="4:4" x14ac:dyDescent="0.5">
      <c r="D133" s="28"/>
    </row>
    <row r="134" spans="4:4" x14ac:dyDescent="0.5">
      <c r="D134" s="28"/>
    </row>
    <row r="135" spans="4:4" x14ac:dyDescent="0.5">
      <c r="D135" s="28"/>
    </row>
    <row r="136" spans="4:4" x14ac:dyDescent="0.5">
      <c r="D136" s="28"/>
    </row>
    <row r="137" spans="4:4" x14ac:dyDescent="0.5">
      <c r="D137" s="28"/>
    </row>
    <row r="138" spans="4:4" x14ac:dyDescent="0.5">
      <c r="D138" s="28"/>
    </row>
    <row r="139" spans="4:4" x14ac:dyDescent="0.5">
      <c r="D139" s="28"/>
    </row>
    <row r="140" spans="4:4" x14ac:dyDescent="0.5">
      <c r="D140" s="28"/>
    </row>
    <row r="141" spans="4:4" x14ac:dyDescent="0.5">
      <c r="D141" s="28"/>
    </row>
    <row r="142" spans="4:4" x14ac:dyDescent="0.5">
      <c r="D142" s="28"/>
    </row>
    <row r="143" spans="4:4" x14ac:dyDescent="0.5">
      <c r="D143" s="28"/>
    </row>
    <row r="144" spans="4:4" x14ac:dyDescent="0.5">
      <c r="D144" s="28"/>
    </row>
    <row r="145" spans="4:4" x14ac:dyDescent="0.5">
      <c r="D145" s="28"/>
    </row>
    <row r="146" spans="4:4" x14ac:dyDescent="0.5">
      <c r="D146" s="28"/>
    </row>
    <row r="147" spans="4:4" x14ac:dyDescent="0.5">
      <c r="D147" s="28"/>
    </row>
    <row r="148" spans="4:4" x14ac:dyDescent="0.5">
      <c r="D148" s="28"/>
    </row>
    <row r="149" spans="4:4" x14ac:dyDescent="0.5">
      <c r="D149" s="28"/>
    </row>
    <row r="150" spans="4:4" x14ac:dyDescent="0.5">
      <c r="D150" s="28"/>
    </row>
    <row r="151" spans="4:4" x14ac:dyDescent="0.5">
      <c r="D151" s="28"/>
    </row>
    <row r="152" spans="4:4" x14ac:dyDescent="0.5">
      <c r="D152" s="28"/>
    </row>
    <row r="153" spans="4:4" x14ac:dyDescent="0.5">
      <c r="D153" s="28"/>
    </row>
    <row r="154" spans="4:4" x14ac:dyDescent="0.5">
      <c r="D154" s="28"/>
    </row>
    <row r="155" spans="4:4" x14ac:dyDescent="0.5">
      <c r="D155" s="28"/>
    </row>
    <row r="156" spans="4:4" x14ac:dyDescent="0.5">
      <c r="D156" s="28"/>
    </row>
    <row r="157" spans="4:4" x14ac:dyDescent="0.5">
      <c r="D157" s="28"/>
    </row>
    <row r="158" spans="4:4" x14ac:dyDescent="0.5">
      <c r="D158" s="28"/>
    </row>
    <row r="159" spans="4:4" x14ac:dyDescent="0.5">
      <c r="D159" s="28"/>
    </row>
    <row r="160" spans="4:4" x14ac:dyDescent="0.5">
      <c r="D160" s="28"/>
    </row>
    <row r="161" spans="4:4" x14ac:dyDescent="0.5">
      <c r="D161" s="28"/>
    </row>
    <row r="162" spans="4:4" x14ac:dyDescent="0.5">
      <c r="D162" s="28"/>
    </row>
    <row r="163" spans="4:4" x14ac:dyDescent="0.5">
      <c r="D163" s="28"/>
    </row>
    <row r="164" spans="4:4" x14ac:dyDescent="0.5">
      <c r="D164" s="28"/>
    </row>
    <row r="165" spans="4:4" x14ac:dyDescent="0.5">
      <c r="D165" s="28"/>
    </row>
    <row r="166" spans="4:4" x14ac:dyDescent="0.5">
      <c r="D166" s="28"/>
    </row>
    <row r="167" spans="4:4" x14ac:dyDescent="0.5">
      <c r="D167" s="28"/>
    </row>
    <row r="168" spans="4:4" x14ac:dyDescent="0.5">
      <c r="D168" s="28"/>
    </row>
    <row r="169" spans="4:4" x14ac:dyDescent="0.5">
      <c r="D169" s="28"/>
    </row>
    <row r="170" spans="4:4" x14ac:dyDescent="0.5">
      <c r="D170" s="28"/>
    </row>
    <row r="171" spans="4:4" x14ac:dyDescent="0.5">
      <c r="D171" s="28"/>
    </row>
    <row r="172" spans="4:4" x14ac:dyDescent="0.5">
      <c r="D172" s="28"/>
    </row>
    <row r="173" spans="4:4" x14ac:dyDescent="0.5">
      <c r="D173" s="28"/>
    </row>
    <row r="174" spans="4:4" x14ac:dyDescent="0.5">
      <c r="D174" s="28"/>
    </row>
    <row r="175" spans="4:4" x14ac:dyDescent="0.5">
      <c r="D175" s="28"/>
    </row>
    <row r="176" spans="4:4" x14ac:dyDescent="0.5">
      <c r="D176" s="28"/>
    </row>
    <row r="177" spans="4:4" x14ac:dyDescent="0.5">
      <c r="D177" s="28"/>
    </row>
    <row r="178" spans="4:4" x14ac:dyDescent="0.5">
      <c r="D178" s="28"/>
    </row>
    <row r="179" spans="4:4" x14ac:dyDescent="0.5">
      <c r="D179" s="28"/>
    </row>
    <row r="180" spans="4:4" x14ac:dyDescent="0.5">
      <c r="D180" s="28"/>
    </row>
    <row r="181" spans="4:4" x14ac:dyDescent="0.5">
      <c r="D181" s="28"/>
    </row>
    <row r="182" spans="4:4" x14ac:dyDescent="0.5">
      <c r="D182" s="28"/>
    </row>
    <row r="183" spans="4:4" x14ac:dyDescent="0.5">
      <c r="D183" s="28"/>
    </row>
    <row r="184" spans="4:4" x14ac:dyDescent="0.5">
      <c r="D184" s="28"/>
    </row>
    <row r="185" spans="4:4" x14ac:dyDescent="0.5">
      <c r="D185" s="28"/>
    </row>
  </sheetData>
  <mergeCells count="4">
    <mergeCell ref="B6:C6"/>
    <mergeCell ref="G5:O5"/>
    <mergeCell ref="A2:B3"/>
    <mergeCell ref="D2:H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Especifico</vt:lpstr>
      <vt:lpstr>Grupos</vt:lpstr>
      <vt:lpstr>Ordem Entrada</vt:lpstr>
      <vt:lpstr>Chaves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Marrane</dc:creator>
  <cp:lastModifiedBy>Wagner Marrane</cp:lastModifiedBy>
  <dcterms:created xsi:type="dcterms:W3CDTF">2025-05-16T11:23:22Z</dcterms:created>
  <dcterms:modified xsi:type="dcterms:W3CDTF">2026-06-04T23:32:23Z</dcterms:modified>
</cp:coreProperties>
</file>