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8c36d979ef23c6/Pessoal/Documentos/Projetos/prosports_v2/personaladmin/reports/"/>
    </mc:Choice>
  </mc:AlternateContent>
  <xr:revisionPtr revIDLastSave="1004" documentId="13_ncr:1_{ADCB1362-1B4F-4BE3-B832-1ECE794E8853}" xr6:coauthVersionLast="47" xr6:coauthVersionMax="47" xr10:uidLastSave="{E1BCD2C1-394C-49A8-B3E4-A7A963C6F707}"/>
  <bookViews>
    <workbookView xWindow="340" yWindow="347" windowWidth="17280" windowHeight="9973" tabRatio="933" xr2:uid="{00000000-000D-0000-FFFF-FFFF00000000}"/>
  </bookViews>
  <sheets>
    <sheet name="77" sheetId="51" r:id="rId1"/>
    <sheet name="76" sheetId="52" r:id="rId2"/>
    <sheet name="75" sheetId="54" r:id="rId3"/>
    <sheet name="74" sheetId="55" r:id="rId4"/>
    <sheet name="73" sheetId="56" r:id="rId5"/>
    <sheet name="72" sheetId="57" r:id="rId6"/>
    <sheet name="71" sheetId="58" r:id="rId7"/>
    <sheet name="70" sheetId="59" r:id="rId8"/>
    <sheet name="69" sheetId="60" r:id="rId9"/>
    <sheet name="68" sheetId="61" r:id="rId10"/>
    <sheet name="67" sheetId="62" r:id="rId11"/>
    <sheet name="66" sheetId="63" r:id="rId12"/>
    <sheet name="65" sheetId="64" r:id="rId13"/>
    <sheet name="64" sheetId="65" r:id="rId14"/>
    <sheet name="63" sheetId="66" r:id="rId15"/>
    <sheet name="62" sheetId="67" r:id="rId16"/>
    <sheet name="61" sheetId="81" r:id="rId17"/>
    <sheet name="60" sheetId="82" r:id="rId18"/>
    <sheet name="59" sheetId="83" r:id="rId19"/>
    <sheet name="58" sheetId="84" r:id="rId20"/>
    <sheet name="57" sheetId="85" r:id="rId21"/>
    <sheet name="56" sheetId="86" r:id="rId22"/>
    <sheet name="55" sheetId="87" r:id="rId23"/>
    <sheet name="54" sheetId="88" r:id="rId24"/>
    <sheet name="53" sheetId="89" r:id="rId25"/>
    <sheet name="52" sheetId="90" r:id="rId26"/>
    <sheet name="51" sheetId="91" r:id="rId27"/>
    <sheet name="50" sheetId="92" r:id="rId28"/>
    <sheet name="49" sheetId="93" r:id="rId29"/>
    <sheet name="48" sheetId="94" r:id="rId30"/>
    <sheet name="47" sheetId="95" r:id="rId31"/>
    <sheet name="46" sheetId="96" r:id="rId32"/>
    <sheet name="45" sheetId="97" r:id="rId33"/>
    <sheet name="44" sheetId="98" r:id="rId34"/>
    <sheet name="43" sheetId="99" r:id="rId35"/>
    <sheet name="42" sheetId="100" r:id="rId36"/>
    <sheet name="41" sheetId="101" r:id="rId37"/>
    <sheet name="40" sheetId="102" r:id="rId38"/>
    <sheet name="39" sheetId="103" r:id="rId39"/>
    <sheet name="38" sheetId="104" r:id="rId40"/>
    <sheet name="37" sheetId="105" r:id="rId41"/>
    <sheet name="36" sheetId="106" r:id="rId42"/>
    <sheet name="35" sheetId="107" r:id="rId43"/>
    <sheet name="34" sheetId="108" r:id="rId44"/>
    <sheet name="33" sheetId="109" r:id="rId45"/>
    <sheet name="32" sheetId="110" r:id="rId46"/>
    <sheet name="31" sheetId="111" r:id="rId47"/>
    <sheet name="30" sheetId="112" r:id="rId48"/>
    <sheet name="29" sheetId="113" r:id="rId49"/>
    <sheet name="28" sheetId="114" r:id="rId50"/>
    <sheet name="27" sheetId="115" r:id="rId51"/>
    <sheet name="26" sheetId="116" r:id="rId52"/>
    <sheet name="25" sheetId="117" r:id="rId53"/>
    <sheet name="24" sheetId="24" r:id="rId54"/>
    <sheet name="23" sheetId="23" r:id="rId55"/>
    <sheet name="22" sheetId="22" r:id="rId56"/>
    <sheet name="21" sheetId="21" r:id="rId57"/>
    <sheet name="20" sheetId="20" r:id="rId58"/>
    <sheet name="19" sheetId="19" r:id="rId59"/>
    <sheet name="18" sheetId="18" r:id="rId60"/>
    <sheet name="17" sheetId="17" r:id="rId61"/>
    <sheet name="16" sheetId="16" r:id="rId62"/>
    <sheet name="15" sheetId="15" r:id="rId63"/>
    <sheet name="14" sheetId="14" r:id="rId64"/>
    <sheet name="13" sheetId="13" r:id="rId65"/>
    <sheet name="12" sheetId="12" r:id="rId66"/>
    <sheet name="11" sheetId="11" r:id="rId67"/>
    <sheet name="10" sheetId="10" r:id="rId68"/>
    <sheet name="09" sheetId="9" r:id="rId69"/>
    <sheet name="08" sheetId="8" r:id="rId70"/>
    <sheet name="07" sheetId="7" r:id="rId71"/>
    <sheet name="06" sheetId="6" r:id="rId72"/>
    <sheet name="05" sheetId="5" r:id="rId73"/>
    <sheet name="04" sheetId="4" r:id="rId74"/>
    <sheet name="03" sheetId="1" r:id="rId75"/>
    <sheet name="02" sheetId="119" r:id="rId7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11" l="1"/>
  <c r="M38" i="12"/>
  <c r="I31" i="13"/>
  <c r="G31" i="14"/>
  <c r="I33" i="14"/>
  <c r="M39" i="14"/>
  <c r="G31" i="15"/>
  <c r="G35" i="15"/>
  <c r="I33" i="15" s="1"/>
  <c r="K38" i="15"/>
  <c r="K39" i="15"/>
  <c r="G32" i="16"/>
  <c r="I34" i="16"/>
  <c r="G36" i="16"/>
  <c r="I31" i="17"/>
  <c r="M33" i="17"/>
  <c r="I35" i="17"/>
  <c r="K37" i="17"/>
  <c r="I39" i="17"/>
  <c r="I31" i="18"/>
  <c r="M33" i="18"/>
  <c r="I35" i="18"/>
  <c r="K38" i="18"/>
  <c r="G39" i="18"/>
  <c r="L31" i="19"/>
  <c r="H33" i="19"/>
  <c r="J34" i="19"/>
  <c r="H35" i="19"/>
  <c r="N36" i="19"/>
  <c r="H37" i="19"/>
  <c r="J38" i="19"/>
  <c r="H39" i="19"/>
  <c r="G32" i="20"/>
  <c r="K33" i="20"/>
  <c r="G35" i="20"/>
  <c r="I36" i="20"/>
  <c r="G37" i="20"/>
  <c r="M38" i="20"/>
  <c r="G39" i="20"/>
  <c r="G32" i="21"/>
  <c r="K33" i="21"/>
  <c r="G35" i="21"/>
  <c r="I36" i="21"/>
  <c r="G37" i="21"/>
  <c r="G39" i="21"/>
  <c r="M39" i="21"/>
  <c r="G31" i="22"/>
  <c r="I33" i="22"/>
  <c r="G35" i="22"/>
  <c r="K36" i="22"/>
  <c r="G38" i="22"/>
  <c r="I39" i="22"/>
  <c r="G31" i="23"/>
  <c r="I33" i="23"/>
  <c r="G35" i="23"/>
  <c r="K37" i="23"/>
  <c r="G39" i="23"/>
  <c r="G31" i="24"/>
  <c r="G33" i="24"/>
  <c r="O33" i="24"/>
  <c r="I35" i="24"/>
  <c r="G37" i="24"/>
  <c r="K39" i="24"/>
  <c r="G31" i="117"/>
  <c r="O32" i="117"/>
  <c r="G33" i="117"/>
  <c r="I35" i="117"/>
  <c r="G37" i="117"/>
  <c r="K39" i="117"/>
  <c r="I31" i="116"/>
  <c r="G32" i="116"/>
  <c r="O33" i="116"/>
  <c r="G34" i="116"/>
  <c r="I36" i="116"/>
  <c r="G38" i="116"/>
  <c r="I31" i="115"/>
  <c r="G32" i="115"/>
  <c r="O33" i="115"/>
  <c r="G34" i="115"/>
  <c r="I36" i="115"/>
  <c r="G38" i="115"/>
  <c r="G31" i="114"/>
  <c r="I33" i="114"/>
  <c r="G34" i="114"/>
  <c r="O35" i="114"/>
  <c r="G36" i="114"/>
  <c r="I38" i="114"/>
  <c r="H31" i="4"/>
  <c r="H30" i="4"/>
  <c r="E112" i="92"/>
  <c r="E110" i="92"/>
  <c r="E108" i="92"/>
  <c r="E106" i="92"/>
  <c r="E104" i="92"/>
  <c r="E102" i="92"/>
  <c r="E100" i="92"/>
  <c r="E98" i="92"/>
  <c r="E96" i="92"/>
  <c r="E94" i="92"/>
  <c r="E92" i="92"/>
  <c r="E90" i="92"/>
  <c r="E87" i="92"/>
  <c r="E85" i="92"/>
  <c r="E83" i="92"/>
  <c r="E81" i="92"/>
  <c r="E79" i="92"/>
  <c r="E77" i="92"/>
  <c r="E74" i="92"/>
  <c r="E72" i="92"/>
  <c r="E70" i="92"/>
  <c r="E68" i="92"/>
  <c r="E66" i="92"/>
  <c r="E64" i="92"/>
  <c r="E61" i="92"/>
  <c r="E58" i="92"/>
  <c r="E56" i="92"/>
  <c r="E54" i="92"/>
  <c r="E52" i="92"/>
  <c r="E50" i="92"/>
  <c r="E48" i="92"/>
  <c r="E46" i="92"/>
  <c r="E44" i="92"/>
  <c r="E42" i="92"/>
  <c r="E40" i="92"/>
  <c r="E38" i="92"/>
  <c r="E36" i="92"/>
  <c r="E33" i="92"/>
  <c r="E31" i="92"/>
  <c r="E29" i="92"/>
  <c r="E27" i="92"/>
  <c r="E25" i="92"/>
  <c r="E23" i="92"/>
  <c r="E20" i="92"/>
  <c r="E18" i="92"/>
  <c r="E16" i="92"/>
  <c r="E14" i="92"/>
  <c r="E12" i="92"/>
  <c r="E10" i="92"/>
  <c r="E7" i="92"/>
  <c r="E42" i="18" l="1"/>
  <c r="E40" i="18"/>
  <c r="E38" i="18"/>
  <c r="E36" i="18"/>
  <c r="G36" i="18" s="1"/>
  <c r="E34" i="18"/>
  <c r="G34" i="18" s="1"/>
  <c r="E32" i="18"/>
  <c r="G32" i="18" s="1"/>
  <c r="E30" i="18"/>
  <c r="E28" i="18"/>
  <c r="E26" i="18"/>
  <c r="E24" i="18"/>
  <c r="E22" i="18"/>
  <c r="E20" i="18"/>
  <c r="E18" i="18"/>
  <c r="E16" i="18"/>
  <c r="E14" i="18"/>
  <c r="E12" i="18"/>
  <c r="E10" i="18"/>
  <c r="E7" i="18"/>
  <c r="E40" i="17"/>
  <c r="E38" i="17"/>
  <c r="G38" i="17" s="1"/>
  <c r="E36" i="17"/>
  <c r="G36" i="17" s="1"/>
  <c r="E34" i="17"/>
  <c r="G34" i="17" s="1"/>
  <c r="E32" i="17"/>
  <c r="G32" i="17" s="1"/>
  <c r="E30" i="17"/>
  <c r="E28" i="17"/>
  <c r="E26" i="17"/>
  <c r="E24" i="17"/>
  <c r="E22" i="17"/>
  <c r="E20" i="17"/>
  <c r="E18" i="17"/>
  <c r="E16" i="17"/>
  <c r="E14" i="17"/>
  <c r="E12" i="17"/>
  <c r="E10" i="17"/>
  <c r="E7" i="17"/>
  <c r="E37" i="16"/>
  <c r="E35" i="16"/>
  <c r="E33" i="16"/>
  <c r="E31" i="16"/>
  <c r="E29" i="16"/>
  <c r="E27" i="16"/>
  <c r="E25" i="16"/>
  <c r="E23" i="16"/>
  <c r="E21" i="16"/>
  <c r="E19" i="16"/>
  <c r="E17" i="16"/>
  <c r="E15" i="16"/>
  <c r="E13" i="16"/>
  <c r="E11" i="16"/>
  <c r="E9" i="16"/>
  <c r="E7" i="16"/>
  <c r="E36" i="15" l="1"/>
  <c r="E34" i="15"/>
  <c r="E32" i="15"/>
  <c r="E30" i="15"/>
  <c r="E28" i="15"/>
  <c r="E26" i="15"/>
  <c r="E24" i="15"/>
  <c r="E22" i="15"/>
  <c r="E20" i="15"/>
  <c r="E18" i="15"/>
  <c r="E16" i="15"/>
  <c r="E14" i="15"/>
  <c r="E12" i="15"/>
  <c r="E10" i="15"/>
  <c r="E7" i="15"/>
  <c r="E34" i="14"/>
  <c r="G34" i="14" s="1"/>
  <c r="E32" i="14"/>
  <c r="E30" i="14"/>
  <c r="E28" i="14"/>
  <c r="E26" i="14"/>
  <c r="E24" i="14"/>
  <c r="E22" i="14"/>
  <c r="E20" i="14"/>
  <c r="E18" i="14"/>
  <c r="E16" i="14"/>
  <c r="E14" i="14"/>
  <c r="E12" i="14"/>
  <c r="E10" i="14"/>
  <c r="E7" i="14"/>
  <c r="E32" i="13"/>
  <c r="G32" i="13" s="1"/>
  <c r="E30" i="13"/>
  <c r="E28" i="13"/>
  <c r="E26" i="13"/>
  <c r="E24" i="13"/>
  <c r="E22" i="13"/>
  <c r="E20" i="13"/>
  <c r="E18" i="13"/>
  <c r="E16" i="13"/>
  <c r="E14" i="13"/>
  <c r="E12" i="13"/>
  <c r="E10" i="13"/>
  <c r="E7" i="13"/>
  <c r="E31" i="12"/>
  <c r="G31" i="12" s="1"/>
  <c r="E29" i="12"/>
  <c r="E27" i="12"/>
  <c r="E25" i="12"/>
  <c r="E23" i="12"/>
  <c r="E20" i="12"/>
  <c r="E18" i="12"/>
  <c r="E16" i="12"/>
  <c r="E14" i="12"/>
  <c r="E12" i="12"/>
  <c r="E10" i="12"/>
  <c r="E7" i="12"/>
  <c r="E29" i="11"/>
  <c r="E27" i="11"/>
  <c r="E25" i="11"/>
  <c r="E23" i="11"/>
  <c r="E21" i="11"/>
  <c r="E18" i="11"/>
  <c r="E16" i="11"/>
  <c r="E14" i="11"/>
  <c r="E12" i="11"/>
  <c r="E10" i="11"/>
  <c r="E7" i="11"/>
  <c r="E26" i="10"/>
  <c r="E24" i="10"/>
  <c r="E22" i="10"/>
  <c r="E20" i="10"/>
  <c r="E18" i="10"/>
  <c r="E16" i="10"/>
  <c r="E14" i="10"/>
  <c r="E12" i="10"/>
  <c r="E10" i="10"/>
  <c r="E7" i="10"/>
  <c r="E24" i="9"/>
  <c r="E22" i="9"/>
  <c r="E20" i="9"/>
  <c r="E18" i="9"/>
  <c r="E16" i="9"/>
  <c r="E14" i="9"/>
  <c r="E12" i="9"/>
  <c r="E10" i="9"/>
  <c r="E7" i="9"/>
  <c r="E18" i="6"/>
  <c r="E16" i="6"/>
  <c r="E14" i="6"/>
  <c r="E12" i="6"/>
  <c r="E10" i="6"/>
  <c r="E7" i="6"/>
  <c r="E16" i="5"/>
  <c r="E14" i="5"/>
  <c r="E12" i="5"/>
  <c r="E10" i="5"/>
  <c r="E7" i="5"/>
  <c r="E14" i="4"/>
  <c r="E12" i="4"/>
  <c r="E10" i="4"/>
  <c r="E8" i="4"/>
  <c r="E12" i="119"/>
  <c r="E8" i="119"/>
  <c r="U9" i="119" l="1"/>
  <c r="R9" i="119"/>
  <c r="W9" i="119"/>
  <c r="O93" i="104" l="1"/>
  <c r="Q88" i="104"/>
  <c r="O83" i="104"/>
  <c r="O86" i="106"/>
  <c r="Q81" i="106"/>
  <c r="O77" i="106"/>
  <c r="AG46" i="104"/>
  <c r="AE46" i="104"/>
  <c r="AG45" i="104"/>
  <c r="AE45" i="104"/>
  <c r="AG44" i="104"/>
  <c r="AE44" i="104"/>
  <c r="AG43" i="104"/>
  <c r="AE43" i="104"/>
  <c r="AG42" i="104"/>
  <c r="AE42" i="104"/>
  <c r="M100" i="105"/>
  <c r="O90" i="105"/>
  <c r="M81" i="105"/>
  <c r="AG45" i="105"/>
  <c r="AE45" i="105"/>
  <c r="AG44" i="105"/>
  <c r="AE44" i="105"/>
  <c r="AG43" i="105"/>
  <c r="AE43" i="105"/>
  <c r="AG42" i="105"/>
  <c r="AE42" i="105"/>
  <c r="AG44" i="106"/>
  <c r="AE44" i="106"/>
  <c r="AG43" i="106"/>
  <c r="AE43" i="106"/>
  <c r="AG42" i="106"/>
  <c r="AE42" i="106"/>
  <c r="AG41" i="106"/>
  <c r="AE41" i="106"/>
  <c r="AG40" i="106"/>
  <c r="AE40" i="106"/>
  <c r="O84" i="107"/>
  <c r="AG41" i="107"/>
  <c r="AE41" i="107"/>
  <c r="AG40" i="107"/>
  <c r="AE40" i="107"/>
  <c r="AG39" i="107"/>
  <c r="AE39" i="107"/>
  <c r="AG38" i="107"/>
  <c r="AE38" i="107"/>
  <c r="AG37" i="107"/>
  <c r="AE37" i="107"/>
  <c r="V10" i="12" l="1"/>
  <c r="V11" i="12"/>
  <c r="V12" i="12"/>
  <c r="V13" i="12"/>
  <c r="V14" i="12"/>
  <c r="V15" i="12"/>
  <c r="V16" i="12"/>
  <c r="V17" i="12"/>
  <c r="V18" i="12"/>
  <c r="V19" i="12"/>
  <c r="V20" i="12"/>
  <c r="V9" i="12"/>
  <c r="V10" i="11"/>
  <c r="V11" i="11"/>
  <c r="V12" i="11"/>
  <c r="V13" i="11"/>
  <c r="V14" i="11"/>
  <c r="V15" i="11"/>
  <c r="V16" i="11"/>
  <c r="V17" i="11"/>
  <c r="V18" i="11"/>
  <c r="V19" i="11"/>
  <c r="V9" i="11"/>
  <c r="T10" i="10"/>
  <c r="T11" i="10"/>
  <c r="T12" i="10"/>
  <c r="T13" i="10"/>
  <c r="T14" i="10"/>
  <c r="T15" i="10"/>
  <c r="T16" i="10"/>
  <c r="T17" i="10"/>
  <c r="T18" i="10"/>
  <c r="T9" i="10"/>
  <c r="V10" i="9"/>
  <c r="V11" i="9"/>
  <c r="V12" i="9"/>
  <c r="V13" i="9"/>
  <c r="V14" i="9"/>
  <c r="V15" i="9"/>
  <c r="V16" i="9"/>
  <c r="V17" i="9"/>
  <c r="V9" i="9"/>
  <c r="T10" i="8"/>
  <c r="T11" i="8"/>
  <c r="T12" i="8"/>
  <c r="T13" i="8"/>
  <c r="T14" i="8"/>
  <c r="T15" i="8"/>
  <c r="T16" i="8"/>
  <c r="T9" i="8"/>
  <c r="T10" i="7"/>
  <c r="T11" i="7"/>
  <c r="T12" i="7"/>
  <c r="T13" i="7"/>
  <c r="T14" i="7"/>
  <c r="T15" i="7"/>
  <c r="T9" i="7"/>
  <c r="T10" i="6"/>
  <c r="T11" i="6"/>
  <c r="T12" i="6"/>
  <c r="T13" i="6"/>
  <c r="T14" i="6"/>
  <c r="T9" i="6"/>
  <c r="T10" i="5"/>
  <c r="T11" i="5"/>
  <c r="T12" i="5"/>
  <c r="T13" i="5"/>
  <c r="T9" i="5"/>
  <c r="R10" i="4"/>
  <c r="R11" i="4"/>
  <c r="R12" i="4"/>
  <c r="R9" i="4"/>
  <c r="R10" i="1"/>
  <c r="R9" i="1"/>
  <c r="W24" i="106"/>
  <c r="AG28" i="106" s="1"/>
  <c r="U22" i="106"/>
  <c r="AE26" i="106" s="1"/>
  <c r="G63" i="106"/>
  <c r="G59" i="106"/>
  <c r="G55" i="106"/>
  <c r="G51" i="106"/>
  <c r="W16" i="106"/>
  <c r="AG20" i="106" s="1"/>
  <c r="G34" i="106"/>
  <c r="U14" i="106"/>
  <c r="AE18" i="106" s="1"/>
  <c r="G26" i="106"/>
  <c r="U12" i="106"/>
  <c r="AE16" i="106" s="1"/>
  <c r="G18" i="106"/>
  <c r="U10" i="106"/>
  <c r="AE14" i="106" s="1"/>
  <c r="U5" i="106"/>
  <c r="AE9" i="106" s="1"/>
  <c r="W39" i="61"/>
  <c r="W37" i="61"/>
  <c r="W35" i="61"/>
  <c r="W8" i="61"/>
  <c r="U32" i="61"/>
  <c r="U30" i="61"/>
  <c r="U28" i="61"/>
  <c r="W27" i="61"/>
  <c r="W26" i="61"/>
  <c r="U25" i="61"/>
  <c r="U23" i="61"/>
  <c r="U21" i="61"/>
  <c r="U19" i="61"/>
  <c r="U6" i="61"/>
  <c r="W15" i="61"/>
  <c r="W13" i="61"/>
  <c r="W11" i="61"/>
  <c r="W5" i="61"/>
  <c r="W35" i="95"/>
  <c r="U18" i="95"/>
  <c r="W33" i="95"/>
  <c r="U17" i="95"/>
  <c r="W31" i="95"/>
  <c r="U14" i="95"/>
  <c r="W29" i="95"/>
  <c r="U13" i="95"/>
  <c r="W11" i="95"/>
  <c r="U11" i="95"/>
  <c r="W10" i="95"/>
  <c r="U10" i="95"/>
  <c r="W25" i="95"/>
  <c r="U9" i="95"/>
  <c r="W23" i="95"/>
  <c r="U6" i="95"/>
  <c r="W21" i="95"/>
  <c r="U21" i="95"/>
  <c r="U20" i="95"/>
  <c r="G7" i="91"/>
  <c r="U5" i="91"/>
  <c r="W5" i="91"/>
  <c r="W6" i="91"/>
  <c r="W25" i="91"/>
  <c r="AG19" i="91" s="1"/>
  <c r="U7" i="91"/>
  <c r="W7" i="91"/>
  <c r="U8" i="91"/>
  <c r="W8" i="91"/>
  <c r="U9" i="91"/>
  <c r="W9" i="91"/>
  <c r="W27" i="91"/>
  <c r="U28" i="91"/>
  <c r="AE22" i="91" s="1"/>
  <c r="U10" i="91"/>
  <c r="W10" i="91"/>
  <c r="W11" i="91"/>
  <c r="W29" i="91"/>
  <c r="AG23" i="91" s="1"/>
  <c r="AG33" i="91"/>
  <c r="U12" i="91"/>
  <c r="W12" i="91"/>
  <c r="U13" i="91"/>
  <c r="W13" i="91"/>
  <c r="U14" i="91"/>
  <c r="X21" i="93"/>
  <c r="X19" i="93"/>
  <c r="H86" i="93"/>
  <c r="X33" i="93"/>
  <c r="V16" i="93"/>
  <c r="V15" i="93"/>
  <c r="V14" i="93"/>
  <c r="X29" i="93"/>
  <c r="V12" i="93"/>
  <c r="X11" i="93"/>
  <c r="X10" i="93"/>
  <c r="V26" i="93"/>
  <c r="X7" i="93"/>
  <c r="V22" i="93"/>
  <c r="W40" i="90"/>
  <c r="W21" i="90"/>
  <c r="W20" i="90"/>
  <c r="W19" i="90"/>
  <c r="W34" i="92"/>
  <c r="W13" i="92"/>
  <c r="W11" i="92"/>
  <c r="W8" i="92"/>
  <c r="G113" i="91"/>
  <c r="W23" i="91"/>
  <c r="AG27" i="91"/>
  <c r="U23" i="91"/>
  <c r="AE17" i="91" s="1"/>
  <c r="AE27" i="91"/>
  <c r="W22" i="91"/>
  <c r="AG16" i="91" s="1"/>
  <c r="AG26" i="91"/>
  <c r="U22" i="91"/>
  <c r="AE26" i="91"/>
  <c r="W21" i="91"/>
  <c r="AG15" i="91" s="1"/>
  <c r="AG25" i="91"/>
  <c r="U21" i="91"/>
  <c r="AE25" i="91"/>
  <c r="W37" i="91"/>
  <c r="W20" i="91"/>
  <c r="U20" i="91"/>
  <c r="AE14" i="91" s="1"/>
  <c r="W19" i="91"/>
  <c r="U36" i="91"/>
  <c r="W35" i="91"/>
  <c r="W18" i="91"/>
  <c r="U18" i="91"/>
  <c r="AE12" i="91" s="1"/>
  <c r="W17" i="91"/>
  <c r="AG11" i="91" s="1"/>
  <c r="U17" i="91"/>
  <c r="G75" i="91"/>
  <c r="W33" i="91"/>
  <c r="W16" i="91"/>
  <c r="AG10" i="91" s="1"/>
  <c r="W15" i="91"/>
  <c r="U32" i="91"/>
  <c r="W31" i="91"/>
  <c r="G77" i="107"/>
  <c r="W7" i="107"/>
  <c r="U7" i="107"/>
  <c r="AE11" i="107" s="1"/>
  <c r="G69" i="107"/>
  <c r="G65" i="107"/>
  <c r="G61" i="107"/>
  <c r="G57" i="107"/>
  <c r="G53" i="107"/>
  <c r="G49" i="107"/>
  <c r="U6" i="107"/>
  <c r="G40" i="107"/>
  <c r="W14" i="107"/>
  <c r="AG18" i="107" s="1"/>
  <c r="U14" i="107"/>
  <c r="AE18" i="107" s="1"/>
  <c r="U13" i="107"/>
  <c r="U12" i="107"/>
  <c r="AE16" i="107" s="1"/>
  <c r="U11" i="107"/>
  <c r="AE15" i="107" s="1"/>
  <c r="U10" i="107"/>
  <c r="AE14" i="107" s="1"/>
  <c r="U9" i="107"/>
  <c r="AE13" i="107" s="1"/>
  <c r="W5" i="107"/>
  <c r="AG9" i="107" s="1"/>
  <c r="G7" i="107"/>
  <c r="U6" i="108"/>
  <c r="AE9" i="108" s="1"/>
  <c r="W13" i="108"/>
  <c r="AG16" i="108" s="1"/>
  <c r="W11" i="108"/>
  <c r="AG14" i="108" s="1"/>
  <c r="W9" i="108"/>
  <c r="AG12" i="108" s="1"/>
  <c r="W5" i="108"/>
  <c r="AG8" i="108" s="1"/>
  <c r="W6" i="115"/>
  <c r="AG10" i="115" s="1"/>
  <c r="W5" i="115"/>
  <c r="AG9" i="115" s="1"/>
  <c r="U16" i="115"/>
  <c r="AE20" i="115" s="1"/>
  <c r="U18" i="112"/>
  <c r="AE22" i="112" s="1"/>
  <c r="U16" i="112"/>
  <c r="AE20" i="112" s="1"/>
  <c r="W14" i="112"/>
  <c r="AG18" i="112" s="1"/>
  <c r="W13" i="112"/>
  <c r="AG17" i="112" s="1"/>
  <c r="W12" i="112"/>
  <c r="AG16" i="112" s="1"/>
  <c r="W11" i="112"/>
  <c r="AG15" i="112" s="1"/>
  <c r="U11" i="112"/>
  <c r="AE15" i="112" s="1"/>
  <c r="W10" i="112"/>
  <c r="AG14" i="112" s="1"/>
  <c r="W9" i="112"/>
  <c r="AG13" i="112" s="1"/>
  <c r="U8" i="112"/>
  <c r="AE12" i="112" s="1"/>
  <c r="W7" i="112"/>
  <c r="AG11" i="112" s="1"/>
  <c r="W6" i="112"/>
  <c r="AG10" i="112" s="1"/>
  <c r="U6" i="112"/>
  <c r="AE10" i="112" s="1"/>
  <c r="W5" i="112"/>
  <c r="AG9" i="112" s="1"/>
  <c r="W24" i="114"/>
  <c r="AG28" i="114" s="1"/>
  <c r="W16" i="114"/>
  <c r="AG20" i="114" s="1"/>
  <c r="W15" i="114"/>
  <c r="AG19" i="114" s="1"/>
  <c r="W14" i="114"/>
  <c r="AG18" i="114" s="1"/>
  <c r="U14" i="114"/>
  <c r="AE18" i="114" s="1"/>
  <c r="W13" i="114"/>
  <c r="AG17" i="114" s="1"/>
  <c r="W12" i="114"/>
  <c r="AG16" i="114" s="1"/>
  <c r="W11" i="114"/>
  <c r="AG15" i="114" s="1"/>
  <c r="W10" i="114"/>
  <c r="AG14" i="114" s="1"/>
  <c r="U10" i="114"/>
  <c r="AE14" i="114" s="1"/>
  <c r="W9" i="114"/>
  <c r="AG13" i="114" s="1"/>
  <c r="W8" i="114"/>
  <c r="AG12" i="114" s="1"/>
  <c r="U8" i="114"/>
  <c r="AE12" i="114" s="1"/>
  <c r="W7" i="114"/>
  <c r="AG11" i="114" s="1"/>
  <c r="W6" i="114"/>
  <c r="AG10" i="114" s="1"/>
  <c r="W5" i="114"/>
  <c r="AG9" i="114" s="1"/>
  <c r="U17" i="114"/>
  <c r="AE21" i="114" s="1"/>
  <c r="U17" i="113"/>
  <c r="AE21" i="113" s="1"/>
  <c r="W16" i="113"/>
  <c r="AG20" i="113" s="1"/>
  <c r="U16" i="113"/>
  <c r="AE20" i="113" s="1"/>
  <c r="U15" i="113"/>
  <c r="AE19" i="113" s="1"/>
  <c r="W14" i="113"/>
  <c r="AG18" i="113" s="1"/>
  <c r="U14" i="113"/>
  <c r="AE18" i="113" s="1"/>
  <c r="U13" i="113"/>
  <c r="AE17" i="113" s="1"/>
  <c r="U12" i="113"/>
  <c r="AE16" i="113" s="1"/>
  <c r="U11" i="113"/>
  <c r="AE15" i="113" s="1"/>
  <c r="G34" i="113"/>
  <c r="U6" i="113"/>
  <c r="AE10" i="113" s="1"/>
  <c r="Q7" i="5"/>
  <c r="Y11" i="5" s="1"/>
  <c r="O7" i="5"/>
  <c r="W11" i="5" s="1"/>
  <c r="U37" i="55"/>
  <c r="W35" i="55"/>
  <c r="U34" i="55"/>
  <c r="W33" i="55"/>
  <c r="W32" i="55"/>
  <c r="U32" i="55"/>
  <c r="W10" i="55"/>
  <c r="U31" i="55"/>
  <c r="G82" i="55"/>
  <c r="W9" i="55"/>
  <c r="W29" i="55"/>
  <c r="W28" i="55"/>
  <c r="W8" i="55"/>
  <c r="U27" i="55"/>
  <c r="U26" i="55"/>
  <c r="U25" i="55"/>
  <c r="U24" i="55"/>
  <c r="W22" i="55"/>
  <c r="U6" i="55"/>
  <c r="U21" i="55"/>
  <c r="U20" i="55"/>
  <c r="U19" i="55"/>
  <c r="U18" i="55"/>
  <c r="U17" i="55"/>
  <c r="U16" i="55"/>
  <c r="AG40" i="108"/>
  <c r="AE40" i="108"/>
  <c r="AG39" i="108"/>
  <c r="AE39" i="108"/>
  <c r="AG38" i="108"/>
  <c r="AE38" i="108"/>
  <c r="AG37" i="108"/>
  <c r="AE37" i="108"/>
  <c r="AG36" i="108"/>
  <c r="AE36" i="108"/>
  <c r="AG35" i="108"/>
  <c r="AE35" i="108"/>
  <c r="AG34" i="108"/>
  <c r="AE34" i="108"/>
  <c r="AG33" i="108"/>
  <c r="AE33" i="108"/>
  <c r="AG32" i="108"/>
  <c r="AE32" i="108"/>
  <c r="AG31" i="108"/>
  <c r="AE31" i="108"/>
  <c r="AG30" i="108"/>
  <c r="AE30" i="108"/>
  <c r="AG29" i="108"/>
  <c r="AE29" i="108"/>
  <c r="AG28" i="108"/>
  <c r="AE28" i="108"/>
  <c r="AG27" i="108"/>
  <c r="AE27" i="108"/>
  <c r="AG26" i="108"/>
  <c r="AE26" i="108"/>
  <c r="AG18" i="108"/>
  <c r="AG10" i="108"/>
  <c r="Q80" i="108"/>
  <c r="AG39" i="109"/>
  <c r="AE39" i="109"/>
  <c r="AG38" i="109"/>
  <c r="AE38" i="109"/>
  <c r="AG37" i="109"/>
  <c r="AE37" i="109"/>
  <c r="AG36" i="109"/>
  <c r="AE36" i="109"/>
  <c r="AG35" i="109"/>
  <c r="AE35" i="109"/>
  <c r="AG34" i="109"/>
  <c r="AE34" i="109"/>
  <c r="AG33" i="109"/>
  <c r="AE33" i="109"/>
  <c r="AG32" i="109"/>
  <c r="AE32" i="109"/>
  <c r="AG31" i="109"/>
  <c r="AE31" i="109"/>
  <c r="AG30" i="109"/>
  <c r="AE30" i="109"/>
  <c r="AG29" i="109"/>
  <c r="AE29" i="109"/>
  <c r="AG28" i="109"/>
  <c r="AE28" i="109"/>
  <c r="AG27" i="109"/>
  <c r="AE27" i="109"/>
  <c r="AG26" i="109"/>
  <c r="AE26" i="109"/>
  <c r="AG25" i="109"/>
  <c r="AE25" i="109"/>
  <c r="AG17" i="109"/>
  <c r="Q77" i="109"/>
  <c r="AE40" i="110"/>
  <c r="AG40" i="110"/>
  <c r="AG39" i="110"/>
  <c r="AE39" i="110"/>
  <c r="AG38" i="110"/>
  <c r="AE38" i="110"/>
  <c r="AG37" i="110"/>
  <c r="AE37" i="110"/>
  <c r="AG36" i="110"/>
  <c r="AE36" i="110"/>
  <c r="AG35" i="110"/>
  <c r="AE35" i="110"/>
  <c r="AG34" i="110"/>
  <c r="AE34" i="110"/>
  <c r="AG33" i="110"/>
  <c r="AE33" i="110"/>
  <c r="AG32" i="110"/>
  <c r="AE32" i="110"/>
  <c r="AG31" i="110"/>
  <c r="AE31" i="110"/>
  <c r="AG30" i="110"/>
  <c r="AE30" i="110"/>
  <c r="AG29" i="110"/>
  <c r="AE29" i="110"/>
  <c r="AG28" i="110"/>
  <c r="AE28" i="110"/>
  <c r="AG27" i="110"/>
  <c r="AE27" i="110"/>
  <c r="AG26" i="110"/>
  <c r="AE26" i="110"/>
  <c r="AG25" i="110"/>
  <c r="AE25" i="110"/>
  <c r="O74" i="110"/>
  <c r="M21" i="111"/>
  <c r="O74" i="111"/>
  <c r="W18" i="112"/>
  <c r="AG22" i="112" s="1"/>
  <c r="W17" i="112"/>
  <c r="AG21" i="112" s="1"/>
  <c r="U17" i="112"/>
  <c r="AE21" i="112" s="1"/>
  <c r="W16" i="112"/>
  <c r="AG20" i="112" s="1"/>
  <c r="W15" i="112"/>
  <c r="AG19" i="112" s="1"/>
  <c r="U15" i="112"/>
  <c r="AE19" i="112" s="1"/>
  <c r="U14" i="112"/>
  <c r="U13" i="112"/>
  <c r="AE17" i="112" s="1"/>
  <c r="U12" i="112"/>
  <c r="AE16" i="112" s="1"/>
  <c r="O73" i="112"/>
  <c r="G67" i="112"/>
  <c r="W26" i="112" s="1"/>
  <c r="AG30" i="112" s="1"/>
  <c r="O72" i="113"/>
  <c r="O72" i="114"/>
  <c r="O69" i="115"/>
  <c r="O68" i="116"/>
  <c r="O65" i="117"/>
  <c r="O67" i="24"/>
  <c r="O62" i="23"/>
  <c r="O59" i="22"/>
  <c r="O55" i="20"/>
  <c r="P51" i="19"/>
  <c r="O47" i="18"/>
  <c r="O46" i="17"/>
  <c r="M41" i="16"/>
  <c r="K42" i="15"/>
  <c r="G11" i="5"/>
  <c r="M40" i="15"/>
  <c r="M40" i="13"/>
  <c r="W22" i="116"/>
  <c r="AG26" i="116" s="1"/>
  <c r="W14" i="116"/>
  <c r="AG18" i="116" s="1"/>
  <c r="W13" i="116"/>
  <c r="AG17" i="116" s="1"/>
  <c r="U13" i="116"/>
  <c r="AE17" i="116" s="1"/>
  <c r="W12" i="116"/>
  <c r="AG16" i="116" s="1"/>
  <c r="G45" i="116"/>
  <c r="W11" i="116"/>
  <c r="AG15" i="116" s="1"/>
  <c r="U11" i="116"/>
  <c r="AE15" i="116" s="1"/>
  <c r="W10" i="116"/>
  <c r="AG14" i="116" s="1"/>
  <c r="U10" i="116"/>
  <c r="AE14" i="116" s="1"/>
  <c r="U19" i="116"/>
  <c r="AE23" i="116" s="1"/>
  <c r="W18" i="116"/>
  <c r="AG22" i="116" s="1"/>
  <c r="W9" i="116"/>
  <c r="AG13" i="116" s="1"/>
  <c r="U9" i="116"/>
  <c r="AE13" i="116" s="1"/>
  <c r="W8" i="116"/>
  <c r="U8" i="116"/>
  <c r="AE12" i="116" s="1"/>
  <c r="W7" i="116"/>
  <c r="AG11" i="116" s="1"/>
  <c r="U7" i="116"/>
  <c r="AE11" i="116" s="1"/>
  <c r="W16" i="116"/>
  <c r="AG20" i="116" s="1"/>
  <c r="W6" i="116"/>
  <c r="AG10" i="116" s="1"/>
  <c r="U6" i="116"/>
  <c r="AE10" i="116" s="1"/>
  <c r="W5" i="116"/>
  <c r="AG9" i="116" s="1"/>
  <c r="G7" i="116"/>
  <c r="W13" i="117"/>
  <c r="AG17" i="117" s="1"/>
  <c r="U13" i="117"/>
  <c r="AE17" i="117" s="1"/>
  <c r="W12" i="117"/>
  <c r="AG16" i="117" s="1"/>
  <c r="W11" i="117"/>
  <c r="AG15" i="117" s="1"/>
  <c r="U11" i="117"/>
  <c r="AE15" i="117" s="1"/>
  <c r="W19" i="117"/>
  <c r="AG23" i="117" s="1"/>
  <c r="W10" i="117"/>
  <c r="AG14" i="117" s="1"/>
  <c r="U10" i="117"/>
  <c r="AE14" i="117" s="1"/>
  <c r="W9" i="117"/>
  <c r="AG13" i="117" s="1"/>
  <c r="U9" i="117"/>
  <c r="AE13" i="117" s="1"/>
  <c r="W17" i="117"/>
  <c r="AG21" i="117" s="1"/>
  <c r="W8" i="117"/>
  <c r="AG12" i="117" s="1"/>
  <c r="U8" i="117"/>
  <c r="AE12" i="117" s="1"/>
  <c r="W7" i="117"/>
  <c r="AG11" i="117" s="1"/>
  <c r="U7" i="117"/>
  <c r="AE11" i="117" s="1"/>
  <c r="W15" i="117"/>
  <c r="AG19" i="117" s="1"/>
  <c r="U5" i="117"/>
  <c r="AE9" i="117" s="1"/>
  <c r="U14" i="117"/>
  <c r="AE18" i="117" s="1"/>
  <c r="U11" i="24"/>
  <c r="AE15" i="24" s="1"/>
  <c r="W18" i="24"/>
  <c r="AG22" i="24" s="1"/>
  <c r="U10" i="24"/>
  <c r="AE14" i="24" s="1"/>
  <c r="U7" i="24"/>
  <c r="AE11" i="24" s="1"/>
  <c r="W14" i="24"/>
  <c r="AG18" i="24" s="1"/>
  <c r="W19" i="23"/>
  <c r="AG23" i="23" s="1"/>
  <c r="U11" i="23"/>
  <c r="AE15" i="23" s="1"/>
  <c r="U10" i="23"/>
  <c r="AE14" i="23" s="1"/>
  <c r="W17" i="23"/>
  <c r="AG21" i="23" s="1"/>
  <c r="U9" i="23"/>
  <c r="AE13" i="23" s="1"/>
  <c r="U8" i="23"/>
  <c r="AE12" i="23" s="1"/>
  <c r="W15" i="23"/>
  <c r="AG19" i="23" s="1"/>
  <c r="U7" i="23"/>
  <c r="AE11" i="23" s="1"/>
  <c r="U6" i="23"/>
  <c r="AE10" i="23" s="1"/>
  <c r="W13" i="23"/>
  <c r="AG17" i="23" s="1"/>
  <c r="W5" i="23"/>
  <c r="AG9" i="23" s="1"/>
  <c r="U5" i="23"/>
  <c r="AE9" i="23" s="1"/>
  <c r="U12" i="23"/>
  <c r="AE16" i="23" s="1"/>
  <c r="W18" i="22"/>
  <c r="AG22" i="22" s="1"/>
  <c r="U9" i="22"/>
  <c r="AE13" i="22" s="1"/>
  <c r="U17" i="22"/>
  <c r="AE21" i="22" s="1"/>
  <c r="G40" i="22"/>
  <c r="U16" i="22"/>
  <c r="AE20" i="22" s="1"/>
  <c r="W8" i="22"/>
  <c r="AG12" i="22" s="1"/>
  <c r="U15" i="22"/>
  <c r="AE19" i="22" s="1"/>
  <c r="W7" i="22"/>
  <c r="AG11" i="22" s="1"/>
  <c r="W6" i="22"/>
  <c r="AG10" i="22" s="1"/>
  <c r="U13" i="22"/>
  <c r="AE17" i="22" s="1"/>
  <c r="W12" i="22"/>
  <c r="AG16" i="22" s="1"/>
  <c r="U12" i="22"/>
  <c r="AE16" i="22" s="1"/>
  <c r="W5" i="22"/>
  <c r="AG9" i="22" s="1"/>
  <c r="U5" i="22"/>
  <c r="AE9" i="22" s="1"/>
  <c r="G7" i="22"/>
  <c r="W9" i="21"/>
  <c r="AG13" i="21" s="1"/>
  <c r="W8" i="21"/>
  <c r="AG12" i="21" s="1"/>
  <c r="U16" i="21"/>
  <c r="AE20" i="21" s="1"/>
  <c r="U15" i="21"/>
  <c r="AE19" i="21" s="1"/>
  <c r="U7" i="21"/>
  <c r="AE11" i="21" s="1"/>
  <c r="W13" i="21"/>
  <c r="AG17" i="21" s="1"/>
  <c r="U6" i="21"/>
  <c r="AE10" i="21" s="1"/>
  <c r="U12" i="21"/>
  <c r="AE16" i="21" s="1"/>
  <c r="U11" i="21"/>
  <c r="AE15" i="21" s="1"/>
  <c r="U5" i="21"/>
  <c r="AE9" i="21" s="1"/>
  <c r="W16" i="20"/>
  <c r="AG20" i="20" s="1"/>
  <c r="W8" i="20"/>
  <c r="AG12" i="20" s="1"/>
  <c r="U8" i="20"/>
  <c r="AE12" i="20" s="1"/>
  <c r="U15" i="20"/>
  <c r="AE19" i="20" s="1"/>
  <c r="U14" i="20"/>
  <c r="AE18" i="20" s="1"/>
  <c r="W7" i="20"/>
  <c r="AG11" i="20" s="1"/>
  <c r="U7" i="20"/>
  <c r="AE11" i="20" s="1"/>
  <c r="U13" i="20"/>
  <c r="AE17" i="20" s="1"/>
  <c r="W12" i="20"/>
  <c r="AG16" i="20" s="1"/>
  <c r="W6" i="20"/>
  <c r="AG10" i="20" s="1"/>
  <c r="W11" i="20"/>
  <c r="AG15" i="20" s="1"/>
  <c r="U11" i="20"/>
  <c r="AE15" i="20" s="1"/>
  <c r="W10" i="20"/>
  <c r="AG14" i="20" s="1"/>
  <c r="U10" i="20"/>
  <c r="AE14" i="20" s="1"/>
  <c r="W5" i="20"/>
  <c r="AG9" i="20" s="1"/>
  <c r="U5" i="20"/>
  <c r="AE9" i="20" s="1"/>
  <c r="U9" i="20"/>
  <c r="AE13" i="20" s="1"/>
  <c r="X7" i="19"/>
  <c r="AH11" i="19" s="1"/>
  <c r="V7" i="19"/>
  <c r="AF11" i="19" s="1"/>
  <c r="X14" i="19"/>
  <c r="AH18" i="19" s="1"/>
  <c r="X13" i="19"/>
  <c r="AH17" i="19" s="1"/>
  <c r="X6" i="19"/>
  <c r="AH10" i="19" s="1"/>
  <c r="V12" i="19"/>
  <c r="AF16" i="19" s="1"/>
  <c r="V11" i="19"/>
  <c r="AF15" i="19" s="1"/>
  <c r="X10" i="19"/>
  <c r="AH14" i="19" s="1"/>
  <c r="V10" i="19"/>
  <c r="AF14" i="19" s="1"/>
  <c r="V9" i="19"/>
  <c r="AF13" i="19" s="1"/>
  <c r="W14" i="18"/>
  <c r="W6" i="18"/>
  <c r="U6" i="18"/>
  <c r="U13" i="18"/>
  <c r="W12" i="18"/>
  <c r="U12" i="18"/>
  <c r="W10" i="18"/>
  <c r="U10" i="18"/>
  <c r="U9" i="18"/>
  <c r="U8" i="18"/>
  <c r="W5" i="18"/>
  <c r="U5" i="18"/>
  <c r="U7" i="18"/>
  <c r="U12" i="17"/>
  <c r="AE16" i="17" s="1"/>
  <c r="U11" i="17"/>
  <c r="AE15" i="17" s="1"/>
  <c r="U10" i="17"/>
  <c r="AE14" i="17" s="1"/>
  <c r="U9" i="17"/>
  <c r="AE13" i="17" s="1"/>
  <c r="U8" i="17"/>
  <c r="AE12" i="17" s="1"/>
  <c r="U7" i="17"/>
  <c r="AE11" i="17" s="1"/>
  <c r="W5" i="17"/>
  <c r="AG9" i="17" s="1"/>
  <c r="U5" i="17"/>
  <c r="AE9" i="17" s="1"/>
  <c r="W12" i="16"/>
  <c r="AG16" i="16"/>
  <c r="W11" i="16"/>
  <c r="AG15" i="16"/>
  <c r="W10" i="16"/>
  <c r="AG14" i="16"/>
  <c r="W9" i="16"/>
  <c r="AG13" i="16"/>
  <c r="U9" i="16"/>
  <c r="W8" i="16"/>
  <c r="AG12" i="16"/>
  <c r="W7" i="16"/>
  <c r="AG11" i="16"/>
  <c r="W6" i="16"/>
  <c r="AG10" i="16"/>
  <c r="W5" i="16"/>
  <c r="AG9" i="16"/>
  <c r="U5" i="16"/>
  <c r="W11" i="15"/>
  <c r="AG17" i="15" s="1"/>
  <c r="W10" i="15"/>
  <c r="AG18" i="15" s="1"/>
  <c r="U10" i="15"/>
  <c r="AE18" i="15" s="1"/>
  <c r="W9" i="15"/>
  <c r="AG19" i="15" s="1"/>
  <c r="U9" i="15"/>
  <c r="AE19" i="15" s="1"/>
  <c r="W8" i="15"/>
  <c r="AG20" i="15" s="1"/>
  <c r="U8" i="15"/>
  <c r="AE20" i="15" s="1"/>
  <c r="W7" i="15"/>
  <c r="AG21" i="15" s="1"/>
  <c r="W6" i="15"/>
  <c r="AG22" i="15" s="1"/>
  <c r="U6" i="15"/>
  <c r="AE22" i="15" s="1"/>
  <c r="W5" i="15"/>
  <c r="AG23" i="15" s="1"/>
  <c r="U12" i="15"/>
  <c r="AE16" i="15" s="1"/>
  <c r="Q10" i="14"/>
  <c r="Q9" i="14"/>
  <c r="Q8" i="14"/>
  <c r="Q7" i="14"/>
  <c r="Q6" i="14"/>
  <c r="Q5" i="14"/>
  <c r="O11" i="14"/>
  <c r="W13" i="13"/>
  <c r="W9" i="13"/>
  <c r="W8" i="13"/>
  <c r="U8" i="13"/>
  <c r="W7" i="13"/>
  <c r="U7" i="13"/>
  <c r="G18" i="13"/>
  <c r="W6" i="13"/>
  <c r="AG10" i="13"/>
  <c r="W5" i="13"/>
  <c r="AG9" i="13"/>
  <c r="U10" i="13"/>
  <c r="Q11" i="12"/>
  <c r="Y15" i="12" s="1"/>
  <c r="S6" i="12"/>
  <c r="AA10" i="12" s="1"/>
  <c r="S5" i="12"/>
  <c r="AA9" i="12" s="1"/>
  <c r="Q9" i="12"/>
  <c r="Y13" i="12" s="1"/>
  <c r="S6" i="11"/>
  <c r="AA10" i="11" s="1"/>
  <c r="Q10" i="11"/>
  <c r="Y14" i="11" s="1"/>
  <c r="S9" i="11"/>
  <c r="AA13" i="11" s="1"/>
  <c r="Q9" i="11"/>
  <c r="Y13" i="11" s="1"/>
  <c r="S5" i="11"/>
  <c r="AA9" i="11" s="1"/>
  <c r="Q5" i="11"/>
  <c r="Y9" i="11" s="1"/>
  <c r="Q8" i="11"/>
  <c r="Y12" i="11" s="1"/>
  <c r="O6" i="10"/>
  <c r="W10" i="10" s="1"/>
  <c r="Q9" i="10"/>
  <c r="Y13" i="10" s="1"/>
  <c r="O9" i="10"/>
  <c r="W13" i="10" s="1"/>
  <c r="G14" i="10"/>
  <c r="M30" i="9"/>
  <c r="G22" i="9"/>
  <c r="S8" i="9"/>
  <c r="AA12" i="9" s="1"/>
  <c r="S7" i="9"/>
  <c r="AA11" i="9" s="1"/>
  <c r="G14" i="9"/>
  <c r="Q5" i="9"/>
  <c r="Y9" i="9" s="1"/>
  <c r="K26" i="8"/>
  <c r="O8" i="8"/>
  <c r="W12" i="8" s="1"/>
  <c r="O7" i="8"/>
  <c r="W11" i="8" s="1"/>
  <c r="O6" i="8"/>
  <c r="W10" i="8" s="1"/>
  <c r="K24" i="7"/>
  <c r="Q7" i="7"/>
  <c r="Y11" i="7" s="1"/>
  <c r="Q6" i="7"/>
  <c r="Y10" i="7" s="1"/>
  <c r="Q5" i="7"/>
  <c r="Y9" i="7" s="1"/>
  <c r="O8" i="7"/>
  <c r="W12" i="7" s="1"/>
  <c r="G18" i="6"/>
  <c r="M57" i="21"/>
  <c r="O54" i="21"/>
  <c r="M51" i="21"/>
  <c r="W17" i="21"/>
  <c r="AG21" i="21" s="1"/>
  <c r="W7" i="21"/>
  <c r="AG11" i="21" s="1"/>
  <c r="U14" i="21"/>
  <c r="AE18" i="21" s="1"/>
  <c r="G20" i="21"/>
  <c r="W11" i="21"/>
  <c r="AG15" i="21" s="1"/>
  <c r="W5" i="21"/>
  <c r="AG9" i="21" s="1"/>
  <c r="U10" i="21"/>
  <c r="AE14" i="21" s="1"/>
  <c r="K23" i="5"/>
  <c r="I20" i="4"/>
  <c r="M6" i="4"/>
  <c r="U10" i="4" s="1"/>
  <c r="M5" i="4"/>
  <c r="U9" i="4" s="1"/>
  <c r="M5" i="1"/>
  <c r="U9" i="1" s="1"/>
  <c r="M6" i="1"/>
  <c r="U10" i="1" s="1"/>
  <c r="Q6" i="10"/>
  <c r="Y10" i="10" s="1"/>
  <c r="Q5" i="10"/>
  <c r="Y9" i="10" s="1"/>
  <c r="O5" i="10"/>
  <c r="W9" i="10" s="1"/>
  <c r="U5" i="112"/>
  <c r="AE9" i="112" s="1"/>
  <c r="U7" i="112"/>
  <c r="AE11" i="112" s="1"/>
  <c r="W8" i="112"/>
  <c r="AG12" i="112" s="1"/>
  <c r="U9" i="112"/>
  <c r="AE13" i="112" s="1"/>
  <c r="U10" i="112"/>
  <c r="AE14" i="112" s="1"/>
  <c r="U19" i="112"/>
  <c r="AE23" i="112" s="1"/>
  <c r="AE18" i="112"/>
  <c r="AG23" i="112"/>
  <c r="AE24" i="112"/>
  <c r="AG24" i="112"/>
  <c r="AE25" i="112"/>
  <c r="AG25" i="112"/>
  <c r="AE26" i="112"/>
  <c r="AG26" i="112"/>
  <c r="AE27" i="112"/>
  <c r="AG27" i="112"/>
  <c r="AE28" i="112"/>
  <c r="AG28" i="112"/>
  <c r="AE29" i="112"/>
  <c r="AG29" i="112"/>
  <c r="AE30" i="112"/>
  <c r="AE31" i="112"/>
  <c r="AG31" i="112"/>
  <c r="AE32" i="112"/>
  <c r="AG32" i="112"/>
  <c r="AE33" i="112"/>
  <c r="AG33" i="112"/>
  <c r="AE34" i="112"/>
  <c r="AG34" i="112"/>
  <c r="AE35" i="112"/>
  <c r="AG35" i="112"/>
  <c r="AE36" i="112"/>
  <c r="AG36" i="112"/>
  <c r="AE37" i="112"/>
  <c r="AG37" i="112"/>
  <c r="AE38" i="112"/>
  <c r="AG38" i="112"/>
  <c r="G63" i="112"/>
  <c r="G59" i="112"/>
  <c r="G55" i="112"/>
  <c r="G51" i="112"/>
  <c r="G47" i="112"/>
  <c r="G43" i="112"/>
  <c r="G39" i="112"/>
  <c r="O5" i="1"/>
  <c r="W9" i="1" s="1"/>
  <c r="W10" i="1"/>
  <c r="O6" i="4"/>
  <c r="W10" i="4" s="1"/>
  <c r="O5" i="4"/>
  <c r="W9" i="4" s="1"/>
  <c r="W12" i="4"/>
  <c r="U12" i="4"/>
  <c r="W11" i="4"/>
  <c r="U11" i="4"/>
  <c r="Y13" i="5"/>
  <c r="W13" i="5"/>
  <c r="Y12" i="5"/>
  <c r="W12" i="5"/>
  <c r="Y10" i="5"/>
  <c r="Q5" i="5"/>
  <c r="Y9" i="5" s="1"/>
  <c r="O5" i="5"/>
  <c r="W9" i="5" s="1"/>
  <c r="Q8" i="6"/>
  <c r="Y12" i="6" s="1"/>
  <c r="Y14" i="6"/>
  <c r="W14" i="6"/>
  <c r="Y13" i="6"/>
  <c r="W13" i="6"/>
  <c r="W12" i="6"/>
  <c r="Y11" i="6"/>
  <c r="O7" i="6"/>
  <c r="W11" i="6" s="1"/>
  <c r="Q6" i="6"/>
  <c r="Y10" i="6" s="1"/>
  <c r="O6" i="6"/>
  <c r="W10" i="6" s="1"/>
  <c r="Q5" i="6"/>
  <c r="Y9" i="6" s="1"/>
  <c r="O5" i="6"/>
  <c r="W9" i="6" s="1"/>
  <c r="O7" i="7"/>
  <c r="W11" i="7" s="1"/>
  <c r="O6" i="7"/>
  <c r="W10" i="7" s="1"/>
  <c r="O5" i="7"/>
  <c r="W9" i="7" s="1"/>
  <c r="Y15" i="7"/>
  <c r="W15" i="7"/>
  <c r="Y14" i="7"/>
  <c r="W14" i="7"/>
  <c r="Y13" i="7"/>
  <c r="W13" i="7"/>
  <c r="Y12" i="7"/>
  <c r="Q8" i="8"/>
  <c r="Y12" i="8" s="1"/>
  <c r="Q7" i="8"/>
  <c r="Y11" i="8" s="1"/>
  <c r="Q6" i="8"/>
  <c r="Y10" i="8" s="1"/>
  <c r="Q5" i="8"/>
  <c r="Y9" i="8" s="1"/>
  <c r="O5" i="8"/>
  <c r="W9" i="8" s="1"/>
  <c r="Y16" i="8"/>
  <c r="W16" i="8"/>
  <c r="Y15" i="8"/>
  <c r="W15" i="8"/>
  <c r="Y14" i="8"/>
  <c r="W14" i="8"/>
  <c r="Y13" i="8"/>
  <c r="W13" i="8"/>
  <c r="S9" i="9"/>
  <c r="AA13" i="9" s="1"/>
  <c r="Q9" i="9"/>
  <c r="Y13" i="9" s="1"/>
  <c r="AA17" i="9"/>
  <c r="Y17" i="9"/>
  <c r="AA16" i="9"/>
  <c r="Y16" i="9"/>
  <c r="AA15" i="9"/>
  <c r="Y15" i="9"/>
  <c r="AA14" i="9"/>
  <c r="Y14" i="9"/>
  <c r="AA10" i="9"/>
  <c r="Q8" i="9"/>
  <c r="Y12" i="9" s="1"/>
  <c r="Q7" i="9"/>
  <c r="Y11" i="9" s="1"/>
  <c r="Q6" i="9"/>
  <c r="Y10" i="9" s="1"/>
  <c r="S5" i="9"/>
  <c r="AA9" i="9" s="1"/>
  <c r="Q10" i="10"/>
  <c r="Y14" i="10" s="1"/>
  <c r="Y18" i="10"/>
  <c r="W18" i="10"/>
  <c r="Y17" i="10"/>
  <c r="W17" i="10"/>
  <c r="Y16" i="10"/>
  <c r="W16" i="10"/>
  <c r="Y15" i="10"/>
  <c r="W15" i="10"/>
  <c r="W14" i="10"/>
  <c r="Y11" i="10"/>
  <c r="Q8" i="10"/>
  <c r="Y12" i="10" s="1"/>
  <c r="O8" i="10"/>
  <c r="W12" i="10" s="1"/>
  <c r="O7" i="10"/>
  <c r="W11" i="10" s="1"/>
  <c r="S11" i="11"/>
  <c r="AA15" i="11" s="1"/>
  <c r="S7" i="11"/>
  <c r="AA11" i="11" s="1"/>
  <c r="Q7" i="11"/>
  <c r="Y11" i="11" s="1"/>
  <c r="Q6" i="11"/>
  <c r="Y10" i="11" s="1"/>
  <c r="AA19" i="11"/>
  <c r="Y19" i="11"/>
  <c r="AA18" i="11"/>
  <c r="Y18" i="11"/>
  <c r="AA17" i="11"/>
  <c r="Y17" i="11"/>
  <c r="AA16" i="11"/>
  <c r="Y16" i="11"/>
  <c r="Y15" i="11"/>
  <c r="AA14" i="11"/>
  <c r="AA12" i="11"/>
  <c r="S12" i="12"/>
  <c r="AA16" i="12" s="1"/>
  <c r="S8" i="12"/>
  <c r="Q8" i="12"/>
  <c r="Y12" i="12" s="1"/>
  <c r="S7" i="12"/>
  <c r="AA11" i="12" s="1"/>
  <c r="Q7" i="12"/>
  <c r="Y11" i="12" s="1"/>
  <c r="AA20" i="12"/>
  <c r="Y20" i="12"/>
  <c r="AA19" i="12"/>
  <c r="Y19" i="12"/>
  <c r="AA18" i="12"/>
  <c r="Y18" i="12"/>
  <c r="AA17" i="12"/>
  <c r="Y17" i="12"/>
  <c r="Y16" i="12"/>
  <c r="AA15" i="12"/>
  <c r="Y14" i="12"/>
  <c r="AA13" i="12"/>
  <c r="AA12" i="12"/>
  <c r="S10" i="12"/>
  <c r="AA14" i="12" s="1"/>
  <c r="Q6" i="12"/>
  <c r="Y10" i="12" s="1"/>
  <c r="Q5" i="12"/>
  <c r="Y9" i="12" s="1"/>
  <c r="U9" i="13"/>
  <c r="AG21" i="13"/>
  <c r="AE21" i="13"/>
  <c r="AG20" i="13"/>
  <c r="AE20" i="13"/>
  <c r="AG19" i="13"/>
  <c r="AE19" i="13"/>
  <c r="AG18" i="13"/>
  <c r="AE18" i="13"/>
  <c r="AG17" i="13"/>
  <c r="AE17" i="13"/>
  <c r="AG16" i="13"/>
  <c r="AE16" i="13"/>
  <c r="AE15" i="13"/>
  <c r="AG14" i="13"/>
  <c r="AG13" i="13"/>
  <c r="AE13" i="13"/>
  <c r="AG12" i="13"/>
  <c r="AE12" i="13"/>
  <c r="AG11" i="13"/>
  <c r="AE11" i="13"/>
  <c r="AE14" i="13"/>
  <c r="U6" i="13"/>
  <c r="AE10" i="13"/>
  <c r="U5" i="13"/>
  <c r="AE9" i="13"/>
  <c r="Q14" i="14"/>
  <c r="Y22" i="14"/>
  <c r="W22" i="14"/>
  <c r="Y21" i="14"/>
  <c r="W21" i="14"/>
  <c r="Y20" i="14"/>
  <c r="W20" i="14"/>
  <c r="Y19" i="14"/>
  <c r="W19" i="14"/>
  <c r="Y18" i="14"/>
  <c r="W18" i="14"/>
  <c r="Y17" i="14"/>
  <c r="W17" i="14"/>
  <c r="Y16" i="14"/>
  <c r="W16" i="14"/>
  <c r="Y15" i="14"/>
  <c r="W15" i="14"/>
  <c r="Y14" i="14"/>
  <c r="O10" i="14"/>
  <c r="W14" i="14"/>
  <c r="Y13" i="14"/>
  <c r="O9" i="14"/>
  <c r="W13" i="14"/>
  <c r="Y12" i="14"/>
  <c r="O8" i="14"/>
  <c r="W12" i="14"/>
  <c r="Y11" i="14"/>
  <c r="O7" i="14"/>
  <c r="W11" i="14"/>
  <c r="Y10" i="14"/>
  <c r="O6" i="14"/>
  <c r="W10" i="14"/>
  <c r="Y9" i="14"/>
  <c r="O5" i="14"/>
  <c r="W9" i="14"/>
  <c r="AG16" i="15"/>
  <c r="AG15" i="15"/>
  <c r="U11" i="15"/>
  <c r="AE17" i="15" s="1"/>
  <c r="AE15" i="15"/>
  <c r="AG14" i="15"/>
  <c r="AE14" i="15"/>
  <c r="AG13" i="15"/>
  <c r="AE13" i="15"/>
  <c r="AG12" i="15"/>
  <c r="AE12" i="15"/>
  <c r="AG11" i="15"/>
  <c r="U7" i="15"/>
  <c r="AE21" i="15" s="1"/>
  <c r="AE11" i="15"/>
  <c r="AG10" i="15"/>
  <c r="AE10" i="15"/>
  <c r="AG9" i="15"/>
  <c r="U5" i="15"/>
  <c r="AE23" i="15" s="1"/>
  <c r="AE9" i="15"/>
  <c r="U12" i="16"/>
  <c r="AE16" i="16"/>
  <c r="U11" i="16"/>
  <c r="AE15" i="16"/>
  <c r="U10" i="16"/>
  <c r="AE14" i="16"/>
  <c r="AE13" i="16"/>
  <c r="U8" i="16"/>
  <c r="AE12" i="16"/>
  <c r="U7" i="16"/>
  <c r="AE11" i="16"/>
  <c r="U6" i="16"/>
  <c r="AE10" i="16"/>
  <c r="AE9" i="16"/>
  <c r="AG24" i="16"/>
  <c r="AE24" i="16"/>
  <c r="AG23" i="16"/>
  <c r="AE23" i="16"/>
  <c r="AG22" i="16"/>
  <c r="AE22" i="16"/>
  <c r="AG21" i="16"/>
  <c r="AE21" i="16"/>
  <c r="AG20" i="16"/>
  <c r="AE20" i="16"/>
  <c r="AG19" i="16"/>
  <c r="AE19" i="16"/>
  <c r="AG18" i="16"/>
  <c r="AE18" i="16"/>
  <c r="AG17" i="16"/>
  <c r="AE17" i="16"/>
  <c r="W13" i="17"/>
  <c r="AG17" i="17" s="1"/>
  <c r="U13" i="17"/>
  <c r="AE17" i="17" s="1"/>
  <c r="AG25" i="17"/>
  <c r="AE25" i="17"/>
  <c r="AG24" i="17"/>
  <c r="AE24" i="17"/>
  <c r="AG23" i="17"/>
  <c r="AE23" i="17"/>
  <c r="AG22" i="17"/>
  <c r="AE22" i="17"/>
  <c r="AG21" i="17"/>
  <c r="AE21" i="17"/>
  <c r="AG20" i="17"/>
  <c r="AE20" i="17"/>
  <c r="AG19" i="17"/>
  <c r="AE19" i="17"/>
  <c r="AG18" i="17"/>
  <c r="AE18" i="17"/>
  <c r="W12" i="17"/>
  <c r="AG16" i="17" s="1"/>
  <c r="W11" i="17"/>
  <c r="AG15" i="17" s="1"/>
  <c r="W10" i="17"/>
  <c r="AG14" i="17" s="1"/>
  <c r="AG10" i="17"/>
  <c r="W9" i="17"/>
  <c r="AG13" i="17" s="1"/>
  <c r="W8" i="17"/>
  <c r="AG12" i="17" s="1"/>
  <c r="W7" i="17"/>
  <c r="AG11" i="17" s="1"/>
  <c r="U6" i="17"/>
  <c r="AE10" i="17" s="1"/>
  <c r="W13" i="18"/>
  <c r="W11" i="18"/>
  <c r="AG25" i="18"/>
  <c r="AE25" i="18"/>
  <c r="AG24" i="18"/>
  <c r="AE24" i="18"/>
  <c r="AG23" i="18"/>
  <c r="AE23" i="18"/>
  <c r="AG22" i="18"/>
  <c r="AE22" i="18"/>
  <c r="AG21" i="18"/>
  <c r="AE21" i="18"/>
  <c r="AG20" i="18"/>
  <c r="AE20" i="18"/>
  <c r="AG19" i="18"/>
  <c r="AE19" i="18"/>
  <c r="AG18" i="18"/>
  <c r="AE18" i="18"/>
  <c r="AG17" i="18"/>
  <c r="AE17" i="18"/>
  <c r="AG16" i="18"/>
  <c r="AE16" i="18"/>
  <c r="AG15" i="18"/>
  <c r="AE12" i="18"/>
  <c r="U11" i="18"/>
  <c r="AE15" i="18"/>
  <c r="AG11" i="18"/>
  <c r="AG14" i="18"/>
  <c r="AE14" i="18"/>
  <c r="AG10" i="18"/>
  <c r="AE10" i="18"/>
  <c r="W9" i="18"/>
  <c r="AG13" i="18"/>
  <c r="AE13" i="18"/>
  <c r="W8" i="18"/>
  <c r="AG12" i="18"/>
  <c r="AE11" i="18"/>
  <c r="AG9" i="18"/>
  <c r="AE9" i="18"/>
  <c r="X15" i="19"/>
  <c r="AH19" i="19" s="1"/>
  <c r="V14" i="19"/>
  <c r="AF18" i="19" s="1"/>
  <c r="V13" i="19"/>
  <c r="AF17" i="19" s="1"/>
  <c r="X11" i="19"/>
  <c r="AH15" i="19" s="1"/>
  <c r="V6" i="19"/>
  <c r="AF10" i="19" s="1"/>
  <c r="AH27" i="19"/>
  <c r="AF27" i="19"/>
  <c r="AH26" i="19"/>
  <c r="AF26" i="19"/>
  <c r="AH25" i="19"/>
  <c r="AF25" i="19"/>
  <c r="AH24" i="19"/>
  <c r="AF24" i="19"/>
  <c r="AH23" i="19"/>
  <c r="AF23" i="19"/>
  <c r="AH22" i="19"/>
  <c r="AF22" i="19"/>
  <c r="AH21" i="19"/>
  <c r="AF21" i="19"/>
  <c r="AH20" i="19"/>
  <c r="AF20" i="19"/>
  <c r="AF19" i="19"/>
  <c r="AH16" i="19"/>
  <c r="AH12" i="19"/>
  <c r="X9" i="19"/>
  <c r="AH13" i="19" s="1"/>
  <c r="V8" i="19"/>
  <c r="AF12" i="19" s="1"/>
  <c r="X5" i="19"/>
  <c r="AH9" i="19" s="1"/>
  <c r="V5" i="19"/>
  <c r="AF9" i="19" s="1"/>
  <c r="W15" i="20"/>
  <c r="AG19" i="20" s="1"/>
  <c r="AG28" i="20"/>
  <c r="AE28" i="20"/>
  <c r="AG27" i="20"/>
  <c r="AE27" i="20"/>
  <c r="AG26" i="20"/>
  <c r="AE26" i="20"/>
  <c r="AG25" i="20"/>
  <c r="AE25" i="20"/>
  <c r="AG24" i="20"/>
  <c r="AE24" i="20"/>
  <c r="AG23" i="20"/>
  <c r="AE23" i="20"/>
  <c r="AG22" i="20"/>
  <c r="AE22" i="20"/>
  <c r="AG21" i="20"/>
  <c r="AE21" i="20"/>
  <c r="AE20" i="20"/>
  <c r="AG17" i="20"/>
  <c r="AE16" i="20"/>
  <c r="AG13" i="20"/>
  <c r="W14" i="20"/>
  <c r="AG18" i="20" s="1"/>
  <c r="U6" i="20"/>
  <c r="AE10" i="20" s="1"/>
  <c r="W15" i="21"/>
  <c r="AG19" i="21" s="1"/>
  <c r="W12" i="21"/>
  <c r="AG16" i="21" s="1"/>
  <c r="U9" i="21"/>
  <c r="AE13" i="21" s="1"/>
  <c r="U8" i="21"/>
  <c r="AE12" i="21" s="1"/>
  <c r="W6" i="21"/>
  <c r="AG10" i="21" s="1"/>
  <c r="AG29" i="21"/>
  <c r="AE29" i="21"/>
  <c r="AG28" i="21"/>
  <c r="AE28" i="21"/>
  <c r="AG27" i="21"/>
  <c r="AE27" i="21"/>
  <c r="AG26" i="21"/>
  <c r="AE26" i="21"/>
  <c r="AG25" i="21"/>
  <c r="AE25" i="21"/>
  <c r="AG24" i="21"/>
  <c r="AE24" i="21"/>
  <c r="AG23" i="21"/>
  <c r="AE23" i="21"/>
  <c r="AG22" i="21"/>
  <c r="AE22" i="21"/>
  <c r="AE21" i="21"/>
  <c r="AG20" i="21"/>
  <c r="AG18" i="21"/>
  <c r="AE17" i="21"/>
  <c r="AG14" i="21"/>
  <c r="W30" i="100"/>
  <c r="U29" i="100"/>
  <c r="W28" i="100"/>
  <c r="U28" i="100"/>
  <c r="U27" i="100"/>
  <c r="W26" i="100"/>
  <c r="W25" i="100"/>
  <c r="W14" i="100"/>
  <c r="U14" i="100"/>
  <c r="W13" i="100"/>
  <c r="U13" i="100"/>
  <c r="W12" i="100"/>
  <c r="U12" i="100"/>
  <c r="W11" i="100"/>
  <c r="U11" i="100"/>
  <c r="AG55" i="100"/>
  <c r="AE55" i="100"/>
  <c r="AG54" i="100"/>
  <c r="AE54" i="100"/>
  <c r="AG53" i="100"/>
  <c r="AE53" i="100"/>
  <c r="AG51" i="100"/>
  <c r="AE51" i="100"/>
  <c r="AG50" i="100"/>
  <c r="AE50" i="100"/>
  <c r="AG49" i="100"/>
  <c r="AE49" i="100"/>
  <c r="AG48" i="100"/>
  <c r="AE48" i="100"/>
  <c r="AG46" i="100"/>
  <c r="AE46" i="100"/>
  <c r="AG45" i="100"/>
  <c r="AE45" i="100"/>
  <c r="AG44" i="100"/>
  <c r="AE44" i="100"/>
  <c r="AG43" i="100"/>
  <c r="AE43" i="100"/>
  <c r="AG39" i="100"/>
  <c r="AE39" i="100"/>
  <c r="AG38" i="100"/>
  <c r="AE38" i="100"/>
  <c r="AG37" i="100"/>
  <c r="AE37" i="100"/>
  <c r="AG36" i="100"/>
  <c r="AE36" i="100"/>
  <c r="AG35" i="100"/>
  <c r="AE35" i="100"/>
  <c r="AG34" i="100"/>
  <c r="AE34" i="100"/>
  <c r="AG33" i="100"/>
  <c r="AE33" i="100"/>
  <c r="AG32" i="100"/>
  <c r="AE32" i="100"/>
  <c r="AG31" i="100"/>
  <c r="AE31" i="100"/>
  <c r="AG30" i="100"/>
  <c r="AE30" i="100"/>
  <c r="AG29" i="100"/>
  <c r="AE29" i="100"/>
  <c r="AG28" i="100"/>
  <c r="AE28" i="100"/>
  <c r="AG27" i="100"/>
  <c r="AE27" i="100"/>
  <c r="AG26" i="100"/>
  <c r="AE26" i="100"/>
  <c r="U25" i="100"/>
  <c r="W24" i="100"/>
  <c r="U24" i="100"/>
  <c r="U23" i="100"/>
  <c r="W22" i="100"/>
  <c r="U21" i="100"/>
  <c r="AG21" i="100"/>
  <c r="AE21" i="100"/>
  <c r="W20" i="100"/>
  <c r="U20" i="100"/>
  <c r="AG20" i="100"/>
  <c r="AE20" i="100"/>
  <c r="U19" i="100"/>
  <c r="AG19" i="100"/>
  <c r="AE19" i="100"/>
  <c r="W18" i="100"/>
  <c r="W17" i="100"/>
  <c r="U17" i="100"/>
  <c r="AG17" i="100"/>
  <c r="AE17" i="100"/>
  <c r="W16" i="100"/>
  <c r="U16" i="100"/>
  <c r="AG16" i="100"/>
  <c r="AE16" i="100"/>
  <c r="U15" i="100"/>
  <c r="AG15" i="100"/>
  <c r="AE15" i="100"/>
  <c r="AG14" i="100"/>
  <c r="AE14" i="100"/>
  <c r="AG12" i="100"/>
  <c r="AE12" i="100"/>
  <c r="AG11" i="100"/>
  <c r="AE11" i="100"/>
  <c r="AG10" i="100"/>
  <c r="AE10" i="100"/>
  <c r="W10" i="100"/>
  <c r="U10" i="100"/>
  <c r="AG9" i="100"/>
  <c r="AE9" i="100"/>
  <c r="W9" i="100"/>
  <c r="U9" i="100"/>
  <c r="W8" i="100"/>
  <c r="U8" i="100"/>
  <c r="W7" i="100"/>
  <c r="U7" i="100"/>
  <c r="W6" i="100"/>
  <c r="U6" i="100"/>
  <c r="W5" i="100"/>
  <c r="U5" i="100"/>
  <c r="W33" i="97"/>
  <c r="U32" i="97"/>
  <c r="W31" i="97"/>
  <c r="U30" i="97"/>
  <c r="W29" i="97"/>
  <c r="U28" i="97"/>
  <c r="W27" i="97"/>
  <c r="U27" i="97"/>
  <c r="U26" i="97"/>
  <c r="W25" i="97"/>
  <c r="U24" i="97"/>
  <c r="W23" i="97"/>
  <c r="U23" i="97"/>
  <c r="W17" i="97"/>
  <c r="U16" i="97"/>
  <c r="W15" i="97"/>
  <c r="U15" i="97"/>
  <c r="W14" i="97"/>
  <c r="U14" i="97"/>
  <c r="W13" i="97"/>
  <c r="U13" i="97"/>
  <c r="W12" i="97"/>
  <c r="U12" i="97"/>
  <c r="W11" i="97"/>
  <c r="U11" i="97"/>
  <c r="W10" i="97"/>
  <c r="U10" i="97"/>
  <c r="W9" i="97"/>
  <c r="U9" i="97"/>
  <c r="AG55" i="97"/>
  <c r="AE55" i="97"/>
  <c r="AG54" i="97"/>
  <c r="AE54" i="97"/>
  <c r="AG53" i="97"/>
  <c r="AE53" i="97"/>
  <c r="AG51" i="97"/>
  <c r="AE51" i="97"/>
  <c r="AG50" i="97"/>
  <c r="AE50" i="97"/>
  <c r="AG49" i="97"/>
  <c r="AE49" i="97"/>
  <c r="AG48" i="97"/>
  <c r="AE48" i="97"/>
  <c r="AG46" i="97"/>
  <c r="AE46" i="97"/>
  <c r="AG45" i="97"/>
  <c r="AE45" i="97"/>
  <c r="AG44" i="97"/>
  <c r="AE44" i="97"/>
  <c r="AG43" i="97"/>
  <c r="AE43" i="97"/>
  <c r="AG39" i="97"/>
  <c r="AE39" i="97"/>
  <c r="AG38" i="97"/>
  <c r="AE38" i="97"/>
  <c r="AG37" i="97"/>
  <c r="AE37" i="97"/>
  <c r="AG36" i="97"/>
  <c r="AE36" i="97"/>
  <c r="AG35" i="97"/>
  <c r="AE35" i="97"/>
  <c r="AG34" i="97"/>
  <c r="AE34" i="97"/>
  <c r="AG33" i="97"/>
  <c r="AE33" i="97"/>
  <c r="AG32" i="97"/>
  <c r="AE32" i="97"/>
  <c r="AG31" i="97"/>
  <c r="AE31" i="97"/>
  <c r="AG30" i="97"/>
  <c r="AE30" i="97"/>
  <c r="AG29" i="97"/>
  <c r="AE29" i="97"/>
  <c r="AG28" i="97"/>
  <c r="AE28" i="97"/>
  <c r="AG27" i="97"/>
  <c r="AE27" i="97"/>
  <c r="AG26" i="97"/>
  <c r="AE26" i="97"/>
  <c r="U22" i="97"/>
  <c r="W21" i="97"/>
  <c r="AG21" i="97"/>
  <c r="AE21" i="97"/>
  <c r="U20" i="97"/>
  <c r="AG20" i="97"/>
  <c r="AE20" i="97"/>
  <c r="W19" i="97"/>
  <c r="U19" i="97"/>
  <c r="AG19" i="97"/>
  <c r="AE19" i="97"/>
  <c r="U18" i="97"/>
  <c r="AG17" i="97"/>
  <c r="AE17" i="97"/>
  <c r="U17" i="97"/>
  <c r="AG16" i="97"/>
  <c r="AE16" i="97"/>
  <c r="W16" i="97"/>
  <c r="AG15" i="97"/>
  <c r="AE15" i="97"/>
  <c r="AG14" i="97"/>
  <c r="AE14" i="97"/>
  <c r="AG12" i="97"/>
  <c r="AE12" i="97"/>
  <c r="AG11" i="97"/>
  <c r="AE11" i="97"/>
  <c r="AG10" i="97"/>
  <c r="AE10" i="97"/>
  <c r="AG9" i="97"/>
  <c r="AE9" i="97"/>
  <c r="W8" i="97"/>
  <c r="U8" i="97"/>
  <c r="W7" i="97"/>
  <c r="U7" i="97"/>
  <c r="W6" i="97"/>
  <c r="U6" i="97"/>
  <c r="W5" i="97"/>
  <c r="U5" i="97"/>
  <c r="W34" i="96"/>
  <c r="U33" i="96"/>
  <c r="W32" i="96"/>
  <c r="U31" i="96"/>
  <c r="W30" i="96"/>
  <c r="U29" i="96"/>
  <c r="W28" i="96"/>
  <c r="U28" i="96"/>
  <c r="W18" i="96"/>
  <c r="U18" i="96"/>
  <c r="W17" i="96"/>
  <c r="U17" i="96"/>
  <c r="W16" i="96"/>
  <c r="U16" i="96"/>
  <c r="W15" i="96"/>
  <c r="U15" i="96"/>
  <c r="W14" i="96"/>
  <c r="U14" i="96"/>
  <c r="W13" i="96"/>
  <c r="U13" i="96"/>
  <c r="AG55" i="96"/>
  <c r="AE55" i="96"/>
  <c r="AG54" i="96"/>
  <c r="AE54" i="96"/>
  <c r="AG53" i="96"/>
  <c r="AE53" i="96"/>
  <c r="AG51" i="96"/>
  <c r="AE51" i="96"/>
  <c r="AG50" i="96"/>
  <c r="AE50" i="96"/>
  <c r="AG49" i="96"/>
  <c r="AE49" i="96"/>
  <c r="AG48" i="96"/>
  <c r="AE48" i="96"/>
  <c r="AG46" i="96"/>
  <c r="AE46" i="96"/>
  <c r="AG45" i="96"/>
  <c r="AE45" i="96"/>
  <c r="AG44" i="96"/>
  <c r="AE44" i="96"/>
  <c r="AG43" i="96"/>
  <c r="AE43" i="96"/>
  <c r="AG39" i="96"/>
  <c r="AE39" i="96"/>
  <c r="AG38" i="96"/>
  <c r="AE38" i="96"/>
  <c r="AG37" i="96"/>
  <c r="AE37" i="96"/>
  <c r="AG36" i="96"/>
  <c r="AE36" i="96"/>
  <c r="AG35" i="96"/>
  <c r="AE35" i="96"/>
  <c r="AG34" i="96"/>
  <c r="AE34" i="96"/>
  <c r="AG33" i="96"/>
  <c r="AE33" i="96"/>
  <c r="AG32" i="96"/>
  <c r="AE32" i="96"/>
  <c r="AG31" i="96"/>
  <c r="AE31" i="96"/>
  <c r="AG30" i="96"/>
  <c r="AE30" i="96"/>
  <c r="AG29" i="96"/>
  <c r="AE29" i="96"/>
  <c r="AG28" i="96"/>
  <c r="AE28" i="96"/>
  <c r="U27" i="96"/>
  <c r="AG27" i="96"/>
  <c r="AE27" i="96"/>
  <c r="W26" i="96"/>
  <c r="AG26" i="96"/>
  <c r="AE26" i="96"/>
  <c r="U25" i="96"/>
  <c r="W24" i="96"/>
  <c r="U23" i="96"/>
  <c r="W22" i="96"/>
  <c r="U21" i="96"/>
  <c r="AG21" i="96"/>
  <c r="AE21" i="96"/>
  <c r="W20" i="96"/>
  <c r="U20" i="96"/>
  <c r="AG20" i="96"/>
  <c r="AE20" i="96"/>
  <c r="U19" i="96"/>
  <c r="AG19" i="96"/>
  <c r="AE19" i="96"/>
  <c r="AG17" i="96"/>
  <c r="AE17" i="96"/>
  <c r="AG16" i="96"/>
  <c r="AE16" i="96"/>
  <c r="AG15" i="96"/>
  <c r="AE15" i="96"/>
  <c r="AG14" i="96"/>
  <c r="AE14" i="96"/>
  <c r="AG12" i="96"/>
  <c r="AE12" i="96"/>
  <c r="W12" i="96"/>
  <c r="U12" i="96"/>
  <c r="AG11" i="96"/>
  <c r="AE11" i="96"/>
  <c r="W11" i="96"/>
  <c r="U11" i="96"/>
  <c r="AG10" i="96"/>
  <c r="AE10" i="96"/>
  <c r="W10" i="96"/>
  <c r="U10" i="96"/>
  <c r="AG9" i="96"/>
  <c r="AE9" i="96"/>
  <c r="W9" i="96"/>
  <c r="U9" i="96"/>
  <c r="W8" i="96"/>
  <c r="U8" i="96"/>
  <c r="W7" i="96"/>
  <c r="U7" i="96"/>
  <c r="W6" i="96"/>
  <c r="U6" i="96"/>
  <c r="W5" i="96"/>
  <c r="U5" i="96"/>
  <c r="W16" i="22"/>
  <c r="AG20" i="22" s="1"/>
  <c r="W10" i="22"/>
  <c r="AG14" i="22" s="1"/>
  <c r="U10" i="22"/>
  <c r="AE14" i="22" s="1"/>
  <c r="W9" i="22"/>
  <c r="AG13" i="22" s="1"/>
  <c r="AG30" i="22"/>
  <c r="AE30" i="22"/>
  <c r="AG29" i="22"/>
  <c r="AE29" i="22"/>
  <c r="AG28" i="22"/>
  <c r="AE28" i="22"/>
  <c r="AG27" i="22"/>
  <c r="AE27" i="22"/>
  <c r="AG26" i="22"/>
  <c r="AE26" i="22"/>
  <c r="AG25" i="22"/>
  <c r="AE25" i="22"/>
  <c r="AG24" i="22"/>
  <c r="AE24" i="22"/>
  <c r="AG23" i="22"/>
  <c r="AE23" i="22"/>
  <c r="AE22" i="22"/>
  <c r="AG21" i="22"/>
  <c r="AG19" i="22"/>
  <c r="AE18" i="22"/>
  <c r="AG17" i="22"/>
  <c r="AG15" i="22"/>
  <c r="W14" i="22"/>
  <c r="AG18" i="22" s="1"/>
  <c r="U11" i="22"/>
  <c r="AE15" i="22" s="1"/>
  <c r="U8" i="22"/>
  <c r="AE12" i="22" s="1"/>
  <c r="U7" i="22"/>
  <c r="AE11" i="22" s="1"/>
  <c r="U6" i="22"/>
  <c r="AE10" i="22" s="1"/>
  <c r="U18" i="23"/>
  <c r="AE22" i="23" s="1"/>
  <c r="U16" i="23"/>
  <c r="AE20" i="23" s="1"/>
  <c r="U14" i="23"/>
  <c r="AE18" i="23" s="1"/>
  <c r="U13" i="23"/>
  <c r="AE17" i="23" s="1"/>
  <c r="W11" i="23"/>
  <c r="AG15" i="23" s="1"/>
  <c r="W10" i="23"/>
  <c r="AG14" i="23" s="1"/>
  <c r="W9" i="23"/>
  <c r="AG13" i="23" s="1"/>
  <c r="W8" i="23"/>
  <c r="AG12" i="23" s="1"/>
  <c r="W7" i="23"/>
  <c r="AG11" i="23" s="1"/>
  <c r="W6" i="23"/>
  <c r="AG10" i="23" s="1"/>
  <c r="AG31" i="23"/>
  <c r="AE31" i="23"/>
  <c r="AG30" i="23"/>
  <c r="AE30" i="23"/>
  <c r="AG29" i="23"/>
  <c r="AE29" i="23"/>
  <c r="AG28" i="23"/>
  <c r="AE28" i="23"/>
  <c r="AG27" i="23"/>
  <c r="AE27" i="23"/>
  <c r="AG26" i="23"/>
  <c r="AE26" i="23"/>
  <c r="AG25" i="23"/>
  <c r="AE25" i="23"/>
  <c r="AG24" i="23"/>
  <c r="AE24" i="23"/>
  <c r="AE23" i="23"/>
  <c r="AG22" i="23"/>
  <c r="AE21" i="23"/>
  <c r="AG20" i="23"/>
  <c r="AE19" i="23"/>
  <c r="AG18" i="23"/>
  <c r="AG16" i="23"/>
  <c r="W20" i="24"/>
  <c r="AG24" i="24" s="1"/>
  <c r="U19" i="24"/>
  <c r="AE23" i="24" s="1"/>
  <c r="W12" i="24"/>
  <c r="AG16" i="24" s="1"/>
  <c r="U12" i="24"/>
  <c r="AE16" i="24" s="1"/>
  <c r="W11" i="24"/>
  <c r="AG15" i="24" s="1"/>
  <c r="AG32" i="24"/>
  <c r="AE32" i="24"/>
  <c r="AG31" i="24"/>
  <c r="AE31" i="24"/>
  <c r="AG30" i="24"/>
  <c r="AE30" i="24"/>
  <c r="AG29" i="24"/>
  <c r="AE29" i="24"/>
  <c r="AG28" i="24"/>
  <c r="AE28" i="24"/>
  <c r="AG27" i="24"/>
  <c r="AE27" i="24"/>
  <c r="AG26" i="24"/>
  <c r="AE26" i="24"/>
  <c r="AG25" i="24"/>
  <c r="AE25" i="24"/>
  <c r="AE24" i="24"/>
  <c r="AG23" i="24"/>
  <c r="AE22" i="24"/>
  <c r="AG21" i="24"/>
  <c r="AE20" i="24"/>
  <c r="AG19" i="24"/>
  <c r="AE18" i="24"/>
  <c r="AG17" i="24"/>
  <c r="U17" i="24"/>
  <c r="AE21" i="24" s="1"/>
  <c r="W16" i="24"/>
  <c r="AG20" i="24" s="1"/>
  <c r="U15" i="24"/>
  <c r="AE19" i="24" s="1"/>
  <c r="U13" i="24"/>
  <c r="AE17" i="24" s="1"/>
  <c r="W10" i="24"/>
  <c r="AG14" i="24" s="1"/>
  <c r="W9" i="24"/>
  <c r="AG13" i="24" s="1"/>
  <c r="U9" i="24"/>
  <c r="AE13" i="24" s="1"/>
  <c r="W8" i="24"/>
  <c r="AG12" i="24" s="1"/>
  <c r="U8" i="24"/>
  <c r="AE12" i="24" s="1"/>
  <c r="W7" i="24"/>
  <c r="AG11" i="24" s="1"/>
  <c r="W6" i="24"/>
  <c r="AG10" i="24" s="1"/>
  <c r="U6" i="24"/>
  <c r="AE10" i="24" s="1"/>
  <c r="W5" i="24"/>
  <c r="AG9" i="24" s="1"/>
  <c r="U5" i="24"/>
  <c r="AE9" i="24" s="1"/>
  <c r="W21" i="117"/>
  <c r="AG25" i="117" s="1"/>
  <c r="U18" i="117"/>
  <c r="AE22" i="117" s="1"/>
  <c r="U16" i="117"/>
  <c r="AE20" i="117" s="1"/>
  <c r="U12" i="117"/>
  <c r="AE16" i="117" s="1"/>
  <c r="AG33" i="117"/>
  <c r="AE33" i="117"/>
  <c r="AG32" i="117"/>
  <c r="AE32" i="117"/>
  <c r="AG31" i="117"/>
  <c r="AE31" i="117"/>
  <c r="AG30" i="117"/>
  <c r="AE30" i="117"/>
  <c r="AG29" i="117"/>
  <c r="AE29" i="117"/>
  <c r="AG28" i="117"/>
  <c r="AE28" i="117"/>
  <c r="AG27" i="117"/>
  <c r="AE27" i="117"/>
  <c r="AG26" i="117"/>
  <c r="AE26" i="117"/>
  <c r="AE25" i="117"/>
  <c r="AG24" i="117"/>
  <c r="AE24" i="117"/>
  <c r="AE23" i="117"/>
  <c r="AG22" i="117"/>
  <c r="AE21" i="117"/>
  <c r="AG20" i="117"/>
  <c r="AE19" i="117"/>
  <c r="AG18" i="117"/>
  <c r="W6" i="117"/>
  <c r="AG10" i="117" s="1"/>
  <c r="U6" i="117"/>
  <c r="AE10" i="117" s="1"/>
  <c r="W5" i="117"/>
  <c r="AG9" i="117" s="1"/>
  <c r="U14" i="116"/>
  <c r="AE18" i="116" s="1"/>
  <c r="U12" i="116"/>
  <c r="AE16" i="116" s="1"/>
  <c r="AG34" i="116"/>
  <c r="AE34" i="116"/>
  <c r="AG33" i="116"/>
  <c r="AE33" i="116"/>
  <c r="AG32" i="116"/>
  <c r="AE32" i="116"/>
  <c r="AG31" i="116"/>
  <c r="AE31" i="116"/>
  <c r="AG30" i="116"/>
  <c r="AE30" i="116"/>
  <c r="AG29" i="116"/>
  <c r="AE29" i="116"/>
  <c r="AG28" i="116"/>
  <c r="AE28" i="116"/>
  <c r="AG27" i="116"/>
  <c r="AE27" i="116"/>
  <c r="AE26" i="116"/>
  <c r="AG25" i="116"/>
  <c r="AE25" i="116"/>
  <c r="AE24" i="116"/>
  <c r="AG23" i="116"/>
  <c r="AE22" i="116"/>
  <c r="AG21" i="116"/>
  <c r="AE21" i="116"/>
  <c r="AE20" i="116"/>
  <c r="AG19" i="116"/>
  <c r="U15" i="116"/>
  <c r="AE19" i="116" s="1"/>
  <c r="AG12" i="116"/>
  <c r="U5" i="116"/>
  <c r="AE9" i="116" s="1"/>
  <c r="W23" i="115"/>
  <c r="AG27" i="115" s="1"/>
  <c r="U20" i="115"/>
  <c r="AE24" i="115" s="1"/>
  <c r="W19" i="115"/>
  <c r="AG23" i="115" s="1"/>
  <c r="W17" i="115"/>
  <c r="AG21" i="115" s="1"/>
  <c r="W15" i="115"/>
  <c r="AG19" i="115" s="1"/>
  <c r="U15" i="115"/>
  <c r="AE19" i="115" s="1"/>
  <c r="W14" i="115"/>
  <c r="AG18" i="115" s="1"/>
  <c r="U14" i="115"/>
  <c r="AE18" i="115" s="1"/>
  <c r="W13" i="115"/>
  <c r="AG17" i="115" s="1"/>
  <c r="U13" i="115"/>
  <c r="AE17" i="115" s="1"/>
  <c r="W12" i="115"/>
  <c r="AG16" i="115" s="1"/>
  <c r="U12" i="115"/>
  <c r="AE16" i="115" s="1"/>
  <c r="W11" i="115"/>
  <c r="AG15" i="115" s="1"/>
  <c r="U11" i="115"/>
  <c r="AE15" i="115" s="1"/>
  <c r="W10" i="115"/>
  <c r="AG14" i="115" s="1"/>
  <c r="U10" i="115"/>
  <c r="AE14" i="115" s="1"/>
  <c r="W9" i="115"/>
  <c r="AG13" i="115" s="1"/>
  <c r="U9" i="115"/>
  <c r="AE13" i="115" s="1"/>
  <c r="W8" i="115"/>
  <c r="AG12" i="115" s="1"/>
  <c r="U8" i="115"/>
  <c r="AE12" i="115" s="1"/>
  <c r="W7" i="115"/>
  <c r="AG11" i="115" s="1"/>
  <c r="U7" i="115"/>
  <c r="AE11" i="115" s="1"/>
  <c r="AG35" i="115"/>
  <c r="AE35" i="115"/>
  <c r="AG34" i="115"/>
  <c r="AE34" i="115"/>
  <c r="AG33" i="115"/>
  <c r="AE33" i="115"/>
  <c r="AG32" i="115"/>
  <c r="AE32" i="115"/>
  <c r="AG31" i="115"/>
  <c r="AE31" i="115"/>
  <c r="AG30" i="115"/>
  <c r="AE30" i="115"/>
  <c r="AG29" i="115"/>
  <c r="AE29" i="115"/>
  <c r="AG28" i="115"/>
  <c r="AE28" i="115"/>
  <c r="AE27" i="115"/>
  <c r="AG26" i="115"/>
  <c r="AE26" i="115"/>
  <c r="AG25" i="115"/>
  <c r="AE25" i="115"/>
  <c r="AG24" i="115"/>
  <c r="AE23" i="115"/>
  <c r="AG22" i="115"/>
  <c r="AE22" i="115"/>
  <c r="AE21" i="115"/>
  <c r="AG20" i="115"/>
  <c r="U6" i="115"/>
  <c r="AE10" i="115" s="1"/>
  <c r="U5" i="115"/>
  <c r="AE9" i="115" s="1"/>
  <c r="W20" i="114"/>
  <c r="AG24" i="114" s="1"/>
  <c r="U11" i="114"/>
  <c r="AE15" i="114" s="1"/>
  <c r="AG36" i="114"/>
  <c r="AE36" i="114"/>
  <c r="AG35" i="114"/>
  <c r="AE35" i="114"/>
  <c r="AG34" i="114"/>
  <c r="AE34" i="114"/>
  <c r="AG33" i="114"/>
  <c r="AE33" i="114"/>
  <c r="AG32" i="114"/>
  <c r="AE32" i="114"/>
  <c r="AG31" i="114"/>
  <c r="AE31" i="114"/>
  <c r="AG30" i="114"/>
  <c r="AE30" i="114"/>
  <c r="AG29" i="114"/>
  <c r="AE29" i="114"/>
  <c r="AE28" i="114"/>
  <c r="AG27" i="114"/>
  <c r="AE27" i="114"/>
  <c r="AG26" i="114"/>
  <c r="AE26" i="114"/>
  <c r="AG25" i="114"/>
  <c r="AE24" i="114"/>
  <c r="AG23" i="114"/>
  <c r="AE23" i="114"/>
  <c r="AG22" i="114"/>
  <c r="AE22" i="114"/>
  <c r="AG21" i="114"/>
  <c r="U16" i="114"/>
  <c r="AE20" i="114" s="1"/>
  <c r="U15" i="114"/>
  <c r="AE19" i="114" s="1"/>
  <c r="U13" i="114"/>
  <c r="AE17" i="114" s="1"/>
  <c r="U12" i="114"/>
  <c r="AE16" i="114" s="1"/>
  <c r="U9" i="114"/>
  <c r="AE13" i="114" s="1"/>
  <c r="U7" i="114"/>
  <c r="AE11" i="114" s="1"/>
  <c r="U6" i="114"/>
  <c r="AE10" i="114" s="1"/>
  <c r="U5" i="114"/>
  <c r="AE9" i="114" s="1"/>
  <c r="U22" i="113"/>
  <c r="AE26" i="113" s="1"/>
  <c r="W21" i="113"/>
  <c r="AG25" i="113" s="1"/>
  <c r="W17" i="113"/>
  <c r="AG21" i="113" s="1"/>
  <c r="W15" i="113"/>
  <c r="AG19" i="113" s="1"/>
  <c r="W13" i="113"/>
  <c r="AG17" i="113" s="1"/>
  <c r="W12" i="113"/>
  <c r="AG16" i="113" s="1"/>
  <c r="W11" i="113"/>
  <c r="AG15" i="113" s="1"/>
  <c r="AG37" i="113"/>
  <c r="AE37" i="113"/>
  <c r="AG36" i="113"/>
  <c r="AE36" i="113"/>
  <c r="AG35" i="113"/>
  <c r="AE35" i="113"/>
  <c r="AG34" i="113"/>
  <c r="AE34" i="113"/>
  <c r="AG33" i="113"/>
  <c r="AE33" i="113"/>
  <c r="AG32" i="113"/>
  <c r="AE32" i="113"/>
  <c r="AG31" i="113"/>
  <c r="AE31" i="113"/>
  <c r="AG30" i="113"/>
  <c r="AE30" i="113"/>
  <c r="AG29" i="113"/>
  <c r="AE29" i="113"/>
  <c r="AG28" i="113"/>
  <c r="AE28" i="113"/>
  <c r="AG27" i="113"/>
  <c r="AE27" i="113"/>
  <c r="AG26" i="113"/>
  <c r="AE25" i="113"/>
  <c r="AG24" i="113"/>
  <c r="AE24" i="113"/>
  <c r="AG23" i="113"/>
  <c r="AE23" i="113"/>
  <c r="AG22" i="113"/>
  <c r="U18" i="113"/>
  <c r="AE22" i="113" s="1"/>
  <c r="W10" i="113"/>
  <c r="AG14" i="113" s="1"/>
  <c r="U10" i="113"/>
  <c r="AE14" i="113" s="1"/>
  <c r="W9" i="113"/>
  <c r="AG13" i="113" s="1"/>
  <c r="U9" i="113"/>
  <c r="AE13" i="113" s="1"/>
  <c r="W8" i="113"/>
  <c r="AG12" i="113" s="1"/>
  <c r="U8" i="113"/>
  <c r="AE12" i="113" s="1"/>
  <c r="W7" i="113"/>
  <c r="AG11" i="113" s="1"/>
  <c r="U7" i="113"/>
  <c r="AE11" i="113" s="1"/>
  <c r="W6" i="113"/>
  <c r="AG10" i="113" s="1"/>
  <c r="W5" i="113"/>
  <c r="AG9" i="113" s="1"/>
  <c r="U5" i="113"/>
  <c r="AE9" i="113" s="1"/>
  <c r="W20" i="110"/>
  <c r="AG24" i="110" s="1"/>
  <c r="U20" i="110"/>
  <c r="AE24" i="110"/>
  <c r="W19" i="110"/>
  <c r="AG23" i="110" s="1"/>
  <c r="U19" i="110"/>
  <c r="AE23" i="110" s="1"/>
  <c r="W18" i="110"/>
  <c r="AG22" i="110" s="1"/>
  <c r="U18" i="110"/>
  <c r="AE22" i="110" s="1"/>
  <c r="W17" i="110"/>
  <c r="AG21" i="110" s="1"/>
  <c r="U17" i="110"/>
  <c r="AE21" i="110" s="1"/>
  <c r="W16" i="110"/>
  <c r="AG20" i="110" s="1"/>
  <c r="U16" i="110"/>
  <c r="AE20" i="110" s="1"/>
  <c r="W15" i="110"/>
  <c r="AG19" i="110" s="1"/>
  <c r="U15" i="110"/>
  <c r="AE19" i="110" s="1"/>
  <c r="W14" i="110"/>
  <c r="AG18" i="110" s="1"/>
  <c r="U14" i="110"/>
  <c r="AE18" i="110" s="1"/>
  <c r="W13" i="110"/>
  <c r="AG17" i="110" s="1"/>
  <c r="W12" i="110"/>
  <c r="AG16" i="110" s="1"/>
  <c r="W13" i="109"/>
  <c r="AG16" i="109" s="1"/>
  <c r="U13" i="110"/>
  <c r="AE17" i="110" s="1"/>
  <c r="U12" i="110"/>
  <c r="AE16" i="110" s="1"/>
  <c r="W11" i="110"/>
  <c r="AG15" i="110" s="1"/>
  <c r="U11" i="110"/>
  <c r="AE15" i="110" s="1"/>
  <c r="W10" i="110"/>
  <c r="AG14" i="110" s="1"/>
  <c r="U10" i="110"/>
  <c r="AE14" i="110" s="1"/>
  <c r="W9" i="110"/>
  <c r="AG13" i="110" s="1"/>
  <c r="U9" i="110"/>
  <c r="AE13" i="110" s="1"/>
  <c r="W8" i="110"/>
  <c r="AG12" i="110" s="1"/>
  <c r="U8" i="110"/>
  <c r="AE12" i="110" s="1"/>
  <c r="W7" i="110"/>
  <c r="AG11" i="110" s="1"/>
  <c r="U7" i="110"/>
  <c r="AE11" i="110" s="1"/>
  <c r="W6" i="110"/>
  <c r="AG10" i="110" s="1"/>
  <c r="U6" i="110"/>
  <c r="AE10" i="110" s="1"/>
  <c r="W5" i="110"/>
  <c r="AG9" i="110" s="1"/>
  <c r="U5" i="110"/>
  <c r="AE9" i="110" s="1"/>
  <c r="W21" i="109"/>
  <c r="AG24" i="109" s="1"/>
  <c r="U21" i="109"/>
  <c r="AE24" i="109" s="1"/>
  <c r="W20" i="109"/>
  <c r="AG23" i="109" s="1"/>
  <c r="U20" i="109"/>
  <c r="AE23" i="109" s="1"/>
  <c r="W19" i="109"/>
  <c r="AG22" i="109" s="1"/>
  <c r="U19" i="109"/>
  <c r="AE22" i="109" s="1"/>
  <c r="W18" i="109"/>
  <c r="AG21" i="109" s="1"/>
  <c r="U18" i="109"/>
  <c r="AE21" i="109" s="1"/>
  <c r="W17" i="109"/>
  <c r="AG20" i="109" s="1"/>
  <c r="U17" i="109"/>
  <c r="AE20" i="109" s="1"/>
  <c r="W16" i="109"/>
  <c r="AG19" i="109" s="1"/>
  <c r="U16" i="109"/>
  <c r="AE19" i="109" s="1"/>
  <c r="W15" i="109"/>
  <c r="AG18" i="109" s="1"/>
  <c r="U15" i="109"/>
  <c r="AE18" i="109" s="1"/>
  <c r="U14" i="109"/>
  <c r="AE17" i="109" s="1"/>
  <c r="U13" i="109"/>
  <c r="AE16" i="109" s="1"/>
  <c r="W12" i="109"/>
  <c r="AG15" i="109" s="1"/>
  <c r="U12" i="109"/>
  <c r="AE15" i="109" s="1"/>
  <c r="W11" i="109"/>
  <c r="AG14" i="109" s="1"/>
  <c r="U11" i="109"/>
  <c r="AE14" i="109" s="1"/>
  <c r="W10" i="109"/>
  <c r="AG13" i="109" s="1"/>
  <c r="U10" i="109"/>
  <c r="AE13" i="109" s="1"/>
  <c r="W9" i="109"/>
  <c r="AG12" i="109" s="1"/>
  <c r="U9" i="109"/>
  <c r="AE12" i="109" s="1"/>
  <c r="W8" i="109"/>
  <c r="AG11" i="109" s="1"/>
  <c r="U7" i="109"/>
  <c r="AE10" i="109" s="1"/>
  <c r="U8" i="109"/>
  <c r="AE11" i="109" s="1"/>
  <c r="W7" i="109"/>
  <c r="AG10" i="109" s="1"/>
  <c r="W6" i="109"/>
  <c r="AG9" i="109" s="1"/>
  <c r="W5" i="109"/>
  <c r="AG8" i="109" s="1"/>
  <c r="U5" i="109"/>
  <c r="AE8" i="109" s="1"/>
  <c r="AG40" i="109"/>
  <c r="AE40" i="109"/>
  <c r="W22" i="108"/>
  <c r="AG25" i="108" s="1"/>
  <c r="U22" i="108"/>
  <c r="AE25" i="108" s="1"/>
  <c r="AG41" i="108"/>
  <c r="AE41" i="108"/>
  <c r="W21" i="108"/>
  <c r="AG24" i="108" s="1"/>
  <c r="W20" i="108"/>
  <c r="AG23" i="108" s="1"/>
  <c r="U20" i="108"/>
  <c r="AE23" i="108" s="1"/>
  <c r="W19" i="108"/>
  <c r="AG22" i="108" s="1"/>
  <c r="W18" i="108"/>
  <c r="AG21" i="108" s="1"/>
  <c r="U18" i="108"/>
  <c r="AE21" i="108" s="1"/>
  <c r="W17" i="108"/>
  <c r="AG20" i="108" s="1"/>
  <c r="W16" i="108"/>
  <c r="AG19" i="108" s="1"/>
  <c r="U16" i="108"/>
  <c r="AE19" i="108" s="1"/>
  <c r="U15" i="108"/>
  <c r="AE18" i="108" s="1"/>
  <c r="W14" i="108"/>
  <c r="AG17" i="108" s="1"/>
  <c r="U14" i="108"/>
  <c r="AE17" i="108" s="1"/>
  <c r="U13" i="108"/>
  <c r="AE16" i="108" s="1"/>
  <c r="W12" i="108"/>
  <c r="AG15" i="108" s="1"/>
  <c r="U12" i="108"/>
  <c r="AE15" i="108" s="1"/>
  <c r="U11" i="108"/>
  <c r="AE14" i="108" s="1"/>
  <c r="W10" i="108"/>
  <c r="AG13" i="108" s="1"/>
  <c r="U10" i="108"/>
  <c r="AE13" i="108" s="1"/>
  <c r="U9" i="108"/>
  <c r="AE12" i="108" s="1"/>
  <c r="W8" i="108"/>
  <c r="AG11" i="108" s="1"/>
  <c r="U8" i="108"/>
  <c r="AE11" i="108" s="1"/>
  <c r="U7" i="108"/>
  <c r="AE10" i="108" s="1"/>
  <c r="W6" i="108"/>
  <c r="AG9" i="108" s="1"/>
  <c r="U5" i="108"/>
  <c r="AE8" i="108" s="1"/>
  <c r="W23" i="107"/>
  <c r="AG27" i="107" s="1"/>
  <c r="W22" i="107"/>
  <c r="AG26" i="107" s="1"/>
  <c r="U22" i="107"/>
  <c r="AE26" i="107" s="1"/>
  <c r="W21" i="107"/>
  <c r="AG25" i="107" s="1"/>
  <c r="U21" i="107"/>
  <c r="AE25" i="107" s="1"/>
  <c r="W20" i="107"/>
  <c r="AG24" i="107" s="1"/>
  <c r="U20" i="107"/>
  <c r="AE24" i="107" s="1"/>
  <c r="W19" i="107"/>
  <c r="AG23" i="107" s="1"/>
  <c r="U19" i="107"/>
  <c r="AE23" i="107" s="1"/>
  <c r="W18" i="107"/>
  <c r="AG22" i="107" s="1"/>
  <c r="U18" i="107"/>
  <c r="AE22" i="107" s="1"/>
  <c r="W17" i="107"/>
  <c r="AG21" i="107" s="1"/>
  <c r="U17" i="107"/>
  <c r="AE21" i="107" s="1"/>
  <c r="U16" i="107"/>
  <c r="AE20" i="107" s="1"/>
  <c r="W15" i="107"/>
  <c r="AG19" i="107" s="1"/>
  <c r="U15" i="107"/>
  <c r="AE19" i="107" s="1"/>
  <c r="W6" i="107"/>
  <c r="AG10" i="107" s="1"/>
  <c r="AG43" i="107"/>
  <c r="AE43" i="107"/>
  <c r="AG42" i="107"/>
  <c r="AE42" i="107"/>
  <c r="AG36" i="107"/>
  <c r="AE36" i="107"/>
  <c r="AG35" i="107"/>
  <c r="AE35" i="107"/>
  <c r="AG34" i="107"/>
  <c r="AE34" i="107"/>
  <c r="AG33" i="107"/>
  <c r="AE33" i="107"/>
  <c r="AG32" i="107"/>
  <c r="AE32" i="107"/>
  <c r="AG31" i="107"/>
  <c r="AE31" i="107"/>
  <c r="AG30" i="107"/>
  <c r="AE30" i="107"/>
  <c r="AG29" i="107"/>
  <c r="AE29" i="107"/>
  <c r="AG28" i="107"/>
  <c r="AE28" i="107"/>
  <c r="AE27" i="107"/>
  <c r="AG20" i="107"/>
  <c r="AE17" i="107"/>
  <c r="W13" i="107"/>
  <c r="AG17" i="107" s="1"/>
  <c r="W12" i="107"/>
  <c r="AG16" i="107" s="1"/>
  <c r="AG12" i="107"/>
  <c r="W11" i="107"/>
  <c r="AG15" i="107" s="1"/>
  <c r="AG11" i="107"/>
  <c r="W10" i="107"/>
  <c r="AG14" i="107" s="1"/>
  <c r="AE10" i="107"/>
  <c r="W9" i="107"/>
  <c r="AG13" i="107" s="1"/>
  <c r="U8" i="107"/>
  <c r="AE12" i="107" s="1"/>
  <c r="U5" i="107"/>
  <c r="AE9" i="107" s="1"/>
  <c r="W26" i="104"/>
  <c r="AG30" i="104" s="1"/>
  <c r="W25" i="104"/>
  <c r="AG29" i="104" s="1"/>
  <c r="U25" i="104"/>
  <c r="AE29" i="104" s="1"/>
  <c r="W24" i="104"/>
  <c r="AG28" i="104" s="1"/>
  <c r="U24" i="104"/>
  <c r="AE28" i="104" s="1"/>
  <c r="U23" i="104"/>
  <c r="AE27" i="104" s="1"/>
  <c r="W22" i="104"/>
  <c r="AG26" i="104" s="1"/>
  <c r="U22" i="104"/>
  <c r="AE26" i="104" s="1"/>
  <c r="W10" i="104"/>
  <c r="AG14" i="104" s="1"/>
  <c r="U10" i="104"/>
  <c r="AE14" i="104" s="1"/>
  <c r="W9" i="104"/>
  <c r="AG13" i="104" s="1"/>
  <c r="U9" i="104"/>
  <c r="AE13" i="104" s="1"/>
  <c r="U5" i="104"/>
  <c r="AE9" i="104" s="1"/>
  <c r="AG41" i="104"/>
  <c r="AE41" i="104"/>
  <c r="AG40" i="104"/>
  <c r="AE40" i="104"/>
  <c r="AG39" i="104"/>
  <c r="AE39" i="104"/>
  <c r="AG38" i="104"/>
  <c r="AE38" i="104"/>
  <c r="AG37" i="104"/>
  <c r="AE37" i="104"/>
  <c r="AG36" i="104"/>
  <c r="AE36" i="104"/>
  <c r="AG35" i="104"/>
  <c r="AE35" i="104"/>
  <c r="AG34" i="104"/>
  <c r="AE34" i="104"/>
  <c r="AG33" i="104"/>
  <c r="AE33" i="104"/>
  <c r="AG32" i="104"/>
  <c r="AE32" i="104"/>
  <c r="AG31" i="104"/>
  <c r="AE31" i="104"/>
  <c r="AE30" i="104"/>
  <c r="AG27" i="104"/>
  <c r="AG23" i="104"/>
  <c r="AE22" i="104"/>
  <c r="W21" i="104"/>
  <c r="AG25" i="104" s="1"/>
  <c r="U21" i="104"/>
  <c r="AE25" i="104" s="1"/>
  <c r="AG19" i="104"/>
  <c r="W20" i="104"/>
  <c r="AG24" i="104" s="1"/>
  <c r="U20" i="104"/>
  <c r="AE24" i="104" s="1"/>
  <c r="U19" i="104"/>
  <c r="AE23" i="104" s="1"/>
  <c r="W18" i="104"/>
  <c r="AG22" i="104" s="1"/>
  <c r="W17" i="104"/>
  <c r="AG21" i="104" s="1"/>
  <c r="U17" i="104"/>
  <c r="AE21" i="104" s="1"/>
  <c r="W16" i="104"/>
  <c r="AG20" i="104" s="1"/>
  <c r="U16" i="104"/>
  <c r="AE20" i="104" s="1"/>
  <c r="AG15" i="104"/>
  <c r="U15" i="104"/>
  <c r="AE19" i="104" s="1"/>
  <c r="W14" i="104"/>
  <c r="AG18" i="104" s="1"/>
  <c r="U14" i="104"/>
  <c r="AE18" i="104" s="1"/>
  <c r="W13" i="104"/>
  <c r="AG17" i="104" s="1"/>
  <c r="U13" i="104"/>
  <c r="AE17" i="104" s="1"/>
  <c r="W12" i="104"/>
  <c r="AG16" i="104" s="1"/>
  <c r="U12" i="104"/>
  <c r="AE16" i="104" s="1"/>
  <c r="U11" i="104"/>
  <c r="AE15" i="104" s="1"/>
  <c r="W8" i="104"/>
  <c r="AG12" i="104" s="1"/>
  <c r="U8" i="104"/>
  <c r="AE12" i="104" s="1"/>
  <c r="W7" i="104"/>
  <c r="AG11" i="104" s="1"/>
  <c r="U7" i="104"/>
  <c r="AE11" i="104" s="1"/>
  <c r="W6" i="104"/>
  <c r="AG10" i="104" s="1"/>
  <c r="U6" i="104"/>
  <c r="AE10" i="104" s="1"/>
  <c r="W5" i="104"/>
  <c r="AG9" i="104" s="1"/>
  <c r="W28" i="102"/>
  <c r="W27" i="102"/>
  <c r="U27" i="102"/>
  <c r="W26" i="102"/>
  <c r="U26" i="102"/>
  <c r="U25" i="102"/>
  <c r="W24" i="102"/>
  <c r="W23" i="102"/>
  <c r="U23" i="102"/>
  <c r="W22" i="102"/>
  <c r="U22" i="102"/>
  <c r="U21" i="102"/>
  <c r="W20" i="102"/>
  <c r="W19" i="102"/>
  <c r="W12" i="102"/>
  <c r="U12" i="102"/>
  <c r="W11" i="102"/>
  <c r="U11" i="102"/>
  <c r="W10" i="102"/>
  <c r="U10" i="102"/>
  <c r="W9" i="102"/>
  <c r="U9" i="102"/>
  <c r="W8" i="102"/>
  <c r="U8" i="102"/>
  <c r="W29" i="101"/>
  <c r="U28" i="101"/>
  <c r="W27" i="101"/>
  <c r="U27" i="101"/>
  <c r="U26" i="101"/>
  <c r="W25" i="101"/>
  <c r="W24" i="101"/>
  <c r="U24" i="101"/>
  <c r="W23" i="101"/>
  <c r="U23" i="101"/>
  <c r="U22" i="101"/>
  <c r="W21" i="101"/>
  <c r="W20" i="101"/>
  <c r="U20" i="101"/>
  <c r="W19" i="101"/>
  <c r="U19" i="101"/>
  <c r="U18" i="101"/>
  <c r="W17" i="101"/>
  <c r="W16" i="101"/>
  <c r="W13" i="101"/>
  <c r="U13" i="101"/>
  <c r="W12" i="101"/>
  <c r="U12" i="101"/>
  <c r="W11" i="101"/>
  <c r="U11" i="101"/>
  <c r="W10" i="101"/>
  <c r="U10" i="101"/>
  <c r="W9" i="101"/>
  <c r="U9" i="101"/>
  <c r="W8" i="101"/>
  <c r="U8" i="101"/>
  <c r="W7" i="101"/>
  <c r="U7" i="101"/>
  <c r="W6" i="101"/>
  <c r="U6" i="101"/>
  <c r="W5" i="101"/>
  <c r="U5" i="101"/>
  <c r="AG55" i="101"/>
  <c r="AE55" i="101"/>
  <c r="AG54" i="101"/>
  <c r="AE54" i="101"/>
  <c r="AG53" i="101"/>
  <c r="AE53" i="101"/>
  <c r="AG51" i="101"/>
  <c r="AE51" i="101"/>
  <c r="AG50" i="101"/>
  <c r="AE50" i="101"/>
  <c r="AG49" i="101"/>
  <c r="AE49" i="101"/>
  <c r="AG48" i="101"/>
  <c r="AE48" i="101"/>
  <c r="AG46" i="101"/>
  <c r="AE46" i="101"/>
  <c r="AG45" i="101"/>
  <c r="AE45" i="101"/>
  <c r="AG44" i="101"/>
  <c r="AE44" i="101"/>
  <c r="AG43" i="101"/>
  <c r="AE43" i="101"/>
  <c r="AG39" i="101"/>
  <c r="AE39" i="101"/>
  <c r="AG38" i="101"/>
  <c r="AE38" i="101"/>
  <c r="AG37" i="101"/>
  <c r="AE37" i="101"/>
  <c r="AG36" i="101"/>
  <c r="AE36" i="101"/>
  <c r="AG35" i="101"/>
  <c r="AE35" i="101"/>
  <c r="AG34" i="101"/>
  <c r="AE34" i="101"/>
  <c r="AG33" i="101"/>
  <c r="AE33" i="101"/>
  <c r="AG32" i="101"/>
  <c r="AE32" i="101"/>
  <c r="AG31" i="101"/>
  <c r="AE31" i="101"/>
  <c r="AG30" i="101"/>
  <c r="AE30" i="101"/>
  <c r="AG29" i="101"/>
  <c r="AE29" i="101"/>
  <c r="AG28" i="101"/>
  <c r="AE28" i="101"/>
  <c r="AG27" i="101"/>
  <c r="AE27" i="101"/>
  <c r="AG26" i="101"/>
  <c r="AE26" i="101"/>
  <c r="AG21" i="101"/>
  <c r="AE21" i="101"/>
  <c r="AG20" i="101"/>
  <c r="AE20" i="101"/>
  <c r="AG19" i="101"/>
  <c r="AE19" i="101"/>
  <c r="U16" i="101"/>
  <c r="W15" i="101"/>
  <c r="U15" i="101"/>
  <c r="AG17" i="101"/>
  <c r="AE17" i="101"/>
  <c r="U14" i="101"/>
  <c r="AG16" i="101"/>
  <c r="AE16" i="101"/>
  <c r="AG15" i="101"/>
  <c r="AE15" i="101"/>
  <c r="AG14" i="101"/>
  <c r="AE14" i="101"/>
  <c r="AG12" i="101"/>
  <c r="AE12" i="101"/>
  <c r="AG11" i="101"/>
  <c r="AE11" i="101"/>
  <c r="AG10" i="101"/>
  <c r="AE10" i="101"/>
  <c r="AG9" i="101"/>
  <c r="AE9" i="101"/>
  <c r="W18" i="102"/>
  <c r="U18" i="102"/>
  <c r="W7" i="102"/>
  <c r="U7" i="102"/>
  <c r="U17" i="102"/>
  <c r="W16" i="102"/>
  <c r="W6" i="102"/>
  <c r="U6" i="102"/>
  <c r="W15" i="102"/>
  <c r="G18" i="102"/>
  <c r="W14" i="102"/>
  <c r="U14" i="102"/>
  <c r="U5" i="102"/>
  <c r="AG55" i="102"/>
  <c r="AE55" i="102"/>
  <c r="AG54" i="102"/>
  <c r="AE54" i="102"/>
  <c r="AG53" i="102"/>
  <c r="AE53" i="102"/>
  <c r="AG51" i="102"/>
  <c r="AE51" i="102"/>
  <c r="AG50" i="102"/>
  <c r="AE50" i="102"/>
  <c r="AG49" i="102"/>
  <c r="AE49" i="102"/>
  <c r="AG48" i="102"/>
  <c r="AE48" i="102"/>
  <c r="AG46" i="102"/>
  <c r="AE46" i="102"/>
  <c r="AG45" i="102"/>
  <c r="AE45" i="102"/>
  <c r="AG44" i="102"/>
  <c r="AE44" i="102"/>
  <c r="AG43" i="102"/>
  <c r="AE43" i="102"/>
  <c r="AG39" i="102"/>
  <c r="AE39" i="102"/>
  <c r="AG38" i="102"/>
  <c r="AE38" i="102"/>
  <c r="AG37" i="102"/>
  <c r="AE37" i="102"/>
  <c r="AG36" i="102"/>
  <c r="AE36" i="102"/>
  <c r="AG35" i="102"/>
  <c r="AE35" i="102"/>
  <c r="AG34" i="102"/>
  <c r="AE34" i="102"/>
  <c r="AG33" i="102"/>
  <c r="AE33" i="102"/>
  <c r="AG32" i="102"/>
  <c r="AE32" i="102"/>
  <c r="AG31" i="102"/>
  <c r="AE31" i="102"/>
  <c r="AG30" i="102"/>
  <c r="AE30" i="102"/>
  <c r="AG29" i="102"/>
  <c r="AE29" i="102"/>
  <c r="AG28" i="102"/>
  <c r="AE28" i="102"/>
  <c r="AG27" i="102"/>
  <c r="AE27" i="102"/>
  <c r="AG26" i="102"/>
  <c r="AE26" i="102"/>
  <c r="U19" i="102"/>
  <c r="AG21" i="102"/>
  <c r="AE21" i="102"/>
  <c r="AG20" i="102"/>
  <c r="AE20" i="102"/>
  <c r="AG19" i="102"/>
  <c r="AE19" i="102"/>
  <c r="AG17" i="102"/>
  <c r="AE17" i="102"/>
  <c r="AG16" i="102"/>
  <c r="AE16" i="102"/>
  <c r="U13" i="102"/>
  <c r="AG15" i="102"/>
  <c r="AE15" i="102"/>
  <c r="AG14" i="102"/>
  <c r="AE14" i="102"/>
  <c r="AG12" i="102"/>
  <c r="AE12" i="102"/>
  <c r="AG11" i="102"/>
  <c r="AE11" i="102"/>
  <c r="AG10" i="102"/>
  <c r="AE10" i="102"/>
  <c r="AG9" i="102"/>
  <c r="AE9" i="102"/>
  <c r="W5" i="102"/>
  <c r="U20" i="111"/>
  <c r="AE24" i="111" s="1"/>
  <c r="W19" i="111"/>
  <c r="AG23" i="111" s="1"/>
  <c r="U19" i="111"/>
  <c r="AE23" i="111" s="1"/>
  <c r="W18" i="111"/>
  <c r="AG22" i="111" s="1"/>
  <c r="U18" i="111"/>
  <c r="AE22" i="111" s="1"/>
  <c r="W17" i="111"/>
  <c r="AG21" i="111" s="1"/>
  <c r="U17" i="111"/>
  <c r="AE21" i="111" s="1"/>
  <c r="W16" i="111"/>
  <c r="AG20" i="111" s="1"/>
  <c r="U16" i="111"/>
  <c r="AE20" i="111" s="1"/>
  <c r="W15" i="111"/>
  <c r="AG19" i="111" s="1"/>
  <c r="U15" i="111"/>
  <c r="AE19" i="111" s="1"/>
  <c r="W14" i="111"/>
  <c r="AG18" i="111" s="1"/>
  <c r="U14" i="111"/>
  <c r="AE18" i="111" s="1"/>
  <c r="W13" i="111"/>
  <c r="AG17" i="111" s="1"/>
  <c r="U13" i="111"/>
  <c r="AE17" i="111" s="1"/>
  <c r="W12" i="111"/>
  <c r="AG16" i="111" s="1"/>
  <c r="U12" i="111"/>
  <c r="AE16" i="111" s="1"/>
  <c r="W11" i="111"/>
  <c r="AG15" i="111" s="1"/>
  <c r="U11" i="111"/>
  <c r="AE15" i="111" s="1"/>
  <c r="W10" i="111"/>
  <c r="AG14" i="111" s="1"/>
  <c r="U10" i="111"/>
  <c r="AE14" i="111" s="1"/>
  <c r="W9" i="111"/>
  <c r="AG13" i="111" s="1"/>
  <c r="U9" i="111"/>
  <c r="AE13" i="111" s="1"/>
  <c r="W8" i="111"/>
  <c r="AG12" i="111" s="1"/>
  <c r="U8" i="111"/>
  <c r="AE12" i="111" s="1"/>
  <c r="W7" i="111"/>
  <c r="AG11" i="111" s="1"/>
  <c r="U7" i="111"/>
  <c r="AE11" i="111" s="1"/>
  <c r="W6" i="111"/>
  <c r="AG10" i="111" s="1"/>
  <c r="U6" i="111"/>
  <c r="AE10" i="111" s="1"/>
  <c r="W5" i="111"/>
  <c r="AG9" i="111" s="1"/>
  <c r="U5" i="111"/>
  <c r="AE9" i="111" s="1"/>
  <c r="AG39" i="111"/>
  <c r="AE39" i="111"/>
  <c r="AG38" i="111"/>
  <c r="AE38" i="111"/>
  <c r="AG37" i="111"/>
  <c r="AE37" i="111"/>
  <c r="AG36" i="111"/>
  <c r="AE36" i="111"/>
  <c r="AG35" i="111"/>
  <c r="AE35" i="111"/>
  <c r="AG34" i="111"/>
  <c r="AE34" i="111"/>
  <c r="AG33" i="111"/>
  <c r="AE33" i="111"/>
  <c r="AG32" i="111"/>
  <c r="AE32" i="111"/>
  <c r="AG31" i="111"/>
  <c r="AE31" i="111"/>
  <c r="AG30" i="111"/>
  <c r="AE30" i="111"/>
  <c r="AG29" i="111"/>
  <c r="AE29" i="111"/>
  <c r="AG28" i="111"/>
  <c r="AE28" i="111"/>
  <c r="AG27" i="111"/>
  <c r="AE27" i="111"/>
  <c r="AG26" i="111"/>
  <c r="AE26" i="111"/>
  <c r="AG25" i="111"/>
  <c r="AE25" i="111"/>
  <c r="AG24" i="111"/>
  <c r="W22" i="106"/>
  <c r="AG26" i="106" s="1"/>
  <c r="W21" i="106"/>
  <c r="AG25" i="106" s="1"/>
  <c r="W8" i="106"/>
  <c r="AG12" i="106" s="1"/>
  <c r="U8" i="106"/>
  <c r="AE12" i="106" s="1"/>
  <c r="U17" i="106"/>
  <c r="AE21" i="106" s="1"/>
  <c r="U6" i="106"/>
  <c r="AE10" i="106" s="1"/>
  <c r="W15" i="106"/>
  <c r="AG19" i="106" s="1"/>
  <c r="W14" i="106"/>
  <c r="AG18" i="106" s="1"/>
  <c r="W13" i="106"/>
  <c r="AG17" i="106" s="1"/>
  <c r="W12" i="106"/>
  <c r="AG16" i="106" s="1"/>
  <c r="W11" i="106"/>
  <c r="AG15" i="106" s="1"/>
  <c r="W10" i="106"/>
  <c r="AG14" i="106" s="1"/>
  <c r="AG39" i="106"/>
  <c r="AE39" i="106"/>
  <c r="AG38" i="106"/>
  <c r="AE38" i="106"/>
  <c r="AG37" i="106"/>
  <c r="AE37" i="106"/>
  <c r="AG36" i="106"/>
  <c r="AE36" i="106"/>
  <c r="AG35" i="106"/>
  <c r="AE35" i="106"/>
  <c r="AG34" i="106"/>
  <c r="AE34" i="106"/>
  <c r="AG33" i="106"/>
  <c r="AE33" i="106"/>
  <c r="AG32" i="106"/>
  <c r="AE32" i="106"/>
  <c r="AG31" i="106"/>
  <c r="AE31" i="106"/>
  <c r="AG30" i="106"/>
  <c r="AE30" i="106"/>
  <c r="AG29" i="106"/>
  <c r="AE29" i="106"/>
  <c r="AE28" i="106"/>
  <c r="AG21" i="106"/>
  <c r="AE20" i="106"/>
  <c r="U21" i="106"/>
  <c r="AE25" i="106" s="1"/>
  <c r="W20" i="106"/>
  <c r="AG24" i="106" s="1"/>
  <c r="U20" i="106"/>
  <c r="AE24" i="106" s="1"/>
  <c r="W19" i="106"/>
  <c r="AG23" i="106" s="1"/>
  <c r="U19" i="106"/>
  <c r="AE23" i="106" s="1"/>
  <c r="W18" i="106"/>
  <c r="AG22" i="106" s="1"/>
  <c r="U18" i="106"/>
  <c r="AE22" i="106" s="1"/>
  <c r="U15" i="106"/>
  <c r="AE19" i="106" s="1"/>
  <c r="AG13" i="106"/>
  <c r="U13" i="106"/>
  <c r="AE17" i="106" s="1"/>
  <c r="U11" i="106"/>
  <c r="AE15" i="106" s="1"/>
  <c r="U9" i="106"/>
  <c r="AE13" i="106" s="1"/>
  <c r="W7" i="106"/>
  <c r="AG11" i="106" s="1"/>
  <c r="U7" i="106"/>
  <c r="AE11" i="106" s="1"/>
  <c r="W6" i="106"/>
  <c r="AG10" i="106" s="1"/>
  <c r="W5" i="106"/>
  <c r="AG9" i="106" s="1"/>
  <c r="W24" i="105"/>
  <c r="AG28" i="105" s="1"/>
  <c r="U24" i="105"/>
  <c r="AE28" i="105" s="1"/>
  <c r="W23" i="105"/>
  <c r="AG27" i="105" s="1"/>
  <c r="U23" i="105"/>
  <c r="AE27" i="105" s="1"/>
  <c r="U22" i="105"/>
  <c r="AE26" i="105" s="1"/>
  <c r="W21" i="105"/>
  <c r="AG25" i="105" s="1"/>
  <c r="U21" i="105"/>
  <c r="AE25" i="105" s="1"/>
  <c r="W20" i="105"/>
  <c r="AG24" i="105" s="1"/>
  <c r="U20" i="105"/>
  <c r="AE24" i="105" s="1"/>
  <c r="W19" i="105"/>
  <c r="AG23" i="105" s="1"/>
  <c r="U19" i="105"/>
  <c r="AE23" i="105" s="1"/>
  <c r="U18" i="105"/>
  <c r="AE22" i="105" s="1"/>
  <c r="W17" i="105"/>
  <c r="AG21" i="105" s="1"/>
  <c r="W16" i="105"/>
  <c r="AG20" i="105" s="1"/>
  <c r="U16" i="105"/>
  <c r="AE20" i="105" s="1"/>
  <c r="W15" i="105"/>
  <c r="AG19" i="105" s="1"/>
  <c r="U15" i="105"/>
  <c r="AE19" i="105" s="1"/>
  <c r="W14" i="105"/>
  <c r="AG18" i="105" s="1"/>
  <c r="W9" i="105"/>
  <c r="AG13" i="105" s="1"/>
  <c r="U9" i="105"/>
  <c r="AE13" i="105" s="1"/>
  <c r="W8" i="105"/>
  <c r="AG12" i="105" s="1"/>
  <c r="U8" i="105"/>
  <c r="AE12" i="105" s="1"/>
  <c r="W7" i="105"/>
  <c r="AG11" i="105" s="1"/>
  <c r="U7" i="105"/>
  <c r="AE11" i="105" s="1"/>
  <c r="W6" i="105"/>
  <c r="AG10" i="105" s="1"/>
  <c r="U6" i="105"/>
  <c r="AE10" i="105" s="1"/>
  <c r="W12" i="105"/>
  <c r="AG16" i="105" s="1"/>
  <c r="W5" i="105"/>
  <c r="AG9" i="105" s="1"/>
  <c r="U5" i="105"/>
  <c r="AE9" i="105" s="1"/>
  <c r="U10" i="105"/>
  <c r="AE14" i="105" s="1"/>
  <c r="AG41" i="105"/>
  <c r="AE41" i="105"/>
  <c r="AG40" i="105"/>
  <c r="AE40" i="105"/>
  <c r="AG39" i="105"/>
  <c r="AE39" i="105"/>
  <c r="AG38" i="105"/>
  <c r="AE38" i="105"/>
  <c r="AG37" i="105"/>
  <c r="AE37" i="105"/>
  <c r="AG36" i="105"/>
  <c r="AE36" i="105"/>
  <c r="AG35" i="105"/>
  <c r="AE35" i="105"/>
  <c r="AG34" i="105"/>
  <c r="AE34" i="105"/>
  <c r="AG33" i="105"/>
  <c r="AE33" i="105"/>
  <c r="AG32" i="105"/>
  <c r="AE32" i="105"/>
  <c r="AG31" i="105"/>
  <c r="AE31" i="105"/>
  <c r="AG30" i="105"/>
  <c r="AE30" i="105"/>
  <c r="AE29" i="105"/>
  <c r="AG26" i="105"/>
  <c r="AG22" i="105"/>
  <c r="AE21" i="105"/>
  <c r="U14" i="105"/>
  <c r="AE18" i="105" s="1"/>
  <c r="AG14" i="105"/>
  <c r="U13" i="105"/>
  <c r="AE17" i="105" s="1"/>
  <c r="U12" i="105"/>
  <c r="AE16" i="105" s="1"/>
  <c r="U11" i="105"/>
  <c r="AE15" i="105" s="1"/>
  <c r="W27" i="103"/>
  <c r="W26" i="103"/>
  <c r="U26" i="103"/>
  <c r="W25" i="103"/>
  <c r="U25" i="103"/>
  <c r="U24" i="103"/>
  <c r="W23" i="103"/>
  <c r="W22" i="103"/>
  <c r="U22" i="103"/>
  <c r="W21" i="103"/>
  <c r="U21" i="103"/>
  <c r="U20" i="103"/>
  <c r="W19" i="103"/>
  <c r="W18" i="103"/>
  <c r="U18" i="103"/>
  <c r="W17" i="103"/>
  <c r="U17" i="103"/>
  <c r="U16" i="103"/>
  <c r="W15" i="103"/>
  <c r="U15" i="103"/>
  <c r="W11" i="103"/>
  <c r="U11" i="103"/>
  <c r="W10" i="103"/>
  <c r="U10" i="103"/>
  <c r="W9" i="103"/>
  <c r="U9" i="103"/>
  <c r="W8" i="103"/>
  <c r="U8" i="103"/>
  <c r="W7" i="103"/>
  <c r="U7" i="103"/>
  <c r="W6" i="103"/>
  <c r="U6" i="103"/>
  <c r="U14" i="103"/>
  <c r="U13" i="103"/>
  <c r="W5" i="103"/>
  <c r="U5" i="103"/>
  <c r="AG55" i="103"/>
  <c r="AE55" i="103"/>
  <c r="AG54" i="103"/>
  <c r="AE54" i="103"/>
  <c r="AG53" i="103"/>
  <c r="AE53" i="103"/>
  <c r="AG51" i="103"/>
  <c r="AE51" i="103"/>
  <c r="AG50" i="103"/>
  <c r="AE50" i="103"/>
  <c r="AG49" i="103"/>
  <c r="AE49" i="103"/>
  <c r="AG48" i="103"/>
  <c r="AE48" i="103"/>
  <c r="AG46" i="103"/>
  <c r="AE46" i="103"/>
  <c r="AG45" i="103"/>
  <c r="AE45" i="103"/>
  <c r="AG44" i="103"/>
  <c r="AE44" i="103"/>
  <c r="AG43" i="103"/>
  <c r="AE43" i="103"/>
  <c r="AG39" i="103"/>
  <c r="AE39" i="103"/>
  <c r="AG38" i="103"/>
  <c r="AE38" i="103"/>
  <c r="AG37" i="103"/>
  <c r="AE37" i="103"/>
  <c r="AG36" i="103"/>
  <c r="AE36" i="103"/>
  <c r="AG35" i="103"/>
  <c r="AE35" i="103"/>
  <c r="AG34" i="103"/>
  <c r="AE34" i="103"/>
  <c r="AG33" i="103"/>
  <c r="AE33" i="103"/>
  <c r="AG32" i="103"/>
  <c r="AE32" i="103"/>
  <c r="AG31" i="103"/>
  <c r="AE31" i="103"/>
  <c r="AG30" i="103"/>
  <c r="AE30" i="103"/>
  <c r="AG29" i="103"/>
  <c r="AE29" i="103"/>
  <c r="AG28" i="103"/>
  <c r="AE28" i="103"/>
  <c r="AG27" i="103"/>
  <c r="AE27" i="103"/>
  <c r="AG26" i="103"/>
  <c r="AE26" i="103"/>
  <c r="AG21" i="103"/>
  <c r="AE21" i="103"/>
  <c r="AG20" i="103"/>
  <c r="AE20" i="103"/>
  <c r="AG19" i="103"/>
  <c r="AE19" i="103"/>
  <c r="W14" i="103"/>
  <c r="AG17" i="103"/>
  <c r="AE17" i="103"/>
  <c r="W13" i="103"/>
  <c r="AG16" i="103"/>
  <c r="AE16" i="103"/>
  <c r="U12" i="103"/>
  <c r="AG15" i="103"/>
  <c r="AE15" i="103"/>
  <c r="AG14" i="103"/>
  <c r="AE14" i="103"/>
  <c r="AG12" i="103"/>
  <c r="AE12" i="103"/>
  <c r="AG11" i="103"/>
  <c r="AE11" i="103"/>
  <c r="AG10" i="103"/>
  <c r="AE10" i="103"/>
  <c r="AG9" i="103"/>
  <c r="AE9" i="103"/>
  <c r="W31" i="99"/>
  <c r="U30" i="99"/>
  <c r="W29" i="99"/>
  <c r="U29" i="99"/>
  <c r="U28" i="99"/>
  <c r="W27" i="99"/>
  <c r="U26" i="99"/>
  <c r="W25" i="99"/>
  <c r="U25" i="99"/>
  <c r="U24" i="99"/>
  <c r="W23" i="99"/>
  <c r="U22" i="99"/>
  <c r="W21" i="99"/>
  <c r="U21" i="99"/>
  <c r="U20" i="99"/>
  <c r="W19" i="99"/>
  <c r="W18" i="99"/>
  <c r="W15" i="99"/>
  <c r="U15" i="99"/>
  <c r="W14" i="99"/>
  <c r="U14" i="99"/>
  <c r="W13" i="99"/>
  <c r="U13" i="99"/>
  <c r="W12" i="99"/>
  <c r="U12" i="99"/>
  <c r="W11" i="99"/>
  <c r="U11" i="99"/>
  <c r="W10" i="99"/>
  <c r="U10" i="99"/>
  <c r="W9" i="99"/>
  <c r="U9" i="99"/>
  <c r="W8" i="99"/>
  <c r="U8" i="99"/>
  <c r="W7" i="99"/>
  <c r="U7" i="99"/>
  <c r="W6" i="99"/>
  <c r="U6" i="99"/>
  <c r="AG55" i="99"/>
  <c r="AE55" i="99"/>
  <c r="AG54" i="99"/>
  <c r="AE54" i="99"/>
  <c r="AG53" i="99"/>
  <c r="AE53" i="99"/>
  <c r="AG51" i="99"/>
  <c r="AE51" i="99"/>
  <c r="AG50" i="99"/>
  <c r="AE50" i="99"/>
  <c r="AG49" i="99"/>
  <c r="AE49" i="99"/>
  <c r="AG48" i="99"/>
  <c r="AE48" i="99"/>
  <c r="AG46" i="99"/>
  <c r="AE46" i="99"/>
  <c r="AG45" i="99"/>
  <c r="AE45" i="99"/>
  <c r="AG44" i="99"/>
  <c r="AE44" i="99"/>
  <c r="AG43" i="99"/>
  <c r="AE43" i="99"/>
  <c r="AG39" i="99"/>
  <c r="AE39" i="99"/>
  <c r="AG38" i="99"/>
  <c r="AE38" i="99"/>
  <c r="AG37" i="99"/>
  <c r="AE37" i="99"/>
  <c r="AG36" i="99"/>
  <c r="AE36" i="99"/>
  <c r="AG35" i="99"/>
  <c r="AE35" i="99"/>
  <c r="AG34" i="99"/>
  <c r="AE34" i="99"/>
  <c r="AG33" i="99"/>
  <c r="AE33" i="99"/>
  <c r="AG32" i="99"/>
  <c r="AE32" i="99"/>
  <c r="AG31" i="99"/>
  <c r="AE31" i="99"/>
  <c r="AG30" i="99"/>
  <c r="AE30" i="99"/>
  <c r="AG29" i="99"/>
  <c r="AE29" i="99"/>
  <c r="AG28" i="99"/>
  <c r="AE28" i="99"/>
  <c r="AG27" i="99"/>
  <c r="AE27" i="99"/>
  <c r="AG26" i="99"/>
  <c r="AE26" i="99"/>
  <c r="AG21" i="99"/>
  <c r="AE21" i="99"/>
  <c r="AG20" i="99"/>
  <c r="AE20" i="99"/>
  <c r="AG19" i="99"/>
  <c r="AE19" i="99"/>
  <c r="U18" i="99"/>
  <c r="W17" i="99"/>
  <c r="U17" i="99"/>
  <c r="AG17" i="99"/>
  <c r="AE17" i="99"/>
  <c r="U16" i="99"/>
  <c r="AG16" i="99"/>
  <c r="AE16" i="99"/>
  <c r="AG15" i="99"/>
  <c r="AE15" i="99"/>
  <c r="AG14" i="99"/>
  <c r="AE14" i="99"/>
  <c r="AG12" i="99"/>
  <c r="AE12" i="99"/>
  <c r="AG11" i="99"/>
  <c r="AE11" i="99"/>
  <c r="AG10" i="99"/>
  <c r="AE10" i="99"/>
  <c r="AG9" i="99"/>
  <c r="AE9" i="99"/>
  <c r="W5" i="99"/>
  <c r="U5" i="99"/>
  <c r="W32" i="98"/>
  <c r="U31" i="98"/>
  <c r="W30" i="98"/>
  <c r="U30" i="98"/>
  <c r="U29" i="98"/>
  <c r="W28" i="98"/>
  <c r="U27" i="98"/>
  <c r="W26" i="98"/>
  <c r="U25" i="98"/>
  <c r="W24" i="98"/>
  <c r="W22" i="98"/>
  <c r="U22" i="98"/>
  <c r="W16" i="98"/>
  <c r="U16" i="98"/>
  <c r="W15" i="98"/>
  <c r="U15" i="98"/>
  <c r="W14" i="98"/>
  <c r="U14" i="98"/>
  <c r="W13" i="98"/>
  <c r="U13" i="98"/>
  <c r="W12" i="98"/>
  <c r="U12" i="98"/>
  <c r="W11" i="98"/>
  <c r="U11" i="98"/>
  <c r="W10" i="98"/>
  <c r="U10" i="98"/>
  <c r="W9" i="98"/>
  <c r="U9" i="98"/>
  <c r="U8" i="98"/>
  <c r="W20" i="98"/>
  <c r="U7" i="98"/>
  <c r="W6" i="98"/>
  <c r="U6" i="98"/>
  <c r="U19" i="98"/>
  <c r="U18" i="98"/>
  <c r="U5" i="98"/>
  <c r="U17" i="98"/>
  <c r="AG55" i="98"/>
  <c r="AE55" i="98"/>
  <c r="AG54" i="98"/>
  <c r="AE54" i="98"/>
  <c r="AG53" i="98"/>
  <c r="AE53" i="98"/>
  <c r="AG51" i="98"/>
  <c r="AE51" i="98"/>
  <c r="AG50" i="98"/>
  <c r="AE50" i="98"/>
  <c r="AG49" i="98"/>
  <c r="AE49" i="98"/>
  <c r="AG48" i="98"/>
  <c r="AE48" i="98"/>
  <c r="AG46" i="98"/>
  <c r="AE46" i="98"/>
  <c r="AG45" i="98"/>
  <c r="AE45" i="98"/>
  <c r="AG44" i="98"/>
  <c r="AE44" i="98"/>
  <c r="AG43" i="98"/>
  <c r="AE43" i="98"/>
  <c r="AG39" i="98"/>
  <c r="AE39" i="98"/>
  <c r="AG38" i="98"/>
  <c r="AE38" i="98"/>
  <c r="AG37" i="98"/>
  <c r="AE37" i="98"/>
  <c r="AG36" i="98"/>
  <c r="AE36" i="98"/>
  <c r="AG35" i="98"/>
  <c r="AE35" i="98"/>
  <c r="AG34" i="98"/>
  <c r="AE34" i="98"/>
  <c r="AG33" i="98"/>
  <c r="AE33" i="98"/>
  <c r="AG32" i="98"/>
  <c r="AE32" i="98"/>
  <c r="AG31" i="98"/>
  <c r="AE31" i="98"/>
  <c r="AG30" i="98"/>
  <c r="AE30" i="98"/>
  <c r="AG29" i="98"/>
  <c r="AE29" i="98"/>
  <c r="AG28" i="98"/>
  <c r="AE28" i="98"/>
  <c r="AG27" i="98"/>
  <c r="AE27" i="98"/>
  <c r="AG26" i="98"/>
  <c r="AE26" i="98"/>
  <c r="U21" i="98"/>
  <c r="AG21" i="98"/>
  <c r="AE21" i="98"/>
  <c r="W18" i="98"/>
  <c r="AG20" i="98"/>
  <c r="AE20" i="98"/>
  <c r="AG19" i="98"/>
  <c r="AE19" i="98"/>
  <c r="AG17" i="98"/>
  <c r="AE17" i="98"/>
  <c r="AG16" i="98"/>
  <c r="AE16" i="98"/>
  <c r="AG15" i="98"/>
  <c r="AE15" i="98"/>
  <c r="AG14" i="98"/>
  <c r="AE14" i="98"/>
  <c r="AG12" i="98"/>
  <c r="AE12" i="98"/>
  <c r="AG11" i="98"/>
  <c r="AE11" i="98"/>
  <c r="AG10" i="98"/>
  <c r="AE10" i="98"/>
  <c r="AG9" i="98"/>
  <c r="AE9" i="98"/>
  <c r="W8" i="98"/>
  <c r="W7" i="98"/>
  <c r="W5" i="98"/>
  <c r="U34" i="95"/>
  <c r="U32" i="95"/>
  <c r="U30" i="95"/>
  <c r="U28" i="95"/>
  <c r="U26" i="95"/>
  <c r="U24" i="95"/>
  <c r="U22" i="95"/>
  <c r="W19" i="95"/>
  <c r="U19" i="95"/>
  <c r="W18" i="95"/>
  <c r="W17" i="95"/>
  <c r="W16" i="95"/>
  <c r="U16" i="95"/>
  <c r="W15" i="95"/>
  <c r="U15" i="95"/>
  <c r="W14" i="95"/>
  <c r="W13" i="95"/>
  <c r="W12" i="95"/>
  <c r="U12" i="95"/>
  <c r="W9" i="95"/>
  <c r="W8" i="95"/>
  <c r="U8" i="95"/>
  <c r="W7" i="95"/>
  <c r="U7" i="95"/>
  <c r="W6" i="95"/>
  <c r="AG41" i="95"/>
  <c r="AE41" i="95"/>
  <c r="AG40" i="95"/>
  <c r="AE40" i="95"/>
  <c r="AG39" i="95"/>
  <c r="AE39" i="95"/>
  <c r="AG38" i="95"/>
  <c r="AE38" i="95"/>
  <c r="AG37" i="95"/>
  <c r="AE37" i="95"/>
  <c r="AG36" i="95"/>
  <c r="AE36" i="95"/>
  <c r="AG35" i="95"/>
  <c r="AE35" i="95"/>
  <c r="AG34" i="95"/>
  <c r="AE34" i="95"/>
  <c r="AG33" i="95"/>
  <c r="AE33" i="95"/>
  <c r="AG32" i="95"/>
  <c r="AE32" i="95"/>
  <c r="AG31" i="95"/>
  <c r="AE31" i="95"/>
  <c r="AG30" i="95"/>
  <c r="AE30" i="95"/>
  <c r="AG29" i="95"/>
  <c r="AE29" i="95"/>
  <c r="AG28" i="95"/>
  <c r="AE28" i="95"/>
  <c r="AG27" i="95"/>
  <c r="AE27" i="95"/>
  <c r="AG26" i="95"/>
  <c r="AE26" i="95"/>
  <c r="AG25" i="95"/>
  <c r="AE25" i="95"/>
  <c r="AG24" i="95"/>
  <c r="AE24" i="95"/>
  <c r="AG23" i="95"/>
  <c r="AE23" i="95"/>
  <c r="AG20" i="95"/>
  <c r="AE20" i="95"/>
  <c r="AG19" i="95"/>
  <c r="AE19" i="95"/>
  <c r="AG18" i="95"/>
  <c r="AE18" i="95"/>
  <c r="AG17" i="95"/>
  <c r="AE17" i="95"/>
  <c r="AG16" i="95"/>
  <c r="AE16" i="95"/>
  <c r="AG15" i="95"/>
  <c r="AE15" i="95"/>
  <c r="AG14" i="95"/>
  <c r="AE14" i="95"/>
  <c r="AG13" i="95"/>
  <c r="AE13" i="95"/>
  <c r="AG12" i="95"/>
  <c r="AE12" i="95"/>
  <c r="AG11" i="95"/>
  <c r="AE11" i="95"/>
  <c r="AG10" i="95"/>
  <c r="AE10" i="95"/>
  <c r="AG9" i="95"/>
  <c r="AE9" i="95"/>
  <c r="W5" i="95"/>
  <c r="U5" i="95"/>
  <c r="W36" i="94"/>
  <c r="U35" i="94"/>
  <c r="W34" i="94"/>
  <c r="U33" i="94"/>
  <c r="W32" i="94"/>
  <c r="U31" i="94"/>
  <c r="W30" i="94"/>
  <c r="U29" i="94"/>
  <c r="W20" i="94"/>
  <c r="U20" i="94"/>
  <c r="W19" i="94"/>
  <c r="U19" i="94"/>
  <c r="W18" i="94"/>
  <c r="U18" i="94"/>
  <c r="W17" i="94"/>
  <c r="U17" i="94"/>
  <c r="W16" i="94"/>
  <c r="U16" i="94"/>
  <c r="W15" i="94"/>
  <c r="U15" i="94"/>
  <c r="W14" i="94"/>
  <c r="U14" i="94"/>
  <c r="W13" i="94"/>
  <c r="U13" i="94"/>
  <c r="AG55" i="94"/>
  <c r="AE55" i="94"/>
  <c r="AG54" i="94"/>
  <c r="AE54" i="94"/>
  <c r="AG53" i="94"/>
  <c r="AE53" i="94"/>
  <c r="AG51" i="94"/>
  <c r="AE51" i="94"/>
  <c r="AG50" i="94"/>
  <c r="AE50" i="94"/>
  <c r="AG49" i="94"/>
  <c r="AE49" i="94"/>
  <c r="AG48" i="94"/>
  <c r="AE48" i="94"/>
  <c r="AG46" i="94"/>
  <c r="AE46" i="94"/>
  <c r="AG45" i="94"/>
  <c r="AE45" i="94"/>
  <c r="AG44" i="94"/>
  <c r="AE44" i="94"/>
  <c r="AG43" i="94"/>
  <c r="AE43" i="94"/>
  <c r="AG39" i="94"/>
  <c r="AE39" i="94"/>
  <c r="AG38" i="94"/>
  <c r="AE38" i="94"/>
  <c r="AG37" i="94"/>
  <c r="AE37" i="94"/>
  <c r="AG36" i="94"/>
  <c r="AE36" i="94"/>
  <c r="AG35" i="94"/>
  <c r="AE35" i="94"/>
  <c r="AG34" i="94"/>
  <c r="AE34" i="94"/>
  <c r="AG33" i="94"/>
  <c r="AE33" i="94"/>
  <c r="AG32" i="94"/>
  <c r="AE32" i="94"/>
  <c r="AG31" i="94"/>
  <c r="AE31" i="94"/>
  <c r="AG30" i="94"/>
  <c r="AE30" i="94"/>
  <c r="AG29" i="94"/>
  <c r="AE29" i="94"/>
  <c r="W28" i="94"/>
  <c r="AG28" i="94"/>
  <c r="AE28" i="94"/>
  <c r="U27" i="94"/>
  <c r="AG27" i="94"/>
  <c r="AE27" i="94"/>
  <c r="W26" i="94"/>
  <c r="AG26" i="94"/>
  <c r="AE26" i="94"/>
  <c r="U25" i="94"/>
  <c r="W24" i="94"/>
  <c r="U23" i="94"/>
  <c r="W22" i="94"/>
  <c r="U21" i="94"/>
  <c r="AG21" i="94"/>
  <c r="AE21" i="94"/>
  <c r="AG20" i="94"/>
  <c r="AE20" i="94"/>
  <c r="AG19" i="94"/>
  <c r="AE19" i="94"/>
  <c r="AG17" i="94"/>
  <c r="AE17" i="94"/>
  <c r="AG16" i="94"/>
  <c r="AE16" i="94"/>
  <c r="AG15" i="94"/>
  <c r="AE15" i="94"/>
  <c r="AG14" i="94"/>
  <c r="AE14" i="94"/>
  <c r="AG12" i="94"/>
  <c r="AE12" i="94"/>
  <c r="W12" i="94"/>
  <c r="U12" i="94"/>
  <c r="AG11" i="94"/>
  <c r="AE11" i="94"/>
  <c r="W11" i="94"/>
  <c r="U11" i="94"/>
  <c r="AG10" i="94"/>
  <c r="AE10" i="94"/>
  <c r="W10" i="94"/>
  <c r="U10" i="94"/>
  <c r="AG9" i="94"/>
  <c r="AE9" i="94"/>
  <c r="W9" i="94"/>
  <c r="U9" i="94"/>
  <c r="W8" i="94"/>
  <c r="U8" i="94"/>
  <c r="W7" i="94"/>
  <c r="U7" i="94"/>
  <c r="W6" i="94"/>
  <c r="U6" i="94"/>
  <c r="W5" i="94"/>
  <c r="U5" i="94"/>
  <c r="X37" i="93"/>
  <c r="X35" i="93"/>
  <c r="V34" i="93"/>
  <c r="V32" i="93"/>
  <c r="X31" i="93"/>
  <c r="V30" i="93"/>
  <c r="AF30" i="93"/>
  <c r="V28" i="93"/>
  <c r="V21" i="93"/>
  <c r="X20" i="93"/>
  <c r="V20" i="93"/>
  <c r="V19" i="93"/>
  <c r="X18" i="93"/>
  <c r="V18" i="93"/>
  <c r="X17" i="93"/>
  <c r="V17" i="93"/>
  <c r="X16" i="93"/>
  <c r="X15" i="93"/>
  <c r="X14" i="93"/>
  <c r="X13" i="93"/>
  <c r="V13" i="93"/>
  <c r="X12" i="93"/>
  <c r="V11" i="93"/>
  <c r="AH55" i="93"/>
  <c r="AF55" i="93"/>
  <c r="AH54" i="93"/>
  <c r="AF54" i="93"/>
  <c r="AH53" i="93"/>
  <c r="AF53" i="93"/>
  <c r="AH51" i="93"/>
  <c r="AF51" i="93"/>
  <c r="AH50" i="93"/>
  <c r="AF50" i="93"/>
  <c r="AH49" i="93"/>
  <c r="AF49" i="93"/>
  <c r="AH48" i="93"/>
  <c r="AF48" i="93"/>
  <c r="AH46" i="93"/>
  <c r="AF46" i="93"/>
  <c r="AH45" i="93"/>
  <c r="AF45" i="93"/>
  <c r="AH44" i="93"/>
  <c r="AF44" i="93"/>
  <c r="AH43" i="93"/>
  <c r="AF43" i="93"/>
  <c r="AH39" i="93"/>
  <c r="AF39" i="93"/>
  <c r="AH38" i="93"/>
  <c r="AF38" i="93"/>
  <c r="T38" i="93"/>
  <c r="AH37" i="93"/>
  <c r="AF37" i="93"/>
  <c r="AH36" i="93"/>
  <c r="AF36" i="93"/>
  <c r="T36" i="93"/>
  <c r="AH35" i="93"/>
  <c r="AF35" i="93"/>
  <c r="AH34" i="93"/>
  <c r="AF34" i="93"/>
  <c r="AH33" i="93"/>
  <c r="AF33" i="93"/>
  <c r="AH32" i="93"/>
  <c r="AF32" i="93"/>
  <c r="AH31" i="93"/>
  <c r="AF31" i="93"/>
  <c r="AH30" i="93"/>
  <c r="AH29" i="93"/>
  <c r="AF29" i="93"/>
  <c r="AH28" i="93"/>
  <c r="AF28" i="93"/>
  <c r="X27" i="93"/>
  <c r="AH27" i="93"/>
  <c r="AF27" i="93"/>
  <c r="AH26" i="93"/>
  <c r="AF26" i="93"/>
  <c r="X25" i="93"/>
  <c r="V24" i="93"/>
  <c r="X23" i="93"/>
  <c r="AH21" i="93"/>
  <c r="AF21" i="93"/>
  <c r="AH20" i="93"/>
  <c r="AF20" i="93"/>
  <c r="AH19" i="93"/>
  <c r="AF19" i="93"/>
  <c r="AH17" i="93"/>
  <c r="AF17" i="93"/>
  <c r="AH16" i="93"/>
  <c r="AF16" i="93"/>
  <c r="AH15" i="93"/>
  <c r="AF15" i="93"/>
  <c r="AH14" i="93"/>
  <c r="AF14" i="93"/>
  <c r="AH12" i="93"/>
  <c r="AF12" i="93"/>
  <c r="AH11" i="93"/>
  <c r="AF11" i="93"/>
  <c r="AH10" i="93"/>
  <c r="AF10" i="93"/>
  <c r="V10" i="93"/>
  <c r="AH9" i="93"/>
  <c r="AF9" i="93"/>
  <c r="X9" i="93"/>
  <c r="V9" i="93"/>
  <c r="X8" i="93"/>
  <c r="V8" i="93"/>
  <c r="V7" i="93"/>
  <c r="X6" i="93"/>
  <c r="V6" i="93"/>
  <c r="X5" i="93"/>
  <c r="V5" i="93"/>
  <c r="W38" i="92"/>
  <c r="W36" i="92"/>
  <c r="U35" i="92"/>
  <c r="AE35" i="92"/>
  <c r="U33" i="92"/>
  <c r="W32" i="92"/>
  <c r="U31" i="92"/>
  <c r="W30" i="92"/>
  <c r="AG30" i="92"/>
  <c r="W28" i="92"/>
  <c r="U27" i="92"/>
  <c r="W26" i="92"/>
  <c r="U25" i="92"/>
  <c r="W22" i="92"/>
  <c r="U22" i="92"/>
  <c r="W21" i="92"/>
  <c r="U21" i="92"/>
  <c r="W20" i="92"/>
  <c r="U20" i="92"/>
  <c r="W19" i="92"/>
  <c r="U19" i="92"/>
  <c r="W18" i="92"/>
  <c r="U18" i="92"/>
  <c r="W17" i="92"/>
  <c r="U17" i="92"/>
  <c r="W16" i="92"/>
  <c r="U16" i="92"/>
  <c r="W15" i="92"/>
  <c r="U15" i="92"/>
  <c r="W14" i="92"/>
  <c r="U14" i="92"/>
  <c r="U13" i="92"/>
  <c r="W12" i="92"/>
  <c r="U12" i="92"/>
  <c r="U11" i="92"/>
  <c r="W10" i="92"/>
  <c r="U10" i="92"/>
  <c r="W9" i="92"/>
  <c r="U9" i="92"/>
  <c r="U8" i="92"/>
  <c r="W7" i="92"/>
  <c r="U7" i="92"/>
  <c r="AG55" i="92"/>
  <c r="AE55" i="92"/>
  <c r="AG54" i="92"/>
  <c r="AE54" i="92"/>
  <c r="AG53" i="92"/>
  <c r="AE53" i="92"/>
  <c r="AG51" i="92"/>
  <c r="AE51" i="92"/>
  <c r="AG50" i="92"/>
  <c r="AE50" i="92"/>
  <c r="AG49" i="92"/>
  <c r="AE49" i="92"/>
  <c r="AG48" i="92"/>
  <c r="AE48" i="92"/>
  <c r="AG46" i="92"/>
  <c r="AE46" i="92"/>
  <c r="AG45" i="92"/>
  <c r="AE45" i="92"/>
  <c r="AG44" i="92"/>
  <c r="AE44" i="92"/>
  <c r="AG43" i="92"/>
  <c r="AE43" i="92"/>
  <c r="AG39" i="92"/>
  <c r="AE39" i="92"/>
  <c r="AG38" i="92"/>
  <c r="AE38" i="92"/>
  <c r="AG37" i="92"/>
  <c r="AE37" i="92"/>
  <c r="AG36" i="92"/>
  <c r="AE36" i="92"/>
  <c r="AG35" i="92"/>
  <c r="AG34" i="92"/>
  <c r="AE34" i="92"/>
  <c r="AG33" i="92"/>
  <c r="AE33" i="92"/>
  <c r="AG32" i="92"/>
  <c r="AE32" i="92"/>
  <c r="AG31" i="92"/>
  <c r="AE31" i="92"/>
  <c r="AG29" i="92"/>
  <c r="AE29" i="92"/>
  <c r="AG28" i="92"/>
  <c r="AE28" i="92"/>
  <c r="AG27" i="92"/>
  <c r="AE27" i="92"/>
  <c r="AG26" i="92"/>
  <c r="AE26" i="92"/>
  <c r="W24" i="92"/>
  <c r="U23" i="92"/>
  <c r="AG21" i="92"/>
  <c r="AE21" i="92"/>
  <c r="AG20" i="92"/>
  <c r="AE20" i="92"/>
  <c r="AG19" i="92"/>
  <c r="AE19" i="92"/>
  <c r="AG17" i="92"/>
  <c r="AE17" i="92"/>
  <c r="AG16" i="92"/>
  <c r="AE16" i="92"/>
  <c r="AG15" i="92"/>
  <c r="AE15" i="92"/>
  <c r="AG14" i="92"/>
  <c r="AE14" i="92"/>
  <c r="AG12" i="92"/>
  <c r="AE12" i="92"/>
  <c r="AG11" i="92"/>
  <c r="AE11" i="92"/>
  <c r="AG10" i="92"/>
  <c r="AE10" i="92"/>
  <c r="AG9" i="92"/>
  <c r="AE9" i="92"/>
  <c r="W6" i="92"/>
  <c r="U6" i="92"/>
  <c r="W5" i="92"/>
  <c r="U5" i="92"/>
  <c r="W39" i="91"/>
  <c r="AG24" i="91"/>
  <c r="U19" i="91"/>
  <c r="AG42" i="91"/>
  <c r="AE42" i="91"/>
  <c r="AG41" i="91"/>
  <c r="AE41" i="91"/>
  <c r="AE40" i="91"/>
  <c r="AG38" i="91"/>
  <c r="AE37" i="91"/>
  <c r="AG36" i="91"/>
  <c r="AE35" i="91"/>
  <c r="AG34" i="91"/>
  <c r="AE34" i="91"/>
  <c r="AE33" i="91"/>
  <c r="AG32" i="91"/>
  <c r="AE31" i="91"/>
  <c r="AG30" i="91"/>
  <c r="AE30" i="91"/>
  <c r="AE29" i="91"/>
  <c r="AG28" i="91"/>
  <c r="AE24" i="91"/>
  <c r="AE23" i="91"/>
  <c r="AG21" i="91"/>
  <c r="AG17" i="91"/>
  <c r="AE16" i="91"/>
  <c r="U16" i="91"/>
  <c r="AE10" i="91" s="1"/>
  <c r="AE20" i="91"/>
  <c r="U15" i="91"/>
  <c r="AE9" i="91" s="1"/>
  <c r="AG13" i="91"/>
  <c r="W14" i="91"/>
  <c r="AE11" i="91"/>
  <c r="U11" i="91"/>
  <c r="AE15" i="91"/>
  <c r="AG9" i="91"/>
  <c r="U6" i="91"/>
  <c r="W38" i="90"/>
  <c r="U37" i="90"/>
  <c r="W36" i="90"/>
  <c r="W34" i="90"/>
  <c r="U33" i="90"/>
  <c r="W32" i="90"/>
  <c r="W30" i="90"/>
  <c r="W24" i="90"/>
  <c r="U24" i="90"/>
  <c r="W23" i="90"/>
  <c r="U23" i="90"/>
  <c r="W22" i="90"/>
  <c r="U22" i="90"/>
  <c r="U21" i="90"/>
  <c r="U20" i="90"/>
  <c r="U19" i="90"/>
  <c r="W18" i="90"/>
  <c r="U18" i="90"/>
  <c r="W17" i="90"/>
  <c r="U17" i="90"/>
  <c r="W16" i="90"/>
  <c r="U16" i="90"/>
  <c r="W15" i="90"/>
  <c r="U15" i="90"/>
  <c r="W14" i="90"/>
  <c r="U14" i="90"/>
  <c r="W13" i="90"/>
  <c r="U13" i="90"/>
  <c r="W12" i="90"/>
  <c r="U12" i="90"/>
  <c r="AG55" i="90"/>
  <c r="AE55" i="90"/>
  <c r="AG54" i="90"/>
  <c r="AE54" i="90"/>
  <c r="AG53" i="90"/>
  <c r="AE53" i="90"/>
  <c r="AG51" i="90"/>
  <c r="AE51" i="90"/>
  <c r="AG50" i="90"/>
  <c r="AE50" i="90"/>
  <c r="AG49" i="90"/>
  <c r="AE49" i="90"/>
  <c r="AG48" i="90"/>
  <c r="AE48" i="90"/>
  <c r="AG46" i="90"/>
  <c r="AE46" i="90"/>
  <c r="AG45" i="90"/>
  <c r="AE45" i="90"/>
  <c r="AG44" i="90"/>
  <c r="AE44" i="90"/>
  <c r="AG43" i="90"/>
  <c r="AE43" i="90"/>
  <c r="AE39" i="90"/>
  <c r="AG38" i="90"/>
  <c r="AE38" i="90"/>
  <c r="AG37" i="90"/>
  <c r="AE37" i="90"/>
  <c r="AG36" i="90"/>
  <c r="AE36" i="90"/>
  <c r="AG34" i="90"/>
  <c r="AE34" i="90"/>
  <c r="AG33" i="90"/>
  <c r="AE33" i="90"/>
  <c r="AG32" i="90"/>
  <c r="AE32" i="90"/>
  <c r="AG31" i="90"/>
  <c r="AE31" i="90"/>
  <c r="U29" i="90"/>
  <c r="AG29" i="90"/>
  <c r="AE29" i="90"/>
  <c r="W28" i="90"/>
  <c r="AG28" i="90"/>
  <c r="AE28" i="90"/>
  <c r="AG27" i="90"/>
  <c r="AE27" i="90"/>
  <c r="W26" i="90"/>
  <c r="AG26" i="90"/>
  <c r="AE26" i="90"/>
  <c r="U25" i="90"/>
  <c r="AG21" i="90"/>
  <c r="AE21" i="90"/>
  <c r="AG20" i="90"/>
  <c r="AE20" i="90"/>
  <c r="AG19" i="90"/>
  <c r="AE19" i="90"/>
  <c r="AG17" i="90"/>
  <c r="AE17" i="90"/>
  <c r="AG16" i="90"/>
  <c r="AE16" i="90"/>
  <c r="AG15" i="90"/>
  <c r="AE15" i="90"/>
  <c r="AG14" i="90"/>
  <c r="AE14" i="90"/>
  <c r="AG12" i="90"/>
  <c r="AE12" i="90"/>
  <c r="AG11" i="90"/>
  <c r="AE11" i="90"/>
  <c r="W11" i="90"/>
  <c r="U11" i="90"/>
  <c r="AG10" i="90"/>
  <c r="AE10" i="90"/>
  <c r="W10" i="90"/>
  <c r="U10" i="90"/>
  <c r="AG9" i="90"/>
  <c r="AE9" i="90"/>
  <c r="W9" i="90"/>
  <c r="U9" i="90"/>
  <c r="W8" i="90"/>
  <c r="U8" i="90"/>
  <c r="W7" i="90"/>
  <c r="U7" i="90"/>
  <c r="W6" i="90"/>
  <c r="U6" i="90"/>
  <c r="W5" i="90"/>
  <c r="U5" i="90"/>
  <c r="W41" i="89"/>
  <c r="W25" i="89"/>
  <c r="U25" i="89"/>
  <c r="W24" i="89"/>
  <c r="U24" i="89"/>
  <c r="W23" i="89"/>
  <c r="U23" i="89"/>
  <c r="AG55" i="89"/>
  <c r="AE55" i="89"/>
  <c r="AG54" i="89"/>
  <c r="AE54" i="89"/>
  <c r="AG53" i="89"/>
  <c r="AE53" i="89"/>
  <c r="AG51" i="89"/>
  <c r="AE51" i="89"/>
  <c r="AG50" i="89"/>
  <c r="AE50" i="89"/>
  <c r="AG49" i="89"/>
  <c r="AE49" i="89"/>
  <c r="AG48" i="89"/>
  <c r="AE48" i="89"/>
  <c r="AG46" i="89"/>
  <c r="AE46" i="89"/>
  <c r="AG45" i="89"/>
  <c r="AE45" i="89"/>
  <c r="AG44" i="89"/>
  <c r="AE44" i="89"/>
  <c r="AG43" i="89"/>
  <c r="AE43" i="89"/>
  <c r="AE39" i="89"/>
  <c r="AG38" i="89"/>
  <c r="AE38" i="89"/>
  <c r="AG37" i="89"/>
  <c r="AE37" i="89"/>
  <c r="AG36" i="89"/>
  <c r="AE36" i="89"/>
  <c r="U34" i="89"/>
  <c r="AG34" i="89"/>
  <c r="AE34" i="89"/>
  <c r="W33" i="89"/>
  <c r="AG33" i="89"/>
  <c r="AE33" i="89"/>
  <c r="AG32" i="89"/>
  <c r="AE32" i="89"/>
  <c r="AG31" i="89"/>
  <c r="AE31" i="89"/>
  <c r="U30" i="89"/>
  <c r="W29" i="89"/>
  <c r="AG29" i="89"/>
  <c r="AE29" i="89"/>
  <c r="AG28" i="89"/>
  <c r="AE28" i="89"/>
  <c r="W27" i="89"/>
  <c r="AG27" i="89"/>
  <c r="AE27" i="89"/>
  <c r="U26" i="89"/>
  <c r="AG26" i="89"/>
  <c r="AE26" i="89"/>
  <c r="W22" i="89"/>
  <c r="U22" i="89"/>
  <c r="AG21" i="89"/>
  <c r="AE21" i="89"/>
  <c r="W21" i="89"/>
  <c r="U21" i="89"/>
  <c r="AG20" i="89"/>
  <c r="AE20" i="89"/>
  <c r="W20" i="89"/>
  <c r="U20" i="89"/>
  <c r="AG19" i="89"/>
  <c r="AE19" i="89"/>
  <c r="W19" i="89"/>
  <c r="U19" i="89"/>
  <c r="W18" i="89"/>
  <c r="U18" i="89"/>
  <c r="AG17" i="89"/>
  <c r="AE17" i="89"/>
  <c r="W17" i="89"/>
  <c r="U17" i="89"/>
  <c r="AG16" i="89"/>
  <c r="AE16" i="89"/>
  <c r="W16" i="89"/>
  <c r="U16" i="89"/>
  <c r="AG15" i="89"/>
  <c r="AE15" i="89"/>
  <c r="W15" i="89"/>
  <c r="U15" i="89"/>
  <c r="AG14" i="89"/>
  <c r="AE14" i="89"/>
  <c r="W14" i="89"/>
  <c r="U14" i="89"/>
  <c r="W13" i="89"/>
  <c r="U13" i="89"/>
  <c r="AG12" i="89"/>
  <c r="AE12" i="89"/>
  <c r="W12" i="89"/>
  <c r="U12" i="89"/>
  <c r="AG11" i="89"/>
  <c r="AE11" i="89"/>
  <c r="W11" i="89"/>
  <c r="U11" i="89"/>
  <c r="AG10" i="89"/>
  <c r="AE10" i="89"/>
  <c r="W10" i="89"/>
  <c r="U10" i="89"/>
  <c r="AG9" i="89"/>
  <c r="AE9" i="89"/>
  <c r="W9" i="89"/>
  <c r="U9" i="89"/>
  <c r="W8" i="89"/>
  <c r="U8" i="89"/>
  <c r="W7" i="89"/>
  <c r="U7" i="89"/>
  <c r="W6" i="89"/>
  <c r="U6" i="89"/>
  <c r="W5" i="89"/>
  <c r="U5" i="89"/>
  <c r="W42" i="88"/>
  <c r="U39" i="88"/>
  <c r="W38" i="88"/>
  <c r="W26" i="88"/>
  <c r="U26" i="88"/>
  <c r="W25" i="88"/>
  <c r="U25" i="88"/>
  <c r="W24" i="88"/>
  <c r="U24" i="88"/>
  <c r="W23" i="88"/>
  <c r="U23" i="88"/>
  <c r="W22" i="88"/>
  <c r="U22" i="88"/>
  <c r="W21" i="88"/>
  <c r="U21" i="88"/>
  <c r="W20" i="88"/>
  <c r="U20" i="88"/>
  <c r="W19" i="88"/>
  <c r="U19" i="88"/>
  <c r="W18" i="88"/>
  <c r="U18" i="88"/>
  <c r="AG55" i="88"/>
  <c r="AE55" i="88"/>
  <c r="AG54" i="88"/>
  <c r="AE54" i="88"/>
  <c r="AG53" i="88"/>
  <c r="AE53" i="88"/>
  <c r="AG51" i="88"/>
  <c r="AE51" i="88"/>
  <c r="AG50" i="88"/>
  <c r="AE50" i="88"/>
  <c r="AG49" i="88"/>
  <c r="AE49" i="88"/>
  <c r="AG48" i="88"/>
  <c r="AE48" i="88"/>
  <c r="AG46" i="88"/>
  <c r="AE46" i="88"/>
  <c r="AG45" i="88"/>
  <c r="AE45" i="88"/>
  <c r="AG44" i="88"/>
  <c r="AE44" i="88"/>
  <c r="AG43" i="88"/>
  <c r="AE43" i="88"/>
  <c r="AE39" i="88"/>
  <c r="AG38" i="88"/>
  <c r="AE38" i="88"/>
  <c r="AG37" i="88"/>
  <c r="AE37" i="88"/>
  <c r="AG36" i="88"/>
  <c r="AE36" i="88"/>
  <c r="U35" i="88"/>
  <c r="W34" i="88"/>
  <c r="AG34" i="88"/>
  <c r="AE34" i="88"/>
  <c r="AG33" i="88"/>
  <c r="AE33" i="88"/>
  <c r="AG32" i="88"/>
  <c r="AE32" i="88"/>
  <c r="U31" i="88"/>
  <c r="AG31" i="88"/>
  <c r="AE31" i="88"/>
  <c r="W30" i="88"/>
  <c r="AG29" i="88"/>
  <c r="AE29" i="88"/>
  <c r="W28" i="88"/>
  <c r="AG28" i="88"/>
  <c r="AE28" i="88"/>
  <c r="AG27" i="88"/>
  <c r="AE27" i="88"/>
  <c r="AG26" i="88"/>
  <c r="AE26" i="88"/>
  <c r="AG21" i="88"/>
  <c r="AE21" i="88"/>
  <c r="AG20" i="88"/>
  <c r="AE20" i="88"/>
  <c r="AG19" i="88"/>
  <c r="AE19" i="88"/>
  <c r="AG17" i="88"/>
  <c r="AE17" i="88"/>
  <c r="W17" i="88"/>
  <c r="U17" i="88"/>
  <c r="AG16" i="88"/>
  <c r="AE16" i="88"/>
  <c r="W16" i="88"/>
  <c r="U16" i="88"/>
  <c r="AG15" i="88"/>
  <c r="AE15" i="88"/>
  <c r="W15" i="88"/>
  <c r="U15" i="88"/>
  <c r="AG14" i="88"/>
  <c r="AE14" i="88"/>
  <c r="W14" i="88"/>
  <c r="U14" i="88"/>
  <c r="W13" i="88"/>
  <c r="U13" i="88"/>
  <c r="AG12" i="88"/>
  <c r="AE12" i="88"/>
  <c r="W12" i="88"/>
  <c r="U12" i="88"/>
  <c r="AG11" i="88"/>
  <c r="AE11" i="88"/>
  <c r="W11" i="88"/>
  <c r="U11" i="88"/>
  <c r="AG10" i="88"/>
  <c r="AE10" i="88"/>
  <c r="W10" i="88"/>
  <c r="U10" i="88"/>
  <c r="AG9" i="88"/>
  <c r="AE9" i="88"/>
  <c r="W9" i="88"/>
  <c r="U9" i="88"/>
  <c r="W8" i="88"/>
  <c r="U8" i="88"/>
  <c r="W7" i="88"/>
  <c r="U7" i="88"/>
  <c r="W6" i="88"/>
  <c r="U6" i="88"/>
  <c r="W5" i="88"/>
  <c r="U5" i="88"/>
  <c r="W43" i="87"/>
  <c r="W39" i="87"/>
  <c r="U36" i="87"/>
  <c r="W35" i="87"/>
  <c r="U32" i="87"/>
  <c r="W31" i="87"/>
  <c r="W29" i="87"/>
  <c r="W27" i="87"/>
  <c r="U27" i="87"/>
  <c r="W26" i="87"/>
  <c r="U26" i="87"/>
  <c r="W25" i="87"/>
  <c r="U25" i="87"/>
  <c r="W24" i="87"/>
  <c r="U24" i="87"/>
  <c r="W23" i="87"/>
  <c r="U23" i="87"/>
  <c r="W22" i="87"/>
  <c r="U22" i="87"/>
  <c r="W21" i="87"/>
  <c r="U21" i="87"/>
  <c r="W20" i="87"/>
  <c r="U20" i="87"/>
  <c r="W19" i="87"/>
  <c r="U19" i="87"/>
  <c r="W18" i="87"/>
  <c r="U18" i="87"/>
  <c r="W17" i="87"/>
  <c r="U17" i="87"/>
  <c r="W16" i="87"/>
  <c r="U16" i="87"/>
  <c r="W15" i="87"/>
  <c r="U15" i="87"/>
  <c r="W14" i="87"/>
  <c r="U14" i="87"/>
  <c r="W13" i="87"/>
  <c r="U13" i="87"/>
  <c r="W12" i="87"/>
  <c r="U12" i="87"/>
  <c r="W11" i="87"/>
  <c r="U11" i="87"/>
  <c r="W10" i="87"/>
  <c r="U10" i="87"/>
  <c r="W9" i="87"/>
  <c r="U9" i="87"/>
  <c r="W8" i="87"/>
  <c r="U8" i="87"/>
  <c r="W7" i="87"/>
  <c r="U7" i="87"/>
  <c r="AG55" i="87"/>
  <c r="AE55" i="87"/>
  <c r="AG54" i="87"/>
  <c r="AE54" i="87"/>
  <c r="AG53" i="87"/>
  <c r="AE53" i="87"/>
  <c r="AG51" i="87"/>
  <c r="AE51" i="87"/>
  <c r="AG50" i="87"/>
  <c r="AE50" i="87"/>
  <c r="AG49" i="87"/>
  <c r="AE49" i="87"/>
  <c r="AG48" i="87"/>
  <c r="AE48" i="87"/>
  <c r="AG46" i="87"/>
  <c r="AE46" i="87"/>
  <c r="AG45" i="87"/>
  <c r="AE45" i="87"/>
  <c r="AG44" i="87"/>
  <c r="AE44" i="87"/>
  <c r="AG43" i="87"/>
  <c r="AE43" i="87"/>
  <c r="U40" i="87"/>
  <c r="AE39" i="87"/>
  <c r="AG38" i="87"/>
  <c r="AE38" i="87"/>
  <c r="AG37" i="87"/>
  <c r="AE37" i="87"/>
  <c r="AG36" i="87"/>
  <c r="AE36" i="87"/>
  <c r="AG34" i="87"/>
  <c r="AE34" i="87"/>
  <c r="AG33" i="87"/>
  <c r="AE33" i="87"/>
  <c r="AG32" i="87"/>
  <c r="AE32" i="87"/>
  <c r="AG31" i="87"/>
  <c r="AE31" i="87"/>
  <c r="AG29" i="87"/>
  <c r="AE29" i="87"/>
  <c r="U28" i="87"/>
  <c r="AG28" i="87"/>
  <c r="AE28" i="87"/>
  <c r="AG27" i="87"/>
  <c r="AE27" i="87"/>
  <c r="AG26" i="87"/>
  <c r="AE26" i="87"/>
  <c r="AG21" i="87"/>
  <c r="AE21" i="87"/>
  <c r="AG20" i="87"/>
  <c r="AE20" i="87"/>
  <c r="AG19" i="87"/>
  <c r="AE19" i="87"/>
  <c r="AG17" i="87"/>
  <c r="AE17" i="87"/>
  <c r="AG16" i="87"/>
  <c r="AE16" i="87"/>
  <c r="AG15" i="87"/>
  <c r="AE15" i="87"/>
  <c r="AG14" i="87"/>
  <c r="AE14" i="87"/>
  <c r="AG12" i="87"/>
  <c r="AE12" i="87"/>
  <c r="AG11" i="87"/>
  <c r="AE11" i="87"/>
  <c r="AG10" i="87"/>
  <c r="AE10" i="87"/>
  <c r="AG9" i="87"/>
  <c r="AE9" i="87"/>
  <c r="W6" i="87"/>
  <c r="U6" i="87"/>
  <c r="W5" i="87"/>
  <c r="U5" i="87"/>
  <c r="W44" i="86"/>
  <c r="AG55" i="86"/>
  <c r="AE55" i="86"/>
  <c r="AG54" i="86"/>
  <c r="AE54" i="86"/>
  <c r="AG53" i="86"/>
  <c r="AE53" i="86"/>
  <c r="AG51" i="86"/>
  <c r="AE51" i="86"/>
  <c r="AG50" i="86"/>
  <c r="AE50" i="86"/>
  <c r="AG49" i="86"/>
  <c r="AE49" i="86"/>
  <c r="AG48" i="86"/>
  <c r="AE48" i="86"/>
  <c r="AG46" i="86"/>
  <c r="AE46" i="86"/>
  <c r="AG45" i="86"/>
  <c r="AE45" i="86"/>
  <c r="AG44" i="86"/>
  <c r="AE44" i="86"/>
  <c r="AG43" i="86"/>
  <c r="AE43" i="86"/>
  <c r="W40" i="86"/>
  <c r="AE39" i="86"/>
  <c r="AG38" i="86"/>
  <c r="AE38" i="86"/>
  <c r="U37" i="86"/>
  <c r="AG37" i="86"/>
  <c r="AE37" i="86"/>
  <c r="W36" i="86"/>
  <c r="AG36" i="86"/>
  <c r="AE36" i="86"/>
  <c r="AG34" i="86"/>
  <c r="AE34" i="86"/>
  <c r="U33" i="86"/>
  <c r="AG33" i="86"/>
  <c r="AE33" i="86"/>
  <c r="W32" i="86"/>
  <c r="AG32" i="86"/>
  <c r="AE32" i="86"/>
  <c r="AG31" i="86"/>
  <c r="AE31" i="86"/>
  <c r="U29" i="86"/>
  <c r="AG29" i="86"/>
  <c r="AE29" i="86"/>
  <c r="AG28" i="86"/>
  <c r="AE28" i="86"/>
  <c r="W28" i="86"/>
  <c r="U28" i="86"/>
  <c r="AG27" i="86"/>
  <c r="AE27" i="86"/>
  <c r="W27" i="86"/>
  <c r="U27" i="86"/>
  <c r="AG26" i="86"/>
  <c r="AE26" i="86"/>
  <c r="W26" i="86"/>
  <c r="U26" i="86"/>
  <c r="W25" i="86"/>
  <c r="U25" i="86"/>
  <c r="W24" i="86"/>
  <c r="U24" i="86"/>
  <c r="W23" i="86"/>
  <c r="U23" i="86"/>
  <c r="W22" i="86"/>
  <c r="U22" i="86"/>
  <c r="AG21" i="86"/>
  <c r="AE21" i="86"/>
  <c r="W21" i="86"/>
  <c r="U21" i="86"/>
  <c r="AG20" i="86"/>
  <c r="AE20" i="86"/>
  <c r="W20" i="86"/>
  <c r="U20" i="86"/>
  <c r="AG19" i="86"/>
  <c r="AE19" i="86"/>
  <c r="W19" i="86"/>
  <c r="U19" i="86"/>
  <c r="W18" i="86"/>
  <c r="U18" i="86"/>
  <c r="AG17" i="86"/>
  <c r="AE17" i="86"/>
  <c r="W17" i="86"/>
  <c r="U17" i="86"/>
  <c r="AG16" i="86"/>
  <c r="AE16" i="86"/>
  <c r="W16" i="86"/>
  <c r="U16" i="86"/>
  <c r="AG15" i="86"/>
  <c r="AE15" i="86"/>
  <c r="W15" i="86"/>
  <c r="U15" i="86"/>
  <c r="AG14" i="86"/>
  <c r="AE14" i="86"/>
  <c r="W14" i="86"/>
  <c r="U14" i="86"/>
  <c r="W13" i="86"/>
  <c r="U13" i="86"/>
  <c r="AG12" i="86"/>
  <c r="AE12" i="86"/>
  <c r="W12" i="86"/>
  <c r="U12" i="86"/>
  <c r="AG11" i="86"/>
  <c r="AE11" i="86"/>
  <c r="W11" i="86"/>
  <c r="U11" i="86"/>
  <c r="AG10" i="86"/>
  <c r="AE10" i="86"/>
  <c r="W10" i="86"/>
  <c r="U10" i="86"/>
  <c r="AG9" i="86"/>
  <c r="AE9" i="86"/>
  <c r="W9" i="86"/>
  <c r="U9" i="86"/>
  <c r="W8" i="86"/>
  <c r="U8" i="86"/>
  <c r="W7" i="86"/>
  <c r="U7" i="86"/>
  <c r="W6" i="86"/>
  <c r="U6" i="86"/>
  <c r="W5" i="86"/>
  <c r="U5" i="86"/>
  <c r="U42" i="85"/>
  <c r="AE39" i="85"/>
  <c r="U38" i="85"/>
  <c r="W37" i="85"/>
  <c r="W29" i="85"/>
  <c r="U29" i="85"/>
  <c r="W28" i="85"/>
  <c r="U28" i="85"/>
  <c r="W27" i="85"/>
  <c r="U27" i="85"/>
  <c r="W26" i="85"/>
  <c r="U26" i="85"/>
  <c r="W25" i="85"/>
  <c r="U25" i="85"/>
  <c r="W24" i="85"/>
  <c r="U24" i="85"/>
  <c r="W23" i="85"/>
  <c r="U23" i="85"/>
  <c r="W22" i="85"/>
  <c r="U22" i="85"/>
  <c r="W21" i="85"/>
  <c r="U21" i="85"/>
  <c r="W20" i="85"/>
  <c r="U20" i="85"/>
  <c r="W19" i="85"/>
  <c r="U19" i="85"/>
  <c r="W18" i="85"/>
  <c r="U18" i="85"/>
  <c r="W17" i="85"/>
  <c r="U17" i="85"/>
  <c r="AG55" i="85"/>
  <c r="AE55" i="85"/>
  <c r="AG54" i="85"/>
  <c r="AE54" i="85"/>
  <c r="AG53" i="85"/>
  <c r="AE53" i="85"/>
  <c r="AG51" i="85"/>
  <c r="AE51" i="85"/>
  <c r="AG50" i="85"/>
  <c r="AE50" i="85"/>
  <c r="AG49" i="85"/>
  <c r="AE49" i="85"/>
  <c r="AG48" i="85"/>
  <c r="AE48" i="85"/>
  <c r="AG46" i="85"/>
  <c r="AE46" i="85"/>
  <c r="AG45" i="85"/>
  <c r="AE45" i="85"/>
  <c r="AG44" i="85"/>
  <c r="AE44" i="85"/>
  <c r="AG43" i="85"/>
  <c r="AE43" i="85"/>
  <c r="AG38" i="85"/>
  <c r="AE38" i="85"/>
  <c r="AG37" i="85"/>
  <c r="AE37" i="85"/>
  <c r="AG36" i="85"/>
  <c r="AE36" i="85"/>
  <c r="U34" i="85"/>
  <c r="AG34" i="85"/>
  <c r="AE34" i="85"/>
  <c r="W33" i="85"/>
  <c r="AG33" i="85"/>
  <c r="AE33" i="85"/>
  <c r="AG32" i="85"/>
  <c r="AE32" i="85"/>
  <c r="AG31" i="85"/>
  <c r="AE31" i="85"/>
  <c r="U30" i="85"/>
  <c r="AG29" i="85"/>
  <c r="AE29" i="85"/>
  <c r="AG28" i="85"/>
  <c r="AE28" i="85"/>
  <c r="AG27" i="85"/>
  <c r="AE27" i="85"/>
  <c r="AG26" i="85"/>
  <c r="AE26" i="85"/>
  <c r="AG21" i="85"/>
  <c r="AE21" i="85"/>
  <c r="AG20" i="85"/>
  <c r="AE20" i="85"/>
  <c r="AG19" i="85"/>
  <c r="AE19" i="85"/>
  <c r="AG17" i="85"/>
  <c r="AE17" i="85"/>
  <c r="AG16" i="85"/>
  <c r="AE16" i="85"/>
  <c r="W16" i="85"/>
  <c r="U16" i="85"/>
  <c r="AG15" i="85"/>
  <c r="AE15" i="85"/>
  <c r="W15" i="85"/>
  <c r="U15" i="85"/>
  <c r="AG14" i="85"/>
  <c r="AE14" i="85"/>
  <c r="W14" i="85"/>
  <c r="U14" i="85"/>
  <c r="W13" i="85"/>
  <c r="U13" i="85"/>
  <c r="AG12" i="85"/>
  <c r="AE12" i="85"/>
  <c r="W12" i="85"/>
  <c r="U12" i="85"/>
  <c r="AG11" i="85"/>
  <c r="AE11" i="85"/>
  <c r="W11" i="85"/>
  <c r="U11" i="85"/>
  <c r="AG10" i="85"/>
  <c r="AE10" i="85"/>
  <c r="W10" i="85"/>
  <c r="U10" i="85"/>
  <c r="AG9" i="85"/>
  <c r="AE9" i="85"/>
  <c r="W9" i="85"/>
  <c r="U9" i="85"/>
  <c r="W8" i="85"/>
  <c r="U8" i="85"/>
  <c r="W7" i="85"/>
  <c r="U7" i="85"/>
  <c r="W6" i="85"/>
  <c r="U6" i="85"/>
  <c r="W5" i="85"/>
  <c r="U5" i="85"/>
  <c r="U43" i="84"/>
  <c r="W42" i="84"/>
  <c r="U39" i="84"/>
  <c r="W29" i="84"/>
  <c r="W28" i="84"/>
  <c r="U28" i="84"/>
  <c r="W27" i="84"/>
  <c r="U27" i="84"/>
  <c r="W26" i="84"/>
  <c r="U26" i="84"/>
  <c r="W25" i="84"/>
  <c r="U25" i="84"/>
  <c r="W24" i="84"/>
  <c r="U24" i="84"/>
  <c r="W23" i="84"/>
  <c r="U23" i="84"/>
  <c r="AG55" i="84"/>
  <c r="AE55" i="84"/>
  <c r="AG54" i="84"/>
  <c r="AE54" i="84"/>
  <c r="AG53" i="84"/>
  <c r="AE53" i="84"/>
  <c r="AG51" i="84"/>
  <c r="AE51" i="84"/>
  <c r="AG50" i="84"/>
  <c r="AE50" i="84"/>
  <c r="AG49" i="84"/>
  <c r="AE49" i="84"/>
  <c r="AG48" i="84"/>
  <c r="AE48" i="84"/>
  <c r="AG46" i="84"/>
  <c r="AE46" i="84"/>
  <c r="AG45" i="84"/>
  <c r="AE45" i="84"/>
  <c r="AG44" i="84"/>
  <c r="AE44" i="84"/>
  <c r="AG43" i="84"/>
  <c r="AE43" i="84"/>
  <c r="AG38" i="84"/>
  <c r="AE38" i="84"/>
  <c r="AG37" i="84"/>
  <c r="AE37" i="84"/>
  <c r="AG36" i="84"/>
  <c r="AE36" i="84"/>
  <c r="U35" i="84"/>
  <c r="W34" i="84"/>
  <c r="AG34" i="84"/>
  <c r="AE34" i="84"/>
  <c r="AG33" i="84"/>
  <c r="AE33" i="84"/>
  <c r="AG32" i="84"/>
  <c r="AE32" i="84"/>
  <c r="U31" i="84"/>
  <c r="AG31" i="84"/>
  <c r="AE31" i="84"/>
  <c r="U30" i="84"/>
  <c r="AG29" i="84"/>
  <c r="AE29" i="84"/>
  <c r="AG28" i="84"/>
  <c r="AE28" i="84"/>
  <c r="AG27" i="84"/>
  <c r="AE27" i="84"/>
  <c r="AG26" i="84"/>
  <c r="AE26" i="84"/>
  <c r="W22" i="84"/>
  <c r="U22" i="84"/>
  <c r="AG21" i="84"/>
  <c r="AE21" i="84"/>
  <c r="W21" i="84"/>
  <c r="U21" i="84"/>
  <c r="AG20" i="84"/>
  <c r="AE20" i="84"/>
  <c r="W20" i="84"/>
  <c r="U20" i="84"/>
  <c r="AG19" i="84"/>
  <c r="AE19" i="84"/>
  <c r="W19" i="84"/>
  <c r="U19" i="84"/>
  <c r="W18" i="84"/>
  <c r="U18" i="84"/>
  <c r="AG17" i="84"/>
  <c r="AE17" i="84"/>
  <c r="W17" i="84"/>
  <c r="U17" i="84"/>
  <c r="AG16" i="84"/>
  <c r="AE16" i="84"/>
  <c r="W16" i="84"/>
  <c r="U16" i="84"/>
  <c r="AG15" i="84"/>
  <c r="AE15" i="84"/>
  <c r="W15" i="84"/>
  <c r="U15" i="84"/>
  <c r="AG14" i="84"/>
  <c r="AE14" i="84"/>
  <c r="W14" i="84"/>
  <c r="U14" i="84"/>
  <c r="W13" i="84"/>
  <c r="U13" i="84"/>
  <c r="AG12" i="84"/>
  <c r="AE12" i="84"/>
  <c r="W12" i="84"/>
  <c r="U12" i="84"/>
  <c r="AG11" i="84"/>
  <c r="AE11" i="84"/>
  <c r="W11" i="84"/>
  <c r="U11" i="84"/>
  <c r="AG10" i="84"/>
  <c r="AE10" i="84"/>
  <c r="W10" i="84"/>
  <c r="U10" i="84"/>
  <c r="AG9" i="84"/>
  <c r="AE9" i="84"/>
  <c r="W9" i="84"/>
  <c r="U9" i="84"/>
  <c r="W8" i="84"/>
  <c r="U8" i="84"/>
  <c r="W7" i="84"/>
  <c r="U7" i="84"/>
  <c r="W6" i="84"/>
  <c r="U6" i="84"/>
  <c r="W5" i="84"/>
  <c r="U5" i="84"/>
  <c r="W44" i="83"/>
  <c r="W40" i="83"/>
  <c r="W35" i="83"/>
  <c r="U36" i="83"/>
  <c r="W31" i="83"/>
  <c r="U31" i="83"/>
  <c r="W30" i="83"/>
  <c r="U30" i="83"/>
  <c r="W29" i="83"/>
  <c r="U29" i="83"/>
  <c r="W28" i="83"/>
  <c r="U28" i="83"/>
  <c r="W27" i="83"/>
  <c r="U27" i="83"/>
  <c r="W26" i="83"/>
  <c r="U26" i="83"/>
  <c r="W25" i="83"/>
  <c r="U25" i="83"/>
  <c r="W24" i="83"/>
  <c r="U24" i="83"/>
  <c r="W23" i="83"/>
  <c r="U23" i="83"/>
  <c r="W22" i="83"/>
  <c r="U22" i="83"/>
  <c r="W21" i="83"/>
  <c r="U21" i="83"/>
  <c r="W20" i="83"/>
  <c r="U20" i="83"/>
  <c r="W19" i="83"/>
  <c r="U19" i="83"/>
  <c r="W18" i="83"/>
  <c r="U18" i="83"/>
  <c r="W17" i="83"/>
  <c r="U17" i="83"/>
  <c r="W16" i="83"/>
  <c r="U16" i="83"/>
  <c r="W15" i="83"/>
  <c r="U15" i="83"/>
  <c r="W14" i="83"/>
  <c r="U14" i="83"/>
  <c r="W13" i="83"/>
  <c r="U13" i="83"/>
  <c r="W12" i="83"/>
  <c r="U12" i="83"/>
  <c r="W11" i="83"/>
  <c r="U11" i="83"/>
  <c r="AG55" i="83"/>
  <c r="AE55" i="83"/>
  <c r="AG54" i="83"/>
  <c r="AE54" i="83"/>
  <c r="AG53" i="83"/>
  <c r="AE53" i="83"/>
  <c r="AG51" i="83"/>
  <c r="AE51" i="83"/>
  <c r="AG50" i="83"/>
  <c r="AE50" i="83"/>
  <c r="AG49" i="83"/>
  <c r="AE49" i="83"/>
  <c r="AG48" i="83"/>
  <c r="AE48" i="83"/>
  <c r="AG46" i="83"/>
  <c r="AE46" i="83"/>
  <c r="AG45" i="83"/>
  <c r="AE45" i="83"/>
  <c r="AG44" i="83"/>
  <c r="AE44" i="83"/>
  <c r="AG43" i="83"/>
  <c r="AE43" i="83"/>
  <c r="AG38" i="83"/>
  <c r="AE38" i="83"/>
  <c r="AG37" i="83"/>
  <c r="AE37" i="83"/>
  <c r="AG36" i="83"/>
  <c r="AE36" i="83"/>
  <c r="AG34" i="83"/>
  <c r="AE34" i="83"/>
  <c r="AG33" i="83"/>
  <c r="AE33" i="83"/>
  <c r="AG32" i="83"/>
  <c r="AE32" i="83"/>
  <c r="AG31" i="83"/>
  <c r="AE31" i="83"/>
  <c r="AG29" i="83"/>
  <c r="AE29" i="83"/>
  <c r="AG28" i="83"/>
  <c r="AE28" i="83"/>
  <c r="AG27" i="83"/>
  <c r="AE27" i="83"/>
  <c r="AG26" i="83"/>
  <c r="AE26" i="83"/>
  <c r="AG21" i="83"/>
  <c r="AE21" i="83"/>
  <c r="AG20" i="83"/>
  <c r="AE20" i="83"/>
  <c r="AG19" i="83"/>
  <c r="AE19" i="83"/>
  <c r="AG17" i="83"/>
  <c r="AE17" i="83"/>
  <c r="AG16" i="83"/>
  <c r="AE16" i="83"/>
  <c r="AG15" i="83"/>
  <c r="AE15" i="83"/>
  <c r="AG14" i="83"/>
  <c r="AE14" i="83"/>
  <c r="AG12" i="83"/>
  <c r="AE12" i="83"/>
  <c r="AG11" i="83"/>
  <c r="AE11" i="83"/>
  <c r="AG10" i="83"/>
  <c r="AE10" i="83"/>
  <c r="W10" i="83"/>
  <c r="U10" i="83"/>
  <c r="AG9" i="83"/>
  <c r="AE9" i="83"/>
  <c r="W9" i="83"/>
  <c r="U9" i="83"/>
  <c r="W8" i="83"/>
  <c r="U8" i="83"/>
  <c r="W7" i="83"/>
  <c r="U7" i="83"/>
  <c r="W6" i="83"/>
  <c r="U6" i="83"/>
  <c r="W5" i="83"/>
  <c r="U5" i="83"/>
  <c r="U45" i="82"/>
  <c r="W32" i="82"/>
  <c r="U32" i="82"/>
  <c r="W31" i="82"/>
  <c r="U31" i="82"/>
  <c r="W30" i="82"/>
  <c r="U30" i="82"/>
  <c r="W29" i="82"/>
  <c r="U29" i="82"/>
  <c r="W28" i="82"/>
  <c r="U28" i="82"/>
  <c r="W27" i="82"/>
  <c r="U27" i="82"/>
  <c r="W26" i="82"/>
  <c r="U26" i="82"/>
  <c r="AG55" i="82"/>
  <c r="AE55" i="82"/>
  <c r="AG54" i="82"/>
  <c r="AE54" i="82"/>
  <c r="AG53" i="82"/>
  <c r="AE53" i="82"/>
  <c r="AG51" i="82"/>
  <c r="AE51" i="82"/>
  <c r="AG50" i="82"/>
  <c r="AE50" i="82"/>
  <c r="AG49" i="82"/>
  <c r="AE49" i="82"/>
  <c r="AG48" i="82"/>
  <c r="AE48" i="82"/>
  <c r="AG46" i="82"/>
  <c r="AE46" i="82"/>
  <c r="AG45" i="82"/>
  <c r="AE45" i="82"/>
  <c r="AG44" i="82"/>
  <c r="AE44" i="82"/>
  <c r="AG43" i="82"/>
  <c r="AE43" i="82"/>
  <c r="U41" i="82"/>
  <c r="AG38" i="82"/>
  <c r="AE38" i="82"/>
  <c r="G38" i="82"/>
  <c r="AG37" i="82"/>
  <c r="AE37" i="82"/>
  <c r="AG36" i="82"/>
  <c r="AE36" i="82"/>
  <c r="AG34" i="82"/>
  <c r="AE34" i="82"/>
  <c r="AG33" i="82"/>
  <c r="AE33" i="82"/>
  <c r="AG32" i="82"/>
  <c r="AE32" i="82"/>
  <c r="AG31" i="82"/>
  <c r="AE31" i="82"/>
  <c r="AG29" i="82"/>
  <c r="AE29" i="82"/>
  <c r="AG28" i="82"/>
  <c r="AE28" i="82"/>
  <c r="AG27" i="82"/>
  <c r="AE27" i="82"/>
  <c r="AG26" i="82"/>
  <c r="AE26" i="82"/>
  <c r="W25" i="82"/>
  <c r="U25" i="82"/>
  <c r="W24" i="82"/>
  <c r="U24" i="82"/>
  <c r="W23" i="82"/>
  <c r="U23" i="82"/>
  <c r="W22" i="82"/>
  <c r="U22" i="82"/>
  <c r="AG21" i="82"/>
  <c r="AE21" i="82"/>
  <c r="W21" i="82"/>
  <c r="U21" i="82"/>
  <c r="AG20" i="82"/>
  <c r="AE20" i="82"/>
  <c r="W20" i="82"/>
  <c r="U20" i="82"/>
  <c r="AG19" i="82"/>
  <c r="AE19" i="82"/>
  <c r="W19" i="82"/>
  <c r="U19" i="82"/>
  <c r="W18" i="82"/>
  <c r="U18" i="82"/>
  <c r="AG17" i="82"/>
  <c r="AE17" i="82"/>
  <c r="W17" i="82"/>
  <c r="U17" i="82"/>
  <c r="AG16" i="82"/>
  <c r="AE16" i="82"/>
  <c r="W16" i="82"/>
  <c r="U16" i="82"/>
  <c r="AG15" i="82"/>
  <c r="AE15" i="82"/>
  <c r="W15" i="82"/>
  <c r="U15" i="82"/>
  <c r="AG14" i="82"/>
  <c r="AE14" i="82"/>
  <c r="W14" i="82"/>
  <c r="U14" i="82"/>
  <c r="W13" i="82"/>
  <c r="U13" i="82"/>
  <c r="AG12" i="82"/>
  <c r="AE12" i="82"/>
  <c r="W12" i="82"/>
  <c r="U12" i="82"/>
  <c r="AG11" i="82"/>
  <c r="AE11" i="82"/>
  <c r="W11" i="82"/>
  <c r="U11" i="82"/>
  <c r="AG10" i="82"/>
  <c r="AE10" i="82"/>
  <c r="W10" i="82"/>
  <c r="U10" i="82"/>
  <c r="AG9" i="82"/>
  <c r="AE9" i="82"/>
  <c r="W9" i="82"/>
  <c r="U9" i="82"/>
  <c r="W8" i="82"/>
  <c r="U8" i="82"/>
  <c r="W7" i="82"/>
  <c r="U7" i="82"/>
  <c r="W6" i="82"/>
  <c r="U6" i="82"/>
  <c r="W5" i="82"/>
  <c r="U5" i="82"/>
  <c r="U42" i="81"/>
  <c r="W33" i="81"/>
  <c r="U33" i="81"/>
  <c r="W32" i="81"/>
  <c r="U32" i="81"/>
  <c r="W31" i="81"/>
  <c r="U31" i="81"/>
  <c r="W30" i="81"/>
  <c r="U30" i="81"/>
  <c r="W29" i="81"/>
  <c r="U29" i="81"/>
  <c r="W28" i="81"/>
  <c r="U28" i="81"/>
  <c r="W27" i="81"/>
  <c r="U27" i="81"/>
  <c r="W26" i="81"/>
  <c r="U26" i="81"/>
  <c r="W25" i="81"/>
  <c r="U25" i="81"/>
  <c r="W24" i="81"/>
  <c r="U24" i="81"/>
  <c r="W23" i="81"/>
  <c r="U23" i="81"/>
  <c r="W22" i="81"/>
  <c r="U22" i="81"/>
  <c r="W21" i="81"/>
  <c r="U21" i="81"/>
  <c r="W20" i="81"/>
  <c r="U20" i="81"/>
  <c r="W19" i="81"/>
  <c r="U19" i="81"/>
  <c r="W18" i="81"/>
  <c r="U18" i="81"/>
  <c r="W17" i="81"/>
  <c r="U17" i="81"/>
  <c r="W16" i="81"/>
  <c r="U16" i="81"/>
  <c r="W15" i="81"/>
  <c r="U15" i="81"/>
  <c r="W14" i="81"/>
  <c r="U14" i="81"/>
  <c r="W13" i="81"/>
  <c r="U13" i="81"/>
  <c r="W12" i="81"/>
  <c r="U12" i="81"/>
  <c r="AG55" i="81"/>
  <c r="AE55" i="81"/>
  <c r="AG54" i="81"/>
  <c r="AE54" i="81"/>
  <c r="AG53" i="81"/>
  <c r="AE53" i="81"/>
  <c r="AG51" i="81"/>
  <c r="AE51" i="81"/>
  <c r="AG50" i="81"/>
  <c r="AE50" i="81"/>
  <c r="AG49" i="81"/>
  <c r="AE49" i="81"/>
  <c r="AG48" i="81"/>
  <c r="AE48" i="81"/>
  <c r="AG46" i="81"/>
  <c r="AE46" i="81"/>
  <c r="AG45" i="81"/>
  <c r="AE45" i="81"/>
  <c r="AG44" i="81"/>
  <c r="AE44" i="81"/>
  <c r="AG43" i="81"/>
  <c r="AE43" i="81"/>
  <c r="AG38" i="81"/>
  <c r="AE38" i="81"/>
  <c r="AG37" i="81"/>
  <c r="AE37" i="81"/>
  <c r="AG36" i="81"/>
  <c r="AE36" i="81"/>
  <c r="AG34" i="81"/>
  <c r="AE34" i="81"/>
  <c r="AG33" i="81"/>
  <c r="AE33" i="81"/>
  <c r="AG32" i="81"/>
  <c r="AE32" i="81"/>
  <c r="AG31" i="81"/>
  <c r="AE31" i="81"/>
  <c r="AG29" i="81"/>
  <c r="AE29" i="81"/>
  <c r="AG28" i="81"/>
  <c r="AE28" i="81"/>
  <c r="AG27" i="81"/>
  <c r="AE27" i="81"/>
  <c r="AG26" i="81"/>
  <c r="AE26" i="81"/>
  <c r="AG21" i="81"/>
  <c r="AE21" i="81"/>
  <c r="AG20" i="81"/>
  <c r="AE20" i="81"/>
  <c r="AG19" i="81"/>
  <c r="AE19" i="81"/>
  <c r="AG17" i="81"/>
  <c r="AE17" i="81"/>
  <c r="AG16" i="81"/>
  <c r="AE16" i="81"/>
  <c r="AG15" i="81"/>
  <c r="AE15" i="81"/>
  <c r="AG14" i="81"/>
  <c r="AE14" i="81"/>
  <c r="AG12" i="81"/>
  <c r="AE12" i="81"/>
  <c r="AG11" i="81"/>
  <c r="AE11" i="81"/>
  <c r="W11" i="81"/>
  <c r="U11" i="81"/>
  <c r="AG10" i="81"/>
  <c r="AE10" i="81"/>
  <c r="W10" i="81"/>
  <c r="U10" i="81"/>
  <c r="AG9" i="81"/>
  <c r="AE9" i="81"/>
  <c r="W9" i="81"/>
  <c r="U9" i="81"/>
  <c r="W8" i="81"/>
  <c r="U8" i="81"/>
  <c r="W7" i="81"/>
  <c r="U7" i="81"/>
  <c r="W6" i="81"/>
  <c r="U6" i="81"/>
  <c r="W5" i="81"/>
  <c r="U5" i="81"/>
  <c r="U43" i="67"/>
  <c r="U35" i="67"/>
  <c r="W34" i="67"/>
  <c r="U34" i="67"/>
  <c r="W33" i="67"/>
  <c r="U33" i="67"/>
  <c r="W32" i="67"/>
  <c r="U32" i="67"/>
  <c r="W31" i="67"/>
  <c r="U31" i="67"/>
  <c r="W30" i="67"/>
  <c r="U30" i="67"/>
  <c r="W29" i="67"/>
  <c r="U29" i="67"/>
  <c r="W28" i="67"/>
  <c r="U28" i="67"/>
  <c r="W27" i="67"/>
  <c r="W26" i="67"/>
  <c r="W25" i="67"/>
  <c r="W24" i="67"/>
  <c r="W23" i="67"/>
  <c r="W22" i="67"/>
  <c r="W21" i="67"/>
  <c r="W20" i="67"/>
  <c r="U27" i="67"/>
  <c r="U26" i="67"/>
  <c r="U25" i="67"/>
  <c r="U24" i="67"/>
  <c r="U23" i="67"/>
  <c r="U22" i="67"/>
  <c r="U21" i="67"/>
  <c r="U20" i="67"/>
  <c r="W19" i="67"/>
  <c r="W18" i="67"/>
  <c r="W17" i="67"/>
  <c r="W16" i="67"/>
  <c r="W15" i="67"/>
  <c r="W14" i="67"/>
  <c r="W13" i="67"/>
  <c r="W12" i="67"/>
  <c r="W11" i="67"/>
  <c r="W10" i="67"/>
  <c r="W9" i="67"/>
  <c r="W8" i="67"/>
  <c r="U19" i="67"/>
  <c r="U18" i="67"/>
  <c r="U17" i="67"/>
  <c r="U16" i="67"/>
  <c r="U15" i="67"/>
  <c r="U14" i="67"/>
  <c r="U13" i="67"/>
  <c r="U12" i="67"/>
  <c r="U11" i="67"/>
  <c r="U10" i="67"/>
  <c r="U9" i="67"/>
  <c r="U8" i="67"/>
  <c r="W7" i="67"/>
  <c r="U7" i="67"/>
  <c r="W6" i="67"/>
  <c r="U6" i="67"/>
  <c r="W5" i="67"/>
  <c r="U5" i="67"/>
  <c r="AG55" i="67"/>
  <c r="AE55" i="67"/>
  <c r="AG54" i="67"/>
  <c r="AE54" i="67"/>
  <c r="AG53" i="67"/>
  <c r="AE53" i="67"/>
  <c r="AG51" i="67"/>
  <c r="AE51" i="67"/>
  <c r="AG50" i="67"/>
  <c r="AE50" i="67"/>
  <c r="AG49" i="67"/>
  <c r="AE49" i="67"/>
  <c r="AG48" i="67"/>
  <c r="AE48" i="67"/>
  <c r="AG46" i="67"/>
  <c r="AE46" i="67"/>
  <c r="AG45" i="67"/>
  <c r="AE45" i="67"/>
  <c r="AG44" i="67"/>
  <c r="AE44" i="67"/>
  <c r="AG43" i="67"/>
  <c r="AE43" i="67"/>
  <c r="AG38" i="67"/>
  <c r="AE38" i="67"/>
  <c r="AG37" i="67"/>
  <c r="AE37" i="67"/>
  <c r="AG36" i="67"/>
  <c r="AE36" i="67"/>
  <c r="AG34" i="67"/>
  <c r="AE34" i="67"/>
  <c r="AG33" i="67"/>
  <c r="AE33" i="67"/>
  <c r="AG32" i="67"/>
  <c r="AE32" i="67"/>
  <c r="AG31" i="67"/>
  <c r="AE31" i="67"/>
  <c r="AG29" i="67"/>
  <c r="AE29" i="67"/>
  <c r="AG28" i="67"/>
  <c r="AE28" i="67"/>
  <c r="AG27" i="67"/>
  <c r="AE27" i="67"/>
  <c r="AG26" i="67"/>
  <c r="AE26" i="67"/>
  <c r="AG21" i="67"/>
  <c r="AE21" i="67"/>
  <c r="AG20" i="67"/>
  <c r="AE20" i="67"/>
  <c r="AG19" i="67"/>
  <c r="AE19" i="67"/>
  <c r="AG17" i="67"/>
  <c r="AE17" i="67"/>
  <c r="AG16" i="67"/>
  <c r="AE16" i="67"/>
  <c r="AG15" i="67"/>
  <c r="AE15" i="67"/>
  <c r="AG14" i="67"/>
  <c r="AE14" i="67"/>
  <c r="AG12" i="67"/>
  <c r="AE12" i="67"/>
  <c r="AG11" i="67"/>
  <c r="AE11" i="67"/>
  <c r="AG10" i="67"/>
  <c r="AE10" i="67"/>
  <c r="AG9" i="67"/>
  <c r="AE9" i="67"/>
  <c r="H111" i="93"/>
  <c r="J110" i="93"/>
  <c r="H108" i="93"/>
  <c r="L105" i="93"/>
  <c r="H104" i="93"/>
  <c r="J102" i="93"/>
  <c r="H100" i="93"/>
  <c r="N99" i="93"/>
  <c r="H97" i="93"/>
  <c r="J96" i="93"/>
  <c r="H94" i="93"/>
  <c r="L92" i="93"/>
  <c r="H90" i="93"/>
  <c r="J88" i="93"/>
  <c r="J83" i="93"/>
  <c r="H81" i="93"/>
  <c r="L79" i="93"/>
  <c r="H77" i="93"/>
  <c r="J75" i="93"/>
  <c r="N73" i="93"/>
  <c r="H73" i="93"/>
  <c r="J70" i="93"/>
  <c r="H68" i="93"/>
  <c r="L66" i="93"/>
  <c r="H64" i="93"/>
  <c r="J62" i="93"/>
  <c r="H60" i="93"/>
  <c r="H7" i="93"/>
  <c r="J9" i="93"/>
  <c r="H11" i="93"/>
  <c r="L13" i="93"/>
  <c r="H15" i="93"/>
  <c r="J17" i="93"/>
  <c r="H18" i="93"/>
  <c r="H20" i="93"/>
  <c r="N20" i="93"/>
  <c r="J22" i="93"/>
  <c r="H24" i="93"/>
  <c r="L26" i="93"/>
  <c r="H28" i="93"/>
  <c r="J30" i="93"/>
  <c r="H31" i="93"/>
  <c r="H33" i="93"/>
  <c r="J35" i="93"/>
  <c r="H37" i="93"/>
  <c r="L39" i="93"/>
  <c r="H41" i="93"/>
  <c r="J43" i="93"/>
  <c r="H44" i="93"/>
  <c r="H46" i="93"/>
  <c r="N46" i="93"/>
  <c r="J48" i="93"/>
  <c r="H50" i="93"/>
  <c r="L52" i="93"/>
  <c r="H54" i="93"/>
  <c r="J56" i="93"/>
  <c r="H57" i="93"/>
  <c r="G112" i="92"/>
  <c r="I111" i="92"/>
  <c r="G109" i="92"/>
  <c r="K106" i="92"/>
  <c r="G105" i="92"/>
  <c r="I103" i="92"/>
  <c r="G101" i="92"/>
  <c r="M100" i="92"/>
  <c r="G98" i="92"/>
  <c r="I97" i="92"/>
  <c r="G95" i="92"/>
  <c r="K93" i="92"/>
  <c r="G91" i="92"/>
  <c r="I89" i="92"/>
  <c r="G87" i="92"/>
  <c r="O86" i="92"/>
  <c r="I84" i="92"/>
  <c r="G82" i="92"/>
  <c r="K80" i="92"/>
  <c r="G78" i="92"/>
  <c r="I76" i="92"/>
  <c r="M74" i="92"/>
  <c r="G74" i="92"/>
  <c r="G72" i="92"/>
  <c r="I71" i="92"/>
  <c r="G69" i="92"/>
  <c r="K67" i="92"/>
  <c r="G65" i="92"/>
  <c r="I63" i="92"/>
  <c r="G61" i="92"/>
  <c r="G7" i="92"/>
  <c r="I9" i="92"/>
  <c r="G11" i="92"/>
  <c r="K13" i="92"/>
  <c r="G15" i="92"/>
  <c r="I17" i="92"/>
  <c r="G18" i="92"/>
  <c r="G20" i="92"/>
  <c r="M20" i="92"/>
  <c r="I22" i="92"/>
  <c r="G24" i="92"/>
  <c r="K26" i="92"/>
  <c r="G28" i="92"/>
  <c r="I30" i="92"/>
  <c r="O32" i="92"/>
  <c r="G33" i="92"/>
  <c r="I35" i="92"/>
  <c r="G37" i="92"/>
  <c r="K39" i="92"/>
  <c r="G41" i="92"/>
  <c r="I43" i="92"/>
  <c r="M46" i="92"/>
  <c r="G47" i="92"/>
  <c r="I49" i="92"/>
  <c r="G51" i="92"/>
  <c r="K52" i="92"/>
  <c r="G55" i="92"/>
  <c r="I57" i="92"/>
  <c r="G58" i="92"/>
  <c r="I112" i="91"/>
  <c r="G110" i="91"/>
  <c r="K107" i="91"/>
  <c r="G106" i="91"/>
  <c r="I104" i="91"/>
  <c r="G102" i="91"/>
  <c r="M101" i="91"/>
  <c r="G99" i="91"/>
  <c r="I98" i="91"/>
  <c r="G96" i="91"/>
  <c r="K94" i="91"/>
  <c r="G92" i="91"/>
  <c r="I90" i="91"/>
  <c r="O87" i="91"/>
  <c r="I85" i="91"/>
  <c r="G83" i="91"/>
  <c r="K81" i="91"/>
  <c r="G79" i="91"/>
  <c r="I77" i="91"/>
  <c r="M75" i="91"/>
  <c r="G73" i="91"/>
  <c r="I72" i="91"/>
  <c r="G70" i="91"/>
  <c r="K68" i="91"/>
  <c r="G66" i="91"/>
  <c r="I64" i="91"/>
  <c r="G62" i="91"/>
  <c r="I9" i="91"/>
  <c r="G11" i="91"/>
  <c r="K13" i="91"/>
  <c r="G15" i="91"/>
  <c r="I17" i="91"/>
  <c r="M20" i="91"/>
  <c r="G21" i="91"/>
  <c r="I23" i="91"/>
  <c r="G25" i="91"/>
  <c r="K26" i="91"/>
  <c r="G29" i="91"/>
  <c r="I31" i="91"/>
  <c r="O33" i="91"/>
  <c r="I36" i="91"/>
  <c r="G38" i="91"/>
  <c r="K40" i="91"/>
  <c r="G42" i="91"/>
  <c r="I44" i="91"/>
  <c r="M47" i="91"/>
  <c r="G48" i="91"/>
  <c r="I50" i="91"/>
  <c r="G52" i="91"/>
  <c r="K53" i="91"/>
  <c r="G56" i="91"/>
  <c r="I58" i="91"/>
  <c r="G116" i="89"/>
  <c r="I115" i="89"/>
  <c r="G113" i="89"/>
  <c r="K110" i="89"/>
  <c r="G109" i="89"/>
  <c r="I107" i="89"/>
  <c r="G105" i="89"/>
  <c r="M104" i="89"/>
  <c r="I101" i="89"/>
  <c r="G99" i="89"/>
  <c r="K97" i="89"/>
  <c r="G95" i="89"/>
  <c r="I93" i="89"/>
  <c r="O90" i="89"/>
  <c r="I88" i="89"/>
  <c r="G86" i="89"/>
  <c r="K83" i="89"/>
  <c r="G82" i="89"/>
  <c r="I80" i="89"/>
  <c r="G78" i="89"/>
  <c r="M77" i="89"/>
  <c r="I74" i="89"/>
  <c r="G72" i="89"/>
  <c r="K70" i="89"/>
  <c r="G68" i="89"/>
  <c r="I66" i="89"/>
  <c r="G64" i="89"/>
  <c r="G61" i="89"/>
  <c r="I60" i="89"/>
  <c r="G58" i="89"/>
  <c r="K55" i="89"/>
  <c r="G54" i="89"/>
  <c r="I52" i="89"/>
  <c r="G50" i="89"/>
  <c r="M48" i="89"/>
  <c r="G46" i="89"/>
  <c r="I44" i="89"/>
  <c r="G42" i="89"/>
  <c r="K40" i="89"/>
  <c r="G38" i="89"/>
  <c r="I36" i="89"/>
  <c r="O33" i="89"/>
  <c r="G32" i="89"/>
  <c r="I31" i="89"/>
  <c r="G29" i="89"/>
  <c r="K26" i="89"/>
  <c r="G25" i="89"/>
  <c r="I23" i="89"/>
  <c r="G21" i="89"/>
  <c r="M20" i="89"/>
  <c r="I17" i="89"/>
  <c r="G15" i="89"/>
  <c r="K13" i="89"/>
  <c r="G11" i="89"/>
  <c r="I9" i="89"/>
  <c r="I113" i="90"/>
  <c r="G111" i="90"/>
  <c r="K108" i="90"/>
  <c r="G107" i="90"/>
  <c r="I105" i="90"/>
  <c r="G103" i="90"/>
  <c r="M102" i="90"/>
  <c r="G100" i="90"/>
  <c r="I99" i="90"/>
  <c r="G97" i="90"/>
  <c r="K95" i="90"/>
  <c r="G93" i="90"/>
  <c r="I91" i="90"/>
  <c r="G89" i="90"/>
  <c r="O88" i="90"/>
  <c r="G87" i="90"/>
  <c r="I86" i="90"/>
  <c r="G84" i="90"/>
  <c r="K81" i="90"/>
  <c r="G80" i="90"/>
  <c r="I78" i="90"/>
  <c r="G76" i="90"/>
  <c r="M75" i="90"/>
  <c r="G73" i="90"/>
  <c r="I72" i="90"/>
  <c r="G70" i="90"/>
  <c r="K68" i="90"/>
  <c r="G66" i="90"/>
  <c r="I64" i="90"/>
  <c r="G62" i="90"/>
  <c r="I9" i="90"/>
  <c r="G11" i="90"/>
  <c r="K13" i="90"/>
  <c r="G15" i="90"/>
  <c r="I17" i="90"/>
  <c r="G18" i="90"/>
  <c r="M20" i="90"/>
  <c r="G21" i="90"/>
  <c r="I23" i="90"/>
  <c r="G25" i="90"/>
  <c r="K26" i="90"/>
  <c r="G29" i="90"/>
  <c r="I31" i="90"/>
  <c r="O33" i="90"/>
  <c r="G34" i="90"/>
  <c r="I36" i="90"/>
  <c r="G38" i="90"/>
  <c r="K40" i="90"/>
  <c r="G42" i="90"/>
  <c r="I44" i="90"/>
  <c r="M47" i="90"/>
  <c r="G48" i="90"/>
  <c r="I50" i="90"/>
  <c r="G52" i="90"/>
  <c r="K53" i="90"/>
  <c r="G56" i="90"/>
  <c r="I58" i="90"/>
  <c r="G59" i="90"/>
  <c r="G118" i="88"/>
  <c r="I117" i="88"/>
  <c r="G115" i="88"/>
  <c r="K112" i="88"/>
  <c r="G111" i="88"/>
  <c r="I109" i="88"/>
  <c r="G107" i="88"/>
  <c r="M105" i="88"/>
  <c r="G103" i="88"/>
  <c r="I101" i="88"/>
  <c r="G99" i="88"/>
  <c r="K97" i="88"/>
  <c r="G95" i="88"/>
  <c r="I93" i="88"/>
  <c r="G91" i="88"/>
  <c r="O90" i="88"/>
  <c r="G89" i="88"/>
  <c r="I88" i="88"/>
  <c r="G86" i="88"/>
  <c r="K83" i="88"/>
  <c r="G82" i="88"/>
  <c r="I80" i="88"/>
  <c r="G78" i="88"/>
  <c r="M77" i="88"/>
  <c r="I74" i="88"/>
  <c r="G72" i="88"/>
  <c r="K70" i="88"/>
  <c r="G68" i="88"/>
  <c r="I66" i="88"/>
  <c r="G64" i="88"/>
  <c r="I9" i="88"/>
  <c r="G11" i="88"/>
  <c r="K13" i="88"/>
  <c r="G15" i="88"/>
  <c r="I17" i="88"/>
  <c r="G18" i="88"/>
  <c r="M20" i="88"/>
  <c r="G21" i="88"/>
  <c r="I23" i="88"/>
  <c r="G25" i="88"/>
  <c r="K26" i="88"/>
  <c r="G29" i="88"/>
  <c r="I31" i="88"/>
  <c r="G32" i="88"/>
  <c r="O33" i="88"/>
  <c r="G34" i="88"/>
  <c r="I36" i="88"/>
  <c r="G38" i="88"/>
  <c r="K40" i="88"/>
  <c r="G42" i="88"/>
  <c r="I44" i="88"/>
  <c r="G46" i="88"/>
  <c r="M48" i="88"/>
  <c r="G50" i="88"/>
  <c r="I52" i="88"/>
  <c r="G54" i="88"/>
  <c r="K55" i="88"/>
  <c r="G58" i="88"/>
  <c r="I60" i="88"/>
  <c r="G61" i="88"/>
  <c r="G120" i="87"/>
  <c r="I119" i="87"/>
  <c r="G117" i="87"/>
  <c r="K114" i="87"/>
  <c r="G113" i="87"/>
  <c r="I111" i="87"/>
  <c r="G109" i="87"/>
  <c r="M107" i="87"/>
  <c r="G105" i="87"/>
  <c r="I103" i="87"/>
  <c r="G101" i="87"/>
  <c r="K99" i="87"/>
  <c r="G97" i="87"/>
  <c r="I95" i="87"/>
  <c r="G93" i="87"/>
  <c r="O92" i="87"/>
  <c r="G91" i="87"/>
  <c r="I90" i="87"/>
  <c r="G88" i="87"/>
  <c r="K85" i="87"/>
  <c r="G84" i="87"/>
  <c r="I82" i="87"/>
  <c r="G80" i="87"/>
  <c r="M78" i="87"/>
  <c r="G76" i="87"/>
  <c r="I74" i="87"/>
  <c r="G72" i="87"/>
  <c r="K70" i="87"/>
  <c r="G68" i="87"/>
  <c r="I66" i="87"/>
  <c r="G64" i="87"/>
  <c r="G7" i="87"/>
  <c r="I9" i="87"/>
  <c r="G11" i="87"/>
  <c r="K13" i="87"/>
  <c r="G15" i="87"/>
  <c r="I17" i="87"/>
  <c r="M20" i="87"/>
  <c r="G21" i="87"/>
  <c r="I23" i="87"/>
  <c r="G25" i="87"/>
  <c r="K26" i="87"/>
  <c r="G29" i="87"/>
  <c r="I31" i="87"/>
  <c r="O33" i="87"/>
  <c r="I36" i="87"/>
  <c r="G38" i="87"/>
  <c r="K40" i="87"/>
  <c r="G42" i="87"/>
  <c r="I44" i="87"/>
  <c r="G46" i="87"/>
  <c r="M48" i="87"/>
  <c r="G50" i="87"/>
  <c r="I52" i="87"/>
  <c r="G54" i="87"/>
  <c r="K55" i="87"/>
  <c r="G58" i="87"/>
  <c r="I60" i="87"/>
  <c r="G122" i="86"/>
  <c r="I121" i="86"/>
  <c r="G119" i="86"/>
  <c r="K116" i="86"/>
  <c r="G115" i="86"/>
  <c r="I113" i="86"/>
  <c r="G111" i="86"/>
  <c r="M109" i="86"/>
  <c r="G107" i="86"/>
  <c r="I105" i="86"/>
  <c r="G103" i="86"/>
  <c r="K101" i="86"/>
  <c r="G99" i="86"/>
  <c r="I97" i="86"/>
  <c r="O94" i="86"/>
  <c r="G93" i="86"/>
  <c r="I92" i="86"/>
  <c r="G90" i="86"/>
  <c r="K87" i="86"/>
  <c r="G86" i="86"/>
  <c r="I84" i="86"/>
  <c r="G82" i="86"/>
  <c r="M80" i="86"/>
  <c r="G78" i="86"/>
  <c r="I76" i="86"/>
  <c r="G74" i="86"/>
  <c r="K72" i="86"/>
  <c r="G70" i="86"/>
  <c r="I68" i="86"/>
  <c r="G66" i="86"/>
  <c r="G7" i="86"/>
  <c r="I9" i="86"/>
  <c r="G11" i="86"/>
  <c r="K13" i="86"/>
  <c r="G15" i="86"/>
  <c r="I17" i="86"/>
  <c r="G19" i="86"/>
  <c r="M21" i="86"/>
  <c r="G23" i="86"/>
  <c r="I25" i="86"/>
  <c r="G27" i="86"/>
  <c r="K28" i="86"/>
  <c r="G31" i="86"/>
  <c r="I33" i="86"/>
  <c r="G34" i="86"/>
  <c r="O35" i="86"/>
  <c r="G36" i="86"/>
  <c r="I38" i="86"/>
  <c r="G40" i="86"/>
  <c r="K42" i="86"/>
  <c r="G44" i="86"/>
  <c r="I46" i="86"/>
  <c r="G48" i="86"/>
  <c r="M50" i="86"/>
  <c r="G52" i="86"/>
  <c r="I54" i="86"/>
  <c r="G56" i="86"/>
  <c r="K57" i="86"/>
  <c r="G60" i="86"/>
  <c r="I62" i="86"/>
  <c r="G63" i="86"/>
  <c r="G123" i="85"/>
  <c r="I121" i="85"/>
  <c r="G119" i="85"/>
  <c r="K117" i="85"/>
  <c r="G115" i="85"/>
  <c r="I113" i="85"/>
  <c r="G111" i="85"/>
  <c r="M109" i="85"/>
  <c r="G107" i="85"/>
  <c r="I105" i="85"/>
  <c r="G103" i="85"/>
  <c r="K101" i="85"/>
  <c r="G99" i="85"/>
  <c r="I97" i="85"/>
  <c r="G95" i="85"/>
  <c r="O94" i="85"/>
  <c r="I92" i="85"/>
  <c r="G90" i="85"/>
  <c r="K87" i="85"/>
  <c r="G86" i="85"/>
  <c r="I84" i="85"/>
  <c r="G82" i="85"/>
  <c r="M80" i="85"/>
  <c r="G78" i="85"/>
  <c r="I76" i="85"/>
  <c r="G74" i="85"/>
  <c r="K72" i="85"/>
  <c r="G70" i="85"/>
  <c r="I68" i="85"/>
  <c r="G66" i="85"/>
  <c r="I9" i="85"/>
  <c r="G11" i="85"/>
  <c r="K13" i="85"/>
  <c r="G15" i="85"/>
  <c r="I17" i="85"/>
  <c r="G19" i="85"/>
  <c r="M21" i="85"/>
  <c r="G23" i="85"/>
  <c r="I25" i="85"/>
  <c r="G27" i="85"/>
  <c r="K28" i="85"/>
  <c r="G31" i="85"/>
  <c r="I33" i="85"/>
  <c r="O35" i="85"/>
  <c r="I38" i="85"/>
  <c r="G40" i="85"/>
  <c r="K42" i="85"/>
  <c r="G44" i="85"/>
  <c r="I46" i="85"/>
  <c r="G48" i="85"/>
  <c r="M50" i="85"/>
  <c r="G52" i="85"/>
  <c r="I54" i="85"/>
  <c r="G56" i="85"/>
  <c r="K57" i="85"/>
  <c r="G60" i="85"/>
  <c r="I62" i="85"/>
  <c r="G125" i="84"/>
  <c r="I123" i="84"/>
  <c r="G121" i="84"/>
  <c r="K119" i="84"/>
  <c r="G117" i="84"/>
  <c r="I115" i="84"/>
  <c r="G113" i="84"/>
  <c r="M111" i="84"/>
  <c r="G109" i="84"/>
  <c r="I107" i="84"/>
  <c r="G105" i="84"/>
  <c r="K103" i="84"/>
  <c r="G101" i="84"/>
  <c r="I99" i="84"/>
  <c r="G97" i="84"/>
  <c r="O96" i="84"/>
  <c r="G95" i="84"/>
  <c r="I94" i="84"/>
  <c r="G92" i="84"/>
  <c r="K89" i="84"/>
  <c r="G88" i="84"/>
  <c r="I86" i="84"/>
  <c r="G84" i="84"/>
  <c r="M82" i="84"/>
  <c r="G80" i="84"/>
  <c r="I78" i="84"/>
  <c r="G76" i="84"/>
  <c r="K74" i="84"/>
  <c r="G72" i="84"/>
  <c r="I70" i="84"/>
  <c r="G68" i="84"/>
  <c r="I9" i="84"/>
  <c r="G11" i="84"/>
  <c r="K13" i="84"/>
  <c r="G15" i="84"/>
  <c r="I17" i="84"/>
  <c r="G19" i="84"/>
  <c r="M21" i="84"/>
  <c r="G23" i="84"/>
  <c r="I25" i="84"/>
  <c r="G27" i="84"/>
  <c r="K28" i="84"/>
  <c r="G31" i="84"/>
  <c r="I33" i="84"/>
  <c r="O35" i="84"/>
  <c r="I38" i="84"/>
  <c r="G40" i="84"/>
  <c r="K42" i="84"/>
  <c r="G44" i="84"/>
  <c r="I46" i="84"/>
  <c r="G48" i="84"/>
  <c r="M50" i="84"/>
  <c r="G52" i="84"/>
  <c r="I54" i="84"/>
  <c r="G56" i="84"/>
  <c r="K58" i="84"/>
  <c r="G60" i="84"/>
  <c r="I62" i="84"/>
  <c r="G64" i="84"/>
  <c r="G127" i="83"/>
  <c r="I125" i="83"/>
  <c r="G123" i="83"/>
  <c r="K121" i="83"/>
  <c r="G119" i="83"/>
  <c r="I117" i="83"/>
  <c r="G115" i="83"/>
  <c r="M113" i="83"/>
  <c r="G111" i="83"/>
  <c r="I109" i="83"/>
  <c r="G107" i="83"/>
  <c r="K105" i="83"/>
  <c r="G103" i="83"/>
  <c r="I101" i="83"/>
  <c r="G99" i="83"/>
  <c r="O98" i="83"/>
  <c r="G96" i="83"/>
  <c r="I94" i="83"/>
  <c r="G92" i="83"/>
  <c r="K90" i="83"/>
  <c r="G88" i="83"/>
  <c r="I86" i="83"/>
  <c r="G84" i="83"/>
  <c r="M82" i="83"/>
  <c r="G80" i="83"/>
  <c r="I78" i="83"/>
  <c r="G76" i="83"/>
  <c r="K74" i="83"/>
  <c r="G72" i="83"/>
  <c r="I70" i="83"/>
  <c r="G68" i="83"/>
  <c r="I9" i="83"/>
  <c r="G11" i="83"/>
  <c r="K13" i="83"/>
  <c r="G15" i="83"/>
  <c r="I17" i="83"/>
  <c r="G19" i="83"/>
  <c r="M21" i="83"/>
  <c r="G23" i="83"/>
  <c r="I25" i="83"/>
  <c r="G27" i="83"/>
  <c r="K28" i="83"/>
  <c r="G31" i="83"/>
  <c r="I33" i="83"/>
  <c r="G34" i="83"/>
  <c r="O35" i="83"/>
  <c r="G36" i="83"/>
  <c r="I38" i="83"/>
  <c r="G40" i="83"/>
  <c r="K42" i="83"/>
  <c r="G44" i="83"/>
  <c r="I46" i="83"/>
  <c r="G48" i="83"/>
  <c r="M50" i="83"/>
  <c r="G52" i="83"/>
  <c r="I54" i="83"/>
  <c r="G56" i="83"/>
  <c r="K58" i="83"/>
  <c r="G60" i="83"/>
  <c r="I62" i="83"/>
  <c r="G64" i="83"/>
  <c r="G129" i="82"/>
  <c r="I127" i="82"/>
  <c r="G125" i="82"/>
  <c r="K123" i="82"/>
  <c r="G121" i="82"/>
  <c r="I119" i="82"/>
  <c r="G117" i="82"/>
  <c r="M115" i="82"/>
  <c r="G113" i="82"/>
  <c r="I111" i="82"/>
  <c r="G109" i="82"/>
  <c r="K107" i="82"/>
  <c r="G105" i="82"/>
  <c r="I103" i="82"/>
  <c r="G101" i="82"/>
  <c r="O100" i="82"/>
  <c r="G98" i="82"/>
  <c r="I96" i="82"/>
  <c r="G94" i="82"/>
  <c r="K92" i="82"/>
  <c r="G90" i="82"/>
  <c r="I88" i="82"/>
  <c r="G86" i="82"/>
  <c r="M84" i="82"/>
  <c r="G82" i="82"/>
  <c r="I80" i="82"/>
  <c r="G78" i="82"/>
  <c r="K76" i="82"/>
  <c r="G74" i="82"/>
  <c r="I72" i="82"/>
  <c r="G70" i="82"/>
  <c r="I9" i="82"/>
  <c r="G11" i="82"/>
  <c r="K13" i="82"/>
  <c r="G15" i="82"/>
  <c r="I17" i="82"/>
  <c r="G19" i="82"/>
  <c r="M21" i="82"/>
  <c r="G23" i="82"/>
  <c r="I25" i="82"/>
  <c r="G27" i="82"/>
  <c r="K29" i="82"/>
  <c r="G31" i="82"/>
  <c r="I33" i="82"/>
  <c r="G35" i="82"/>
  <c r="O37" i="82"/>
  <c r="I40" i="82"/>
  <c r="G42" i="82"/>
  <c r="K44" i="82"/>
  <c r="G46" i="82"/>
  <c r="I48" i="82"/>
  <c r="G50" i="82"/>
  <c r="M52" i="82"/>
  <c r="G54" i="82"/>
  <c r="I56" i="82"/>
  <c r="G58" i="82"/>
  <c r="K60" i="82"/>
  <c r="G62" i="82"/>
  <c r="I64" i="82"/>
  <c r="G66" i="82"/>
  <c r="G130" i="81"/>
  <c r="I128" i="81"/>
  <c r="G126" i="81"/>
  <c r="K124" i="81"/>
  <c r="G122" i="81"/>
  <c r="I120" i="81"/>
  <c r="G118" i="81"/>
  <c r="M116" i="81"/>
  <c r="G114" i="81"/>
  <c r="I112" i="81"/>
  <c r="G110" i="81"/>
  <c r="K108" i="81"/>
  <c r="G106" i="81"/>
  <c r="I104" i="81"/>
  <c r="G102" i="81"/>
  <c r="O100" i="81"/>
  <c r="G98" i="81"/>
  <c r="I96" i="81"/>
  <c r="G94" i="81"/>
  <c r="K92" i="81"/>
  <c r="G90" i="81"/>
  <c r="I88" i="81"/>
  <c r="G86" i="81"/>
  <c r="M84" i="81"/>
  <c r="G82" i="81"/>
  <c r="I80" i="81"/>
  <c r="G78" i="81"/>
  <c r="K76" i="81"/>
  <c r="G74" i="81"/>
  <c r="I72" i="81"/>
  <c r="G70" i="81"/>
  <c r="I9" i="81"/>
  <c r="G11" i="81"/>
  <c r="K13" i="81"/>
  <c r="G15" i="81"/>
  <c r="I17" i="81"/>
  <c r="G19" i="81"/>
  <c r="M21" i="81"/>
  <c r="G23" i="81"/>
  <c r="I25" i="81"/>
  <c r="G27" i="81"/>
  <c r="K29" i="81"/>
  <c r="G31" i="81"/>
  <c r="I33" i="81"/>
  <c r="G35" i="81"/>
  <c r="O37" i="81"/>
  <c r="I40" i="81"/>
  <c r="G42" i="81"/>
  <c r="K44" i="81"/>
  <c r="G46" i="81"/>
  <c r="I48" i="81"/>
  <c r="G50" i="81"/>
  <c r="M52" i="81"/>
  <c r="G54" i="81"/>
  <c r="I56" i="81"/>
  <c r="G58" i="81"/>
  <c r="K60" i="81"/>
  <c r="G62" i="81"/>
  <c r="I64" i="81"/>
  <c r="G66" i="81"/>
  <c r="G58" i="117"/>
  <c r="G44" i="117"/>
  <c r="G55" i="117"/>
  <c r="I57" i="117"/>
  <c r="G47" i="117"/>
  <c r="I49" i="117"/>
  <c r="K52" i="117"/>
  <c r="G51" i="117"/>
  <c r="M46" i="117"/>
  <c r="G41" i="117"/>
  <c r="I43" i="117"/>
  <c r="G7" i="117"/>
  <c r="I9" i="117"/>
  <c r="G11" i="117"/>
  <c r="K13" i="117"/>
  <c r="G15" i="117"/>
  <c r="I17" i="117"/>
  <c r="G20" i="117"/>
  <c r="M20" i="117"/>
  <c r="I22" i="117"/>
  <c r="G24" i="117"/>
  <c r="K26" i="117"/>
  <c r="G28" i="117"/>
  <c r="I30" i="117"/>
  <c r="M20" i="116"/>
  <c r="M47" i="116"/>
  <c r="G56" i="116"/>
  <c r="I58" i="116"/>
  <c r="G48" i="116"/>
  <c r="I50" i="116"/>
  <c r="K53" i="116"/>
  <c r="G52" i="116"/>
  <c r="G42" i="116"/>
  <c r="I44" i="116"/>
  <c r="K40" i="116"/>
  <c r="I9" i="116"/>
  <c r="G11" i="116"/>
  <c r="K13" i="116"/>
  <c r="G15" i="116"/>
  <c r="I17" i="116"/>
  <c r="G21" i="116"/>
  <c r="I23" i="116"/>
  <c r="G25" i="116"/>
  <c r="K26" i="116"/>
  <c r="G29" i="116"/>
  <c r="G61" i="115"/>
  <c r="G18" i="115"/>
  <c r="G58" i="115"/>
  <c r="I60" i="115"/>
  <c r="K55" i="115"/>
  <c r="G54" i="115"/>
  <c r="G50" i="115"/>
  <c r="I52" i="115"/>
  <c r="M48" i="115"/>
  <c r="G46" i="115"/>
  <c r="I44" i="115"/>
  <c r="G42" i="115"/>
  <c r="K40" i="115"/>
  <c r="G7" i="115"/>
  <c r="I9" i="115"/>
  <c r="G11" i="115"/>
  <c r="K13" i="115"/>
  <c r="G15" i="115"/>
  <c r="I17" i="115"/>
  <c r="M20" i="115"/>
  <c r="G21" i="115"/>
  <c r="I23" i="115"/>
  <c r="G25" i="115"/>
  <c r="K26" i="115"/>
  <c r="G29" i="115"/>
  <c r="G63" i="114"/>
  <c r="M50" i="114"/>
  <c r="G60" i="114"/>
  <c r="I62" i="114"/>
  <c r="K57" i="114"/>
  <c r="G56" i="114"/>
  <c r="G52" i="114"/>
  <c r="I54" i="114"/>
  <c r="G48" i="114"/>
  <c r="I46" i="114"/>
  <c r="G44" i="114"/>
  <c r="K42" i="114"/>
  <c r="G40" i="114"/>
  <c r="I9" i="114"/>
  <c r="G11" i="114"/>
  <c r="K13" i="114"/>
  <c r="G15" i="114"/>
  <c r="I17" i="114"/>
  <c r="G19" i="114"/>
  <c r="M21" i="114"/>
  <c r="G23" i="114"/>
  <c r="I25" i="114"/>
  <c r="G27" i="114"/>
  <c r="K28" i="114"/>
  <c r="G52" i="113"/>
  <c r="I54" i="113"/>
  <c r="K58" i="113"/>
  <c r="M50" i="113"/>
  <c r="O35" i="113"/>
  <c r="G64" i="113"/>
  <c r="G60" i="113"/>
  <c r="I62" i="113"/>
  <c r="G56" i="113"/>
  <c r="G48" i="113"/>
  <c r="I46" i="113"/>
  <c r="G44" i="113"/>
  <c r="K42" i="113"/>
  <c r="G40" i="113"/>
  <c r="G36" i="113"/>
  <c r="I38" i="113"/>
  <c r="G7" i="113"/>
  <c r="I9" i="113"/>
  <c r="G11" i="113"/>
  <c r="G19" i="113"/>
  <c r="I17" i="113"/>
  <c r="K13" i="113"/>
  <c r="G15" i="113"/>
  <c r="G31" i="113"/>
  <c r="I33" i="113"/>
  <c r="K28" i="113"/>
  <c r="M21" i="113"/>
  <c r="G23" i="113"/>
  <c r="I25" i="113"/>
  <c r="G27" i="113"/>
  <c r="O38" i="112"/>
  <c r="G7" i="112"/>
  <c r="I9" i="112"/>
  <c r="G11" i="112"/>
  <c r="G19" i="112"/>
  <c r="I17" i="112"/>
  <c r="K13" i="112"/>
  <c r="G15" i="112"/>
  <c r="G23" i="112"/>
  <c r="I25" i="112"/>
  <c r="K29" i="112"/>
  <c r="M21" i="112"/>
  <c r="M81" i="112" s="1"/>
  <c r="G27" i="112"/>
  <c r="G31" i="112"/>
  <c r="I33" i="112"/>
  <c r="G35" i="112"/>
  <c r="K13" i="111"/>
  <c r="G55" i="111"/>
  <c r="I57" i="111"/>
  <c r="K61" i="111"/>
  <c r="M53" i="111"/>
  <c r="O37" i="111"/>
  <c r="G67" i="111"/>
  <c r="G63" i="111"/>
  <c r="I65" i="111"/>
  <c r="G59" i="111"/>
  <c r="G51" i="111"/>
  <c r="G47" i="111"/>
  <c r="I49" i="111"/>
  <c r="G39" i="111"/>
  <c r="I41" i="111"/>
  <c r="K45" i="111"/>
  <c r="G43" i="111"/>
  <c r="I9" i="111"/>
  <c r="G11" i="111"/>
  <c r="G19" i="111"/>
  <c r="I17" i="111"/>
  <c r="G15" i="111"/>
  <c r="G23" i="111"/>
  <c r="I25" i="111"/>
  <c r="K29" i="111"/>
  <c r="G27" i="111"/>
  <c r="G31" i="111"/>
  <c r="I33" i="111"/>
  <c r="G35" i="111"/>
  <c r="G56" i="110"/>
  <c r="I58" i="110"/>
  <c r="K62" i="110"/>
  <c r="M54" i="110"/>
  <c r="O38" i="110"/>
  <c r="G68" i="110"/>
  <c r="G64" i="110"/>
  <c r="I66" i="110"/>
  <c r="G60" i="110"/>
  <c r="G52" i="110"/>
  <c r="G48" i="110"/>
  <c r="I50" i="110"/>
  <c r="G40" i="110"/>
  <c r="I42" i="110"/>
  <c r="K46" i="110"/>
  <c r="G44" i="110"/>
  <c r="G8" i="110"/>
  <c r="I10" i="110"/>
  <c r="G12" i="110"/>
  <c r="K14" i="110"/>
  <c r="G16" i="110"/>
  <c r="I18" i="110"/>
  <c r="G20" i="110"/>
  <c r="M22" i="110"/>
  <c r="G24" i="110"/>
  <c r="I26" i="110"/>
  <c r="G28" i="110"/>
  <c r="K30" i="110"/>
  <c r="G32" i="110"/>
  <c r="I34" i="110"/>
  <c r="G36" i="110"/>
  <c r="G72" i="109"/>
  <c r="G70" i="109"/>
  <c r="G68" i="109"/>
  <c r="G66" i="109"/>
  <c r="G64" i="109"/>
  <c r="G62" i="109"/>
  <c r="G60" i="109"/>
  <c r="G58" i="109"/>
  <c r="G56" i="109"/>
  <c r="G54" i="109"/>
  <c r="G52" i="109"/>
  <c r="G50" i="109"/>
  <c r="G48" i="109"/>
  <c r="G46" i="109"/>
  <c r="G39" i="109"/>
  <c r="G37" i="109"/>
  <c r="G35" i="109"/>
  <c r="G33" i="109"/>
  <c r="G31" i="109"/>
  <c r="G29" i="109"/>
  <c r="G27" i="109"/>
  <c r="G25" i="109"/>
  <c r="G23" i="109"/>
  <c r="G21" i="109"/>
  <c r="G19" i="109"/>
  <c r="G17" i="109"/>
  <c r="G15" i="109"/>
  <c r="G13" i="109"/>
  <c r="G11" i="109"/>
  <c r="G9" i="109"/>
  <c r="I24" i="109"/>
  <c r="K26" i="109"/>
  <c r="M30" i="109"/>
  <c r="O22" i="109"/>
  <c r="Q38" i="109"/>
  <c r="I71" i="109"/>
  <c r="I67" i="109"/>
  <c r="K69" i="109"/>
  <c r="I59" i="109"/>
  <c r="K61" i="109"/>
  <c r="M65" i="109"/>
  <c r="I63" i="109"/>
  <c r="I55" i="109"/>
  <c r="K53" i="109"/>
  <c r="M49" i="109"/>
  <c r="O57" i="109"/>
  <c r="I51" i="109"/>
  <c r="I47" i="109"/>
  <c r="G43" i="109"/>
  <c r="I41" i="109"/>
  <c r="K44" i="109"/>
  <c r="I8" i="109"/>
  <c r="K10" i="109"/>
  <c r="I12" i="109"/>
  <c r="M14" i="109"/>
  <c r="I16" i="109"/>
  <c r="K18" i="109"/>
  <c r="I20" i="109"/>
  <c r="I28" i="109"/>
  <c r="I32" i="109"/>
  <c r="K34" i="109"/>
  <c r="I36" i="109"/>
  <c r="G7" i="108"/>
  <c r="G14" i="108"/>
  <c r="G16" i="108"/>
  <c r="G18" i="108"/>
  <c r="G22" i="108"/>
  <c r="G24" i="108"/>
  <c r="G26" i="108"/>
  <c r="G30" i="108"/>
  <c r="G32" i="108"/>
  <c r="G34" i="108"/>
  <c r="G38" i="108"/>
  <c r="G40" i="108"/>
  <c r="G42" i="108"/>
  <c r="G49" i="108"/>
  <c r="G51" i="108"/>
  <c r="G55" i="108"/>
  <c r="G57" i="108"/>
  <c r="G59" i="108"/>
  <c r="G63" i="108"/>
  <c r="G65" i="108"/>
  <c r="G67" i="108"/>
  <c r="G71" i="108"/>
  <c r="G73" i="108"/>
  <c r="G75" i="108"/>
  <c r="I23" i="108"/>
  <c r="K21" i="108"/>
  <c r="M17" i="108"/>
  <c r="O25" i="108"/>
  <c r="Q41" i="108"/>
  <c r="I74" i="108"/>
  <c r="I70" i="108"/>
  <c r="K72" i="108"/>
  <c r="I62" i="108"/>
  <c r="K64" i="108"/>
  <c r="M68" i="108"/>
  <c r="I66" i="108"/>
  <c r="I58" i="108"/>
  <c r="K56" i="108"/>
  <c r="M52" i="108"/>
  <c r="O60" i="108"/>
  <c r="I54" i="108"/>
  <c r="I50" i="108"/>
  <c r="G46" i="108"/>
  <c r="I44" i="108"/>
  <c r="K47" i="108"/>
  <c r="G11" i="108"/>
  <c r="I9" i="108"/>
  <c r="K12" i="108"/>
  <c r="I15" i="108"/>
  <c r="I19" i="108"/>
  <c r="I27" i="108"/>
  <c r="K29" i="108"/>
  <c r="I31" i="108"/>
  <c r="M33" i="108"/>
  <c r="I35" i="108"/>
  <c r="K37" i="108"/>
  <c r="I39" i="108"/>
  <c r="G71" i="107"/>
  <c r="G67" i="107"/>
  <c r="G63" i="107"/>
  <c r="G59" i="107"/>
  <c r="G55" i="107"/>
  <c r="G51" i="107"/>
  <c r="G42" i="107"/>
  <c r="G38" i="107"/>
  <c r="G34" i="107"/>
  <c r="G32" i="107"/>
  <c r="G30" i="107"/>
  <c r="G28" i="107"/>
  <c r="G26" i="107"/>
  <c r="G24" i="107"/>
  <c r="G22" i="107"/>
  <c r="G20" i="107"/>
  <c r="G18" i="107"/>
  <c r="G16" i="107"/>
  <c r="G14" i="107"/>
  <c r="I23" i="107"/>
  <c r="K21" i="107"/>
  <c r="M17" i="107"/>
  <c r="O25" i="107"/>
  <c r="Q41" i="107"/>
  <c r="G74" i="107"/>
  <c r="I76" i="107"/>
  <c r="K73" i="107"/>
  <c r="I70" i="107"/>
  <c r="M68" i="107"/>
  <c r="I66" i="107"/>
  <c r="K64" i="107"/>
  <c r="I62" i="107"/>
  <c r="O60" i="107"/>
  <c r="I58" i="107"/>
  <c r="K56" i="107"/>
  <c r="I54" i="107"/>
  <c r="M52" i="107"/>
  <c r="I50" i="107"/>
  <c r="G46" i="107"/>
  <c r="I44" i="107"/>
  <c r="K47" i="107"/>
  <c r="G11" i="107"/>
  <c r="I9" i="107"/>
  <c r="K12" i="107"/>
  <c r="I15" i="107"/>
  <c r="I19" i="107"/>
  <c r="I27" i="107"/>
  <c r="K29" i="107"/>
  <c r="I31" i="107"/>
  <c r="M33" i="107"/>
  <c r="I35" i="107"/>
  <c r="K37" i="107"/>
  <c r="I39" i="107"/>
  <c r="G73" i="106"/>
  <c r="W23" i="106" s="1"/>
  <c r="AG27" i="106" s="1"/>
  <c r="G67" i="106"/>
  <c r="G61" i="106"/>
  <c r="G57" i="106"/>
  <c r="G53" i="106"/>
  <c r="G44" i="106"/>
  <c r="G36" i="106"/>
  <c r="G32" i="106"/>
  <c r="G28" i="106"/>
  <c r="G24" i="106"/>
  <c r="G20" i="106"/>
  <c r="G16" i="106"/>
  <c r="G7" i="106"/>
  <c r="I60" i="106"/>
  <c r="K58" i="106"/>
  <c r="M54" i="106"/>
  <c r="O62" i="106"/>
  <c r="Q45" i="106"/>
  <c r="G76" i="106"/>
  <c r="I78" i="106"/>
  <c r="K75" i="106"/>
  <c r="I72" i="106"/>
  <c r="M70" i="106"/>
  <c r="I68" i="106"/>
  <c r="K66" i="106"/>
  <c r="I64" i="106"/>
  <c r="I56" i="106"/>
  <c r="I52" i="106"/>
  <c r="G48" i="106"/>
  <c r="I46" i="106"/>
  <c r="K49" i="106"/>
  <c r="G11" i="106"/>
  <c r="I9" i="106"/>
  <c r="K12" i="106"/>
  <c r="I15" i="106"/>
  <c r="I23" i="106"/>
  <c r="K21" i="106"/>
  <c r="M17" i="106"/>
  <c r="I19" i="106"/>
  <c r="G39" i="106"/>
  <c r="I41" i="106"/>
  <c r="K38" i="106"/>
  <c r="M33" i="106"/>
  <c r="O25" i="106"/>
  <c r="I27" i="106"/>
  <c r="I31" i="106"/>
  <c r="K29" i="106"/>
  <c r="I35" i="106"/>
  <c r="G76" i="105"/>
  <c r="G72" i="105"/>
  <c r="G59" i="105"/>
  <c r="G51" i="105"/>
  <c r="G34" i="105"/>
  <c r="G26" i="105"/>
  <c r="G22" i="105"/>
  <c r="G20" i="105"/>
  <c r="G18" i="105"/>
  <c r="G14" i="105"/>
  <c r="G7" i="105"/>
  <c r="G63" i="105"/>
  <c r="I65" i="105"/>
  <c r="K68" i="105"/>
  <c r="M73" i="105"/>
  <c r="O63" i="105"/>
  <c r="Q43" i="105"/>
  <c r="G79" i="105"/>
  <c r="I80" i="105"/>
  <c r="I75" i="105"/>
  <c r="I71" i="105"/>
  <c r="G67" i="105"/>
  <c r="I60" i="105"/>
  <c r="K58" i="105"/>
  <c r="I56" i="105"/>
  <c r="M54" i="105"/>
  <c r="I52" i="105"/>
  <c r="G48" i="105"/>
  <c r="I46" i="105"/>
  <c r="K49" i="105"/>
  <c r="G11" i="105"/>
  <c r="I9" i="105"/>
  <c r="K12" i="105"/>
  <c r="I15" i="105"/>
  <c r="I23" i="105"/>
  <c r="K21" i="105"/>
  <c r="M17" i="105"/>
  <c r="I19" i="105"/>
  <c r="G39" i="105"/>
  <c r="I41" i="105"/>
  <c r="K38" i="105"/>
  <c r="M33" i="105"/>
  <c r="O25" i="105"/>
  <c r="I27" i="105"/>
  <c r="I31" i="105"/>
  <c r="K29" i="105"/>
  <c r="I35" i="105"/>
  <c r="G79" i="104"/>
  <c r="G77" i="104"/>
  <c r="G75" i="104"/>
  <c r="G73" i="104"/>
  <c r="G64" i="104"/>
  <c r="G62" i="104"/>
  <c r="G60" i="104"/>
  <c r="G58" i="104"/>
  <c r="G56" i="104"/>
  <c r="G54" i="104"/>
  <c r="G47" i="104"/>
  <c r="G39" i="104"/>
  <c r="G37" i="104"/>
  <c r="G35" i="104"/>
  <c r="G33" i="104"/>
  <c r="G24" i="104"/>
  <c r="G22" i="104"/>
  <c r="G20" i="104"/>
  <c r="G18" i="104"/>
  <c r="G16" i="104"/>
  <c r="G14" i="104"/>
  <c r="G7" i="104"/>
  <c r="I63" i="104"/>
  <c r="K61" i="104"/>
  <c r="M57" i="104"/>
  <c r="O66" i="104"/>
  <c r="Q46" i="104"/>
  <c r="G85" i="104"/>
  <c r="G82" i="104"/>
  <c r="I83" i="104"/>
  <c r="I78" i="104"/>
  <c r="G66" i="104"/>
  <c r="I68" i="104"/>
  <c r="K71" i="104"/>
  <c r="M76" i="104"/>
  <c r="I74" i="104"/>
  <c r="G70" i="104"/>
  <c r="I59" i="104"/>
  <c r="I55" i="104"/>
  <c r="G51" i="104"/>
  <c r="I49" i="104"/>
  <c r="K52" i="104"/>
  <c r="G11" i="104"/>
  <c r="I9" i="104"/>
  <c r="K12" i="104"/>
  <c r="I15" i="104"/>
  <c r="I23" i="104"/>
  <c r="K21" i="104"/>
  <c r="M17" i="104"/>
  <c r="I19" i="104"/>
  <c r="G26" i="104"/>
  <c r="I28" i="104"/>
  <c r="K31" i="104"/>
  <c r="M36" i="104"/>
  <c r="O26" i="104"/>
  <c r="G30" i="104"/>
  <c r="I34" i="104"/>
  <c r="I38" i="104"/>
  <c r="G42" i="104"/>
  <c r="I43" i="104"/>
  <c r="G45" i="104"/>
  <c r="G81" i="103"/>
  <c r="G79" i="103"/>
  <c r="G77" i="103"/>
  <c r="G75" i="103"/>
  <c r="G60" i="103"/>
  <c r="G58" i="103"/>
  <c r="G56" i="103"/>
  <c r="G54" i="103"/>
  <c r="G39" i="103"/>
  <c r="G37" i="103"/>
  <c r="G35" i="103"/>
  <c r="G33" i="103"/>
  <c r="G24" i="103"/>
  <c r="G22" i="103"/>
  <c r="G20" i="103"/>
  <c r="G18" i="103"/>
  <c r="G16" i="103"/>
  <c r="G14" i="103"/>
  <c r="G7" i="103"/>
  <c r="G47" i="103"/>
  <c r="I49" i="103"/>
  <c r="K52" i="103"/>
  <c r="M57" i="103"/>
  <c r="O67" i="103"/>
  <c r="Q46" i="103"/>
  <c r="G87" i="103"/>
  <c r="G84" i="103"/>
  <c r="I85" i="103"/>
  <c r="I80" i="103"/>
  <c r="M78" i="103"/>
  <c r="I76" i="103"/>
  <c r="G68" i="103"/>
  <c r="I70" i="103"/>
  <c r="K73" i="103"/>
  <c r="G72" i="103"/>
  <c r="G66" i="103"/>
  <c r="G63" i="103"/>
  <c r="I64" i="103"/>
  <c r="I59" i="103"/>
  <c r="I55" i="103"/>
  <c r="G51" i="103"/>
  <c r="G11" i="103"/>
  <c r="I9" i="103"/>
  <c r="K12" i="103"/>
  <c r="I15" i="103"/>
  <c r="I23" i="103"/>
  <c r="K21" i="103"/>
  <c r="M17" i="103"/>
  <c r="I19" i="103"/>
  <c r="G26" i="103"/>
  <c r="I28" i="103"/>
  <c r="K31" i="103"/>
  <c r="M36" i="103"/>
  <c r="O26" i="103"/>
  <c r="G30" i="103"/>
  <c r="I34" i="103"/>
  <c r="I38" i="103"/>
  <c r="G42" i="103"/>
  <c r="I43" i="103"/>
  <c r="G45" i="103"/>
  <c r="G83" i="102"/>
  <c r="G81" i="102"/>
  <c r="G79" i="102"/>
  <c r="G77" i="102"/>
  <c r="G62" i="102"/>
  <c r="G60" i="102"/>
  <c r="G58" i="102"/>
  <c r="G56" i="102"/>
  <c r="G41" i="102"/>
  <c r="G39" i="102"/>
  <c r="G37" i="102"/>
  <c r="G35" i="102"/>
  <c r="G20" i="102"/>
  <c r="G16" i="102"/>
  <c r="I40" i="102"/>
  <c r="G44" i="102"/>
  <c r="I45" i="102"/>
  <c r="M38" i="102"/>
  <c r="O27" i="102"/>
  <c r="Q48" i="102"/>
  <c r="G89" i="102"/>
  <c r="G86" i="102"/>
  <c r="I87" i="102"/>
  <c r="I82" i="102"/>
  <c r="M80" i="102"/>
  <c r="I78" i="102"/>
  <c r="G70" i="102"/>
  <c r="I72" i="102"/>
  <c r="K75" i="102"/>
  <c r="G74" i="102"/>
  <c r="G49" i="102"/>
  <c r="I51" i="102"/>
  <c r="K54" i="102"/>
  <c r="M59" i="102"/>
  <c r="O69" i="102"/>
  <c r="G68" i="102"/>
  <c r="G65" i="102"/>
  <c r="I66" i="102"/>
  <c r="I61" i="102"/>
  <c r="I57" i="102"/>
  <c r="G53" i="102"/>
  <c r="G7" i="102"/>
  <c r="I9" i="102"/>
  <c r="G11" i="102"/>
  <c r="K12" i="102"/>
  <c r="I15" i="102"/>
  <c r="M17" i="102"/>
  <c r="I19" i="102"/>
  <c r="G23" i="102"/>
  <c r="I24" i="102"/>
  <c r="G26" i="102"/>
  <c r="G28" i="102"/>
  <c r="I30" i="102"/>
  <c r="G32" i="102"/>
  <c r="K33" i="102"/>
  <c r="I36" i="102"/>
  <c r="G47" i="102"/>
  <c r="G20" i="101"/>
  <c r="G18" i="101"/>
  <c r="G16" i="101"/>
  <c r="G14" i="101"/>
  <c r="G41" i="101"/>
  <c r="G39" i="101"/>
  <c r="G37" i="101"/>
  <c r="G35" i="101"/>
  <c r="G56" i="101"/>
  <c r="G58" i="101"/>
  <c r="G60" i="101"/>
  <c r="G62" i="101"/>
  <c r="G77" i="101"/>
  <c r="G79" i="101"/>
  <c r="G92" i="101"/>
  <c r="G7" i="101"/>
  <c r="I9" i="101"/>
  <c r="K12" i="101"/>
  <c r="M17" i="101"/>
  <c r="O27" i="101"/>
  <c r="Q48" i="101"/>
  <c r="G89" i="101"/>
  <c r="I91" i="101"/>
  <c r="K87" i="101"/>
  <c r="G85" i="101"/>
  <c r="I83" i="101"/>
  <c r="G70" i="101"/>
  <c r="I72" i="101"/>
  <c r="K75" i="101"/>
  <c r="M81" i="101"/>
  <c r="G81" i="101"/>
  <c r="I78" i="101"/>
  <c r="G74" i="101"/>
  <c r="I61" i="101"/>
  <c r="G65" i="101"/>
  <c r="I66" i="101"/>
  <c r="M59" i="101"/>
  <c r="O69" i="101"/>
  <c r="G68" i="101"/>
  <c r="I57" i="101"/>
  <c r="G49" i="101"/>
  <c r="I51" i="101"/>
  <c r="K54" i="101"/>
  <c r="G53" i="101"/>
  <c r="G11" i="101"/>
  <c r="I15" i="101"/>
  <c r="I19" i="101"/>
  <c r="G23" i="101"/>
  <c r="I24" i="101"/>
  <c r="G26" i="101"/>
  <c r="G28" i="101"/>
  <c r="I30" i="101"/>
  <c r="G32" i="101"/>
  <c r="K33" i="101"/>
  <c r="I36" i="101"/>
  <c r="I40" i="101"/>
  <c r="K43" i="101" s="1"/>
  <c r="G44" i="101"/>
  <c r="I45" i="101"/>
  <c r="M38" i="101"/>
  <c r="G47" i="101"/>
  <c r="G14" i="100"/>
  <c r="G16" i="100"/>
  <c r="G18" i="100"/>
  <c r="G20" i="100"/>
  <c r="G35" i="100"/>
  <c r="G37" i="100"/>
  <c r="G50" i="100"/>
  <c r="G59" i="100"/>
  <c r="G61" i="100"/>
  <c r="G63" i="100"/>
  <c r="G65" i="100"/>
  <c r="G80" i="100"/>
  <c r="G82" i="100"/>
  <c r="G95" i="100"/>
  <c r="I64" i="100"/>
  <c r="G68" i="100"/>
  <c r="I69" i="100"/>
  <c r="M62" i="100"/>
  <c r="O72" i="100"/>
  <c r="Q51" i="100"/>
  <c r="G92" i="100"/>
  <c r="I94" i="100"/>
  <c r="K90" i="100"/>
  <c r="G88" i="100"/>
  <c r="I86" i="100"/>
  <c r="G73" i="100"/>
  <c r="I75" i="100"/>
  <c r="K78" i="100"/>
  <c r="M84" i="100"/>
  <c r="G84" i="100"/>
  <c r="I81" i="100"/>
  <c r="G77" i="100"/>
  <c r="G71" i="100"/>
  <c r="I60" i="100"/>
  <c r="G52" i="100"/>
  <c r="I54" i="100"/>
  <c r="K57" i="100"/>
  <c r="G56" i="100"/>
  <c r="G7" i="100"/>
  <c r="I9" i="100"/>
  <c r="G11" i="100"/>
  <c r="K12" i="100"/>
  <c r="I15" i="100"/>
  <c r="I19" i="100"/>
  <c r="G23" i="100"/>
  <c r="I24" i="100"/>
  <c r="M17" i="100"/>
  <c r="G26" i="100"/>
  <c r="G28" i="100"/>
  <c r="I30" i="100"/>
  <c r="K33" i="100"/>
  <c r="M39" i="100"/>
  <c r="O27" i="100"/>
  <c r="G32" i="100"/>
  <c r="I36" i="100"/>
  <c r="G39" i="100"/>
  <c r="G43" i="100"/>
  <c r="I41" i="100"/>
  <c r="G47" i="100"/>
  <c r="I49" i="100"/>
  <c r="K45" i="100"/>
  <c r="G98" i="99"/>
  <c r="G85" i="99"/>
  <c r="G83" i="99"/>
  <c r="G74" i="99"/>
  <c r="G61" i="99"/>
  <c r="G59" i="99"/>
  <c r="G50" i="99"/>
  <c r="G37" i="99"/>
  <c r="G35" i="99"/>
  <c r="G20" i="99"/>
  <c r="G16" i="99"/>
  <c r="G28" i="99"/>
  <c r="I30" i="99"/>
  <c r="K33" i="99"/>
  <c r="M39" i="99"/>
  <c r="O27" i="99"/>
  <c r="Q51" i="99"/>
  <c r="G95" i="99"/>
  <c r="I97" i="99"/>
  <c r="K93" i="99"/>
  <c r="G91" i="99"/>
  <c r="I89" i="99"/>
  <c r="G87" i="99"/>
  <c r="G76" i="99"/>
  <c r="I78" i="99"/>
  <c r="K81" i="99"/>
  <c r="M86" i="99"/>
  <c r="I84" i="99"/>
  <c r="G80" i="99"/>
  <c r="G71" i="99"/>
  <c r="I73" i="99"/>
  <c r="K69" i="99"/>
  <c r="M62" i="99"/>
  <c r="O73" i="99"/>
  <c r="G67" i="99"/>
  <c r="I65" i="99"/>
  <c r="G63" i="99"/>
  <c r="I60" i="99"/>
  <c r="G52" i="99"/>
  <c r="I54" i="99"/>
  <c r="K57" i="99"/>
  <c r="G56" i="99"/>
  <c r="G7" i="99"/>
  <c r="I9" i="99"/>
  <c r="G11" i="99"/>
  <c r="K12" i="99"/>
  <c r="I15" i="99"/>
  <c r="I19" i="99"/>
  <c r="G23" i="99"/>
  <c r="I24" i="99"/>
  <c r="M17" i="99"/>
  <c r="G26" i="99"/>
  <c r="G32" i="99"/>
  <c r="I36" i="99"/>
  <c r="G39" i="99"/>
  <c r="G43" i="99"/>
  <c r="I41" i="99"/>
  <c r="G47" i="99"/>
  <c r="I49" i="99"/>
  <c r="K45" i="99"/>
  <c r="G29" i="98"/>
  <c r="G14" i="98"/>
  <c r="G16" i="98"/>
  <c r="G38" i="98"/>
  <c r="G40" i="98"/>
  <c r="G64" i="98"/>
  <c r="G77" i="98"/>
  <c r="G86" i="98"/>
  <c r="G88" i="98"/>
  <c r="G31" i="98"/>
  <c r="I33" i="98"/>
  <c r="K36" i="98"/>
  <c r="M41" i="98"/>
  <c r="O28" i="98"/>
  <c r="Q54" i="98"/>
  <c r="G98" i="98"/>
  <c r="I100" i="98"/>
  <c r="K96" i="98"/>
  <c r="G94" i="98"/>
  <c r="I92" i="98"/>
  <c r="G90" i="98"/>
  <c r="G79" i="98"/>
  <c r="I81" i="98"/>
  <c r="K84" i="98"/>
  <c r="M89" i="98"/>
  <c r="I87" i="98"/>
  <c r="G83" i="98"/>
  <c r="G74" i="98"/>
  <c r="I76" i="98"/>
  <c r="K72" i="98"/>
  <c r="M65" i="98"/>
  <c r="O76" i="98"/>
  <c r="G70" i="98"/>
  <c r="I68" i="98"/>
  <c r="I63" i="98"/>
  <c r="G55" i="98"/>
  <c r="I57" i="98"/>
  <c r="K60" i="98"/>
  <c r="G59" i="98"/>
  <c r="I9" i="98"/>
  <c r="G11" i="98"/>
  <c r="K12" i="98"/>
  <c r="I15" i="98"/>
  <c r="G26" i="98"/>
  <c r="I28" i="98"/>
  <c r="K24" i="98"/>
  <c r="M17" i="98"/>
  <c r="G18" i="98"/>
  <c r="G22" i="98"/>
  <c r="I20" i="98"/>
  <c r="G35" i="98"/>
  <c r="I39" i="98"/>
  <c r="G46" i="98"/>
  <c r="I44" i="98"/>
  <c r="G50" i="98"/>
  <c r="I52" i="98"/>
  <c r="K48" i="98"/>
  <c r="G103" i="97"/>
  <c r="G90" i="97"/>
  <c r="G77" i="97"/>
  <c r="G64" i="97"/>
  <c r="G62" i="97"/>
  <c r="G53" i="97"/>
  <c r="G40" i="97"/>
  <c r="G38" i="97"/>
  <c r="G29" i="97"/>
  <c r="G16" i="97"/>
  <c r="G14" i="97"/>
  <c r="G31" i="97"/>
  <c r="I33" i="97"/>
  <c r="K36" i="97"/>
  <c r="M41" i="97"/>
  <c r="O28" i="97"/>
  <c r="Q54" i="97"/>
  <c r="G100" i="97"/>
  <c r="I102" i="97"/>
  <c r="G96" i="97"/>
  <c r="I94" i="97"/>
  <c r="K98" i="97"/>
  <c r="G87" i="97"/>
  <c r="I89" i="97"/>
  <c r="K85" i="97"/>
  <c r="M92" i="97"/>
  <c r="G92" i="97"/>
  <c r="G83" i="97"/>
  <c r="I81" i="97"/>
  <c r="G79" i="97"/>
  <c r="O78" i="97"/>
  <c r="G74" i="97"/>
  <c r="I76" i="97"/>
  <c r="K72" i="97"/>
  <c r="G70" i="97"/>
  <c r="I68" i="97"/>
  <c r="G66" i="97"/>
  <c r="G55" i="97"/>
  <c r="I57" i="97"/>
  <c r="K60" i="97"/>
  <c r="M65" i="97"/>
  <c r="I63" i="97"/>
  <c r="G59" i="97"/>
  <c r="G7" i="97"/>
  <c r="I9" i="97"/>
  <c r="G11" i="97"/>
  <c r="K12" i="97"/>
  <c r="I15" i="97"/>
  <c r="G26" i="97"/>
  <c r="I28" i="97"/>
  <c r="K24" i="97"/>
  <c r="M17" i="97"/>
  <c r="G18" i="97"/>
  <c r="G22" i="97"/>
  <c r="I20" i="97"/>
  <c r="G35" i="97"/>
  <c r="I39" i="97"/>
  <c r="G42" i="97"/>
  <c r="G46" i="97"/>
  <c r="I44" i="97"/>
  <c r="G50" i="97"/>
  <c r="I52" i="97"/>
  <c r="K48" i="97"/>
  <c r="G105" i="96"/>
  <c r="G92" i="96"/>
  <c r="G79" i="96"/>
  <c r="G66" i="96"/>
  <c r="G64" i="96"/>
  <c r="G55" i="96"/>
  <c r="G42" i="96"/>
  <c r="G29" i="96"/>
  <c r="G16" i="96"/>
  <c r="G14" i="96"/>
  <c r="G39" i="96"/>
  <c r="I41" i="96"/>
  <c r="K37" i="96"/>
  <c r="M44" i="96"/>
  <c r="O30" i="96"/>
  <c r="Q56" i="96"/>
  <c r="G89" i="96"/>
  <c r="I91" i="96"/>
  <c r="K87" i="96"/>
  <c r="M94" i="96"/>
  <c r="G57" i="96"/>
  <c r="I59" i="96"/>
  <c r="K62" i="96"/>
  <c r="M67" i="96"/>
  <c r="O80" i="96"/>
  <c r="G102" i="96"/>
  <c r="I104" i="96"/>
  <c r="G98" i="96"/>
  <c r="I96" i="96"/>
  <c r="K100" i="96"/>
  <c r="G94" i="96"/>
  <c r="G85" i="96"/>
  <c r="I83" i="96"/>
  <c r="G81" i="96"/>
  <c r="G76" i="96"/>
  <c r="I78" i="96"/>
  <c r="K74" i="96"/>
  <c r="G72" i="96"/>
  <c r="I70" i="96"/>
  <c r="G68" i="96"/>
  <c r="I65" i="96"/>
  <c r="G61" i="96"/>
  <c r="G7" i="96"/>
  <c r="I9" i="96"/>
  <c r="G11" i="96"/>
  <c r="K12" i="96"/>
  <c r="I15" i="96"/>
  <c r="M17" i="96"/>
  <c r="G18" i="96"/>
  <c r="G22" i="96"/>
  <c r="I20" i="96"/>
  <c r="G26" i="96"/>
  <c r="I28" i="96"/>
  <c r="K24" i="96"/>
  <c r="G31" i="96"/>
  <c r="G35" i="96"/>
  <c r="I33" i="96"/>
  <c r="G44" i="96"/>
  <c r="G48" i="96"/>
  <c r="I46" i="96"/>
  <c r="K50" i="96"/>
  <c r="G52" i="96"/>
  <c r="I54" i="96"/>
  <c r="G14" i="95"/>
  <c r="G94" i="95"/>
  <c r="G107" i="95"/>
  <c r="G91" i="95"/>
  <c r="I93" i="95"/>
  <c r="K89" i="95"/>
  <c r="M96" i="95"/>
  <c r="O83" i="95"/>
  <c r="Q56" i="95" s="1"/>
  <c r="G104" i="95"/>
  <c r="I106" i="95"/>
  <c r="G100" i="95"/>
  <c r="I98" i="95"/>
  <c r="K102" i="95"/>
  <c r="G96" i="95"/>
  <c r="G87" i="95"/>
  <c r="I85" i="95"/>
  <c r="G83" i="95"/>
  <c r="G78" i="95"/>
  <c r="I80" i="95"/>
  <c r="G74" i="95"/>
  <c r="I72" i="95"/>
  <c r="K76" i="95"/>
  <c r="M70" i="95"/>
  <c r="G70" i="95"/>
  <c r="G65" i="95"/>
  <c r="I67" i="95"/>
  <c r="K63" i="95"/>
  <c r="G61" i="95"/>
  <c r="I59" i="95"/>
  <c r="G57" i="95"/>
  <c r="G7" i="95"/>
  <c r="I9" i="95"/>
  <c r="G11" i="95"/>
  <c r="K12" i="95"/>
  <c r="I15" i="95"/>
  <c r="M17" i="95"/>
  <c r="G18" i="95"/>
  <c r="G22" i="95"/>
  <c r="I20" i="95"/>
  <c r="G26" i="95"/>
  <c r="I28" i="95"/>
  <c r="K24" i="95"/>
  <c r="O30" i="95"/>
  <c r="G31" i="95"/>
  <c r="G35" i="95"/>
  <c r="I33" i="95"/>
  <c r="G39" i="95"/>
  <c r="I41" i="95"/>
  <c r="K37" i="95"/>
  <c r="G44" i="95"/>
  <c r="M44" i="95"/>
  <c r="G48" i="95"/>
  <c r="I46" i="95"/>
  <c r="K50" i="95"/>
  <c r="G52" i="95"/>
  <c r="I54" i="95"/>
  <c r="G18" i="94"/>
  <c r="G31" i="94"/>
  <c r="G44" i="94"/>
  <c r="G57" i="94"/>
  <c r="G70" i="94"/>
  <c r="G83" i="94"/>
  <c r="G96" i="94"/>
  <c r="G109" i="94"/>
  <c r="G76" i="94"/>
  <c r="I74" i="94"/>
  <c r="K78" i="94"/>
  <c r="M72" i="94"/>
  <c r="O85" i="94"/>
  <c r="Q58" i="94"/>
  <c r="G106" i="94"/>
  <c r="I108" i="94"/>
  <c r="G102" i="94"/>
  <c r="I100" i="94"/>
  <c r="K104" i="94"/>
  <c r="G93" i="94"/>
  <c r="I95" i="94"/>
  <c r="K91" i="94"/>
  <c r="M98" i="94"/>
  <c r="G98" i="94"/>
  <c r="G89" i="94"/>
  <c r="I87" i="94"/>
  <c r="G85" i="94"/>
  <c r="G80" i="94"/>
  <c r="I82" i="94"/>
  <c r="G72" i="94"/>
  <c r="G67" i="94"/>
  <c r="I69" i="94"/>
  <c r="K65" i="94"/>
  <c r="G63" i="94"/>
  <c r="I61" i="94"/>
  <c r="G59" i="94"/>
  <c r="G7" i="94"/>
  <c r="G11" i="94"/>
  <c r="I9" i="94"/>
  <c r="G15" i="94"/>
  <c r="I17" i="94"/>
  <c r="K13" i="94"/>
  <c r="G20" i="94"/>
  <c r="G24" i="94"/>
  <c r="I22" i="94"/>
  <c r="K26" i="94"/>
  <c r="M20" i="94"/>
  <c r="G28" i="94"/>
  <c r="I30" i="94"/>
  <c r="G33" i="94"/>
  <c r="G41" i="94"/>
  <c r="I43" i="94"/>
  <c r="K39" i="94"/>
  <c r="M46" i="94"/>
  <c r="O33" i="94"/>
  <c r="G37" i="94"/>
  <c r="I35" i="94"/>
  <c r="G46" i="94"/>
  <c r="G50" i="94"/>
  <c r="I48" i="94"/>
  <c r="K52" i="94"/>
  <c r="G54" i="94"/>
  <c r="I56" i="94"/>
  <c r="U36" i="66"/>
  <c r="W31" i="66"/>
  <c r="U31" i="66"/>
  <c r="W30" i="66"/>
  <c r="U30" i="66"/>
  <c r="W29" i="66"/>
  <c r="U29" i="66"/>
  <c r="W28" i="66"/>
  <c r="U28" i="66"/>
  <c r="W27" i="66"/>
  <c r="U27" i="66"/>
  <c r="W26" i="66"/>
  <c r="U26" i="66"/>
  <c r="W25" i="66"/>
  <c r="U25" i="66"/>
  <c r="W24" i="66"/>
  <c r="U24" i="66"/>
  <c r="W23" i="66"/>
  <c r="U23" i="66"/>
  <c r="W22" i="66"/>
  <c r="U22" i="66"/>
  <c r="W21" i="66"/>
  <c r="U21" i="66"/>
  <c r="W20" i="66"/>
  <c r="U20" i="66"/>
  <c r="W19" i="66"/>
  <c r="U19" i="66"/>
  <c r="W18" i="66"/>
  <c r="U18" i="66"/>
  <c r="W17" i="66"/>
  <c r="U17" i="66"/>
  <c r="W16" i="66"/>
  <c r="U16" i="66"/>
  <c r="W15" i="66"/>
  <c r="U15" i="66"/>
  <c r="W14" i="66"/>
  <c r="U14" i="66"/>
  <c r="W13" i="66"/>
  <c r="U13" i="66"/>
  <c r="W12" i="66"/>
  <c r="U12" i="66"/>
  <c r="W11" i="66"/>
  <c r="U11" i="66"/>
  <c r="W10" i="66"/>
  <c r="U10" i="66"/>
  <c r="W9" i="66"/>
  <c r="U9" i="66"/>
  <c r="W8" i="66"/>
  <c r="U8" i="66"/>
  <c r="W7" i="66"/>
  <c r="U7" i="66"/>
  <c r="W6" i="66"/>
  <c r="U6" i="66"/>
  <c r="W5" i="66"/>
  <c r="U5" i="66"/>
  <c r="W35" i="66"/>
  <c r="AG55" i="66"/>
  <c r="AE55" i="66"/>
  <c r="AG54" i="66"/>
  <c r="AE54" i="66"/>
  <c r="AG53" i="66"/>
  <c r="AE53" i="66"/>
  <c r="AG51" i="66"/>
  <c r="AE51" i="66"/>
  <c r="AG50" i="66"/>
  <c r="AE50" i="66"/>
  <c r="AG49" i="66"/>
  <c r="AE49" i="66"/>
  <c r="AG48" i="66"/>
  <c r="AE48" i="66"/>
  <c r="AG46" i="66"/>
  <c r="AE46" i="66"/>
  <c r="AG45" i="66"/>
  <c r="AE45" i="66"/>
  <c r="AG44" i="66"/>
  <c r="AE44" i="66"/>
  <c r="AG43" i="66"/>
  <c r="AE43" i="66"/>
  <c r="AG38" i="66"/>
  <c r="AE38" i="66"/>
  <c r="AG37" i="66"/>
  <c r="AE37" i="66"/>
  <c r="AG36" i="66"/>
  <c r="AE36" i="66"/>
  <c r="U35" i="66"/>
  <c r="W34" i="66"/>
  <c r="U34" i="66"/>
  <c r="AG34" i="66"/>
  <c r="AE34" i="66"/>
  <c r="W33" i="66"/>
  <c r="U33" i="66"/>
  <c r="AG33" i="66"/>
  <c r="AE33" i="66"/>
  <c r="W32" i="66"/>
  <c r="U32" i="66"/>
  <c r="AG32" i="66"/>
  <c r="AE32" i="66"/>
  <c r="AG31" i="66"/>
  <c r="AE31" i="66"/>
  <c r="AG29" i="66"/>
  <c r="AE29" i="66"/>
  <c r="AG28" i="66"/>
  <c r="AE28" i="66"/>
  <c r="AG27" i="66"/>
  <c r="AE27" i="66"/>
  <c r="AG26" i="66"/>
  <c r="AE26" i="66"/>
  <c r="AG21" i="66"/>
  <c r="AE21" i="66"/>
  <c r="AG20" i="66"/>
  <c r="AE20" i="66"/>
  <c r="AG19" i="66"/>
  <c r="AE19" i="66"/>
  <c r="AG17" i="66"/>
  <c r="AE17" i="66"/>
  <c r="AG16" i="66"/>
  <c r="AE16" i="66"/>
  <c r="AG15" i="66"/>
  <c r="AE15" i="66"/>
  <c r="AG14" i="66"/>
  <c r="AE14" i="66"/>
  <c r="AG12" i="66"/>
  <c r="AE12" i="66"/>
  <c r="AG11" i="66"/>
  <c r="AE11" i="66"/>
  <c r="AG10" i="66"/>
  <c r="AE10" i="66"/>
  <c r="AG9" i="66"/>
  <c r="AE9" i="66"/>
  <c r="W36" i="65"/>
  <c r="U36" i="65"/>
  <c r="W35" i="65"/>
  <c r="U35" i="65"/>
  <c r="W34" i="65"/>
  <c r="U34" i="65"/>
  <c r="W33" i="65"/>
  <c r="U33" i="65"/>
  <c r="W32" i="65"/>
  <c r="U32" i="65"/>
  <c r="W31" i="65"/>
  <c r="U31" i="65"/>
  <c r="W30" i="65"/>
  <c r="U30" i="65"/>
  <c r="W29" i="65"/>
  <c r="U29" i="65"/>
  <c r="W28" i="65"/>
  <c r="U28" i="65"/>
  <c r="W27" i="65"/>
  <c r="U27" i="65"/>
  <c r="W26" i="65"/>
  <c r="U26" i="65"/>
  <c r="W25" i="65"/>
  <c r="U25" i="65"/>
  <c r="W24" i="65"/>
  <c r="U24" i="65"/>
  <c r="W23" i="65"/>
  <c r="U23" i="65"/>
  <c r="W22" i="65"/>
  <c r="U22" i="65"/>
  <c r="W21" i="65"/>
  <c r="U21" i="65"/>
  <c r="W20" i="65"/>
  <c r="U20" i="65"/>
  <c r="W19" i="65"/>
  <c r="U19" i="65"/>
  <c r="W18" i="65"/>
  <c r="U18" i="65"/>
  <c r="W17" i="65"/>
  <c r="U17" i="65"/>
  <c r="W16" i="65"/>
  <c r="U16" i="65"/>
  <c r="W15" i="65"/>
  <c r="U15" i="65"/>
  <c r="W14" i="65"/>
  <c r="U14" i="65"/>
  <c r="W13" i="65"/>
  <c r="W11" i="65"/>
  <c r="W10" i="65"/>
  <c r="W9" i="65"/>
  <c r="W8" i="65"/>
  <c r="W7" i="65"/>
  <c r="W5" i="65"/>
  <c r="U5" i="65"/>
  <c r="AG55" i="65"/>
  <c r="AE55" i="65"/>
  <c r="AG54" i="65"/>
  <c r="AE54" i="65"/>
  <c r="AG53" i="65"/>
  <c r="AE53" i="65"/>
  <c r="AG51" i="65"/>
  <c r="AE51" i="65"/>
  <c r="AG50" i="65"/>
  <c r="AE50" i="65"/>
  <c r="AG49" i="65"/>
  <c r="AE49" i="65"/>
  <c r="AG48" i="65"/>
  <c r="AE48" i="65"/>
  <c r="AG46" i="65"/>
  <c r="AE46" i="65"/>
  <c r="AG45" i="65"/>
  <c r="AE45" i="65"/>
  <c r="AG44" i="65"/>
  <c r="AE44" i="65"/>
  <c r="AG43" i="65"/>
  <c r="AE43" i="65"/>
  <c r="AG38" i="65"/>
  <c r="AE38" i="65"/>
  <c r="AG37" i="65"/>
  <c r="AE37" i="65"/>
  <c r="AG36" i="65"/>
  <c r="AE36" i="65"/>
  <c r="AG34" i="65"/>
  <c r="AE34" i="65"/>
  <c r="AG33" i="65"/>
  <c r="AE33" i="65"/>
  <c r="AG32" i="65"/>
  <c r="AE32" i="65"/>
  <c r="AG31" i="65"/>
  <c r="AE31" i="65"/>
  <c r="AG29" i="65"/>
  <c r="AE29" i="65"/>
  <c r="AG28" i="65"/>
  <c r="AE28" i="65"/>
  <c r="AG27" i="65"/>
  <c r="AE27" i="65"/>
  <c r="AG26" i="65"/>
  <c r="AE26" i="65"/>
  <c r="AG21" i="65"/>
  <c r="AE21" i="65"/>
  <c r="AG20" i="65"/>
  <c r="AE20" i="65"/>
  <c r="AG19" i="65"/>
  <c r="AE19" i="65"/>
  <c r="AG17" i="65"/>
  <c r="AE17" i="65"/>
  <c r="AG16" i="65"/>
  <c r="AE16" i="65"/>
  <c r="AG15" i="65"/>
  <c r="AE15" i="65"/>
  <c r="U13" i="65"/>
  <c r="AG14" i="65"/>
  <c r="AE14" i="65"/>
  <c r="W12" i="65"/>
  <c r="U12" i="65"/>
  <c r="U11" i="65"/>
  <c r="AG12" i="65"/>
  <c r="AE12" i="65"/>
  <c r="U10" i="65"/>
  <c r="AG11" i="65"/>
  <c r="AE11" i="65"/>
  <c r="U9" i="65"/>
  <c r="AG10" i="65"/>
  <c r="AE10" i="65"/>
  <c r="U8" i="65"/>
  <c r="AG9" i="65"/>
  <c r="AE9" i="65"/>
  <c r="U7" i="65"/>
  <c r="W6" i="65"/>
  <c r="U6" i="65"/>
  <c r="AG55" i="64"/>
  <c r="W37" i="64"/>
  <c r="U37" i="64"/>
  <c r="W36" i="64"/>
  <c r="U36" i="64"/>
  <c r="W35" i="64"/>
  <c r="U35" i="64"/>
  <c r="W34" i="64"/>
  <c r="U34" i="64"/>
  <c r="W33" i="64"/>
  <c r="U33" i="64"/>
  <c r="W32" i="64"/>
  <c r="U32" i="64"/>
  <c r="W31" i="64"/>
  <c r="U31" i="64"/>
  <c r="U30" i="64"/>
  <c r="W29" i="64"/>
  <c r="U29" i="64"/>
  <c r="W28" i="64"/>
  <c r="U28" i="64"/>
  <c r="W27" i="64"/>
  <c r="U27" i="64"/>
  <c r="W26" i="64"/>
  <c r="U26" i="64"/>
  <c r="W25" i="64"/>
  <c r="U25" i="64"/>
  <c r="W24" i="64"/>
  <c r="U24" i="64"/>
  <c r="W23" i="64"/>
  <c r="U23" i="64"/>
  <c r="W22" i="64"/>
  <c r="U22" i="64"/>
  <c r="W21" i="64"/>
  <c r="U21" i="64"/>
  <c r="W20" i="64"/>
  <c r="U20" i="64"/>
  <c r="W19" i="64"/>
  <c r="U19" i="64"/>
  <c r="W18" i="64"/>
  <c r="U18" i="64"/>
  <c r="W17" i="64"/>
  <c r="U17" i="64"/>
  <c r="W16" i="64"/>
  <c r="U16" i="64"/>
  <c r="W15" i="64"/>
  <c r="U15" i="64"/>
  <c r="W14" i="64"/>
  <c r="W5" i="64"/>
  <c r="U5" i="64"/>
  <c r="AE55" i="64"/>
  <c r="AG54" i="64"/>
  <c r="AE54" i="64"/>
  <c r="AG53" i="64"/>
  <c r="AE53" i="64"/>
  <c r="AG51" i="64"/>
  <c r="AE51" i="64"/>
  <c r="AG50" i="64"/>
  <c r="AE50" i="64"/>
  <c r="AG49" i="64"/>
  <c r="AE49" i="64"/>
  <c r="AG48" i="64"/>
  <c r="AE48" i="64"/>
  <c r="AG46" i="64"/>
  <c r="AE46" i="64"/>
  <c r="AG45" i="64"/>
  <c r="AE45" i="64"/>
  <c r="AG44" i="64"/>
  <c r="AE44" i="64"/>
  <c r="AG43" i="64"/>
  <c r="AE43" i="64"/>
  <c r="AG38" i="64"/>
  <c r="AE38" i="64"/>
  <c r="AG37" i="64"/>
  <c r="AE37" i="64"/>
  <c r="AG36" i="64"/>
  <c r="AE36" i="64"/>
  <c r="AG34" i="64"/>
  <c r="AE34" i="64"/>
  <c r="AG33" i="64"/>
  <c r="AE33" i="64"/>
  <c r="AG32" i="64"/>
  <c r="AE32" i="64"/>
  <c r="AG31" i="64"/>
  <c r="AE31" i="64"/>
  <c r="AG29" i="64"/>
  <c r="AE29" i="64"/>
  <c r="AG28" i="64"/>
  <c r="AE28" i="64"/>
  <c r="AG27" i="64"/>
  <c r="AE27" i="64"/>
  <c r="AG26" i="64"/>
  <c r="AE26" i="64"/>
  <c r="AG21" i="64"/>
  <c r="AE21" i="64"/>
  <c r="AG20" i="64"/>
  <c r="AE20" i="64"/>
  <c r="AG19" i="64"/>
  <c r="AE19" i="64"/>
  <c r="AG17" i="64"/>
  <c r="AE17" i="64"/>
  <c r="AG16" i="64"/>
  <c r="AE16" i="64"/>
  <c r="U14" i="64"/>
  <c r="AG15" i="64"/>
  <c r="AE15" i="64"/>
  <c r="W13" i="64"/>
  <c r="U13" i="64"/>
  <c r="AG14" i="64"/>
  <c r="AE14" i="64"/>
  <c r="W12" i="64"/>
  <c r="U12" i="64"/>
  <c r="W11" i="64"/>
  <c r="U11" i="64"/>
  <c r="AG12" i="64"/>
  <c r="AE12" i="64"/>
  <c r="W10" i="64"/>
  <c r="U10" i="64"/>
  <c r="AG11" i="64"/>
  <c r="AE11" i="64"/>
  <c r="W9" i="64"/>
  <c r="U9" i="64"/>
  <c r="AG10" i="64"/>
  <c r="AE10" i="64"/>
  <c r="W8" i="64"/>
  <c r="U8" i="64"/>
  <c r="AG9" i="64"/>
  <c r="AE9" i="64"/>
  <c r="W7" i="64"/>
  <c r="U7" i="64"/>
  <c r="W6" i="64"/>
  <c r="U6" i="64"/>
  <c r="W38" i="63"/>
  <c r="U38" i="63"/>
  <c r="W37" i="63"/>
  <c r="U37" i="63"/>
  <c r="W36" i="63"/>
  <c r="U36" i="63"/>
  <c r="W35" i="63"/>
  <c r="U35" i="63"/>
  <c r="W34" i="63"/>
  <c r="U34" i="63"/>
  <c r="W33" i="63"/>
  <c r="U33" i="63"/>
  <c r="W32" i="63"/>
  <c r="U32" i="63"/>
  <c r="U31" i="63"/>
  <c r="W30" i="63"/>
  <c r="U30" i="63"/>
  <c r="W29" i="63"/>
  <c r="U29" i="63"/>
  <c r="W28" i="63"/>
  <c r="U28" i="63"/>
  <c r="W27" i="63"/>
  <c r="U27" i="63"/>
  <c r="W26" i="63"/>
  <c r="U26" i="63"/>
  <c r="W25" i="63"/>
  <c r="U25" i="63"/>
  <c r="W24" i="63"/>
  <c r="U24" i="63"/>
  <c r="W23" i="63"/>
  <c r="U23" i="63"/>
  <c r="W6" i="63"/>
  <c r="U6" i="63"/>
  <c r="AG55" i="63"/>
  <c r="AE55" i="63"/>
  <c r="AG54" i="63"/>
  <c r="AE54" i="63"/>
  <c r="AG53" i="63"/>
  <c r="AE53" i="63"/>
  <c r="AG51" i="63"/>
  <c r="AE51" i="63"/>
  <c r="AG50" i="63"/>
  <c r="AE50" i="63"/>
  <c r="AG49" i="63"/>
  <c r="AE49" i="63"/>
  <c r="AG48" i="63"/>
  <c r="AE48" i="63"/>
  <c r="AG46" i="63"/>
  <c r="AE46" i="63"/>
  <c r="AG45" i="63"/>
  <c r="AE45" i="63"/>
  <c r="AG44" i="63"/>
  <c r="AE44" i="63"/>
  <c r="AG43" i="63"/>
  <c r="AE43" i="63"/>
  <c r="AG38" i="63"/>
  <c r="AE38" i="63"/>
  <c r="AG37" i="63"/>
  <c r="AE37" i="63"/>
  <c r="AG36" i="63"/>
  <c r="AE36" i="63"/>
  <c r="AG34" i="63"/>
  <c r="AE34" i="63"/>
  <c r="AG33" i="63"/>
  <c r="AE33" i="63"/>
  <c r="AG32" i="63"/>
  <c r="AE32" i="63"/>
  <c r="AG31" i="63"/>
  <c r="AE31" i="63"/>
  <c r="AG29" i="63"/>
  <c r="AE29" i="63"/>
  <c r="AG28" i="63"/>
  <c r="AE28" i="63"/>
  <c r="AG27" i="63"/>
  <c r="AE27" i="63"/>
  <c r="AG26" i="63"/>
  <c r="AE26" i="63"/>
  <c r="W22" i="63"/>
  <c r="U22" i="63"/>
  <c r="W21" i="63"/>
  <c r="U21" i="63"/>
  <c r="AG21" i="63"/>
  <c r="AE21" i="63"/>
  <c r="W20" i="63"/>
  <c r="U20" i="63"/>
  <c r="AG20" i="63"/>
  <c r="AE20" i="63"/>
  <c r="W19" i="63"/>
  <c r="U19" i="63"/>
  <c r="AG19" i="63"/>
  <c r="AE19" i="63"/>
  <c r="W18" i="63"/>
  <c r="U18" i="63"/>
  <c r="W17" i="63"/>
  <c r="U17" i="63"/>
  <c r="AG17" i="63"/>
  <c r="AE17" i="63"/>
  <c r="W16" i="63"/>
  <c r="U16" i="63"/>
  <c r="AG16" i="63"/>
  <c r="AE16" i="63"/>
  <c r="U15" i="63"/>
  <c r="AG15" i="63"/>
  <c r="AE15" i="63"/>
  <c r="W14" i="63"/>
  <c r="U14" i="63"/>
  <c r="AG14" i="63"/>
  <c r="AE14" i="63"/>
  <c r="W13" i="63"/>
  <c r="U13" i="63"/>
  <c r="W12" i="63"/>
  <c r="U12" i="63"/>
  <c r="AG12" i="63"/>
  <c r="AE12" i="63"/>
  <c r="W11" i="63"/>
  <c r="U11" i="63"/>
  <c r="AG11" i="63"/>
  <c r="AE11" i="63"/>
  <c r="W10" i="63"/>
  <c r="U10" i="63"/>
  <c r="AG10" i="63"/>
  <c r="AE10" i="63"/>
  <c r="W9" i="63"/>
  <c r="U9" i="63"/>
  <c r="AG9" i="63"/>
  <c r="AE9" i="63"/>
  <c r="W8" i="63"/>
  <c r="U8" i="63"/>
  <c r="W7" i="63"/>
  <c r="U7" i="63"/>
  <c r="W5" i="63"/>
  <c r="U5" i="63"/>
  <c r="W39" i="62"/>
  <c r="U39" i="62"/>
  <c r="W38" i="62"/>
  <c r="U38" i="62"/>
  <c r="W37" i="62"/>
  <c r="U37" i="62"/>
  <c r="W36" i="62"/>
  <c r="U36" i="62"/>
  <c r="W35" i="62"/>
  <c r="U35" i="62"/>
  <c r="W34" i="62"/>
  <c r="U34" i="62"/>
  <c r="W33" i="62"/>
  <c r="U33" i="62"/>
  <c r="U32" i="62"/>
  <c r="W31" i="62"/>
  <c r="U31" i="62"/>
  <c r="W30" i="62"/>
  <c r="U30" i="62"/>
  <c r="W29" i="62"/>
  <c r="U29" i="62"/>
  <c r="W28" i="62"/>
  <c r="U28" i="62"/>
  <c r="W27" i="62"/>
  <c r="U27" i="62"/>
  <c r="W26" i="62"/>
  <c r="U26" i="62"/>
  <c r="W25" i="62"/>
  <c r="U25" i="62"/>
  <c r="U24" i="62"/>
  <c r="W23" i="62"/>
  <c r="U23" i="62"/>
  <c r="W22" i="62"/>
  <c r="U22" i="62"/>
  <c r="W21" i="62"/>
  <c r="U21" i="62"/>
  <c r="W20" i="62"/>
  <c r="U20" i="62"/>
  <c r="W19" i="62"/>
  <c r="U19" i="62"/>
  <c r="W18" i="62"/>
  <c r="U18" i="62"/>
  <c r="W17" i="62"/>
  <c r="U17" i="62"/>
  <c r="U16" i="62"/>
  <c r="W15" i="62"/>
  <c r="U15" i="62"/>
  <c r="W14" i="62"/>
  <c r="U14" i="62"/>
  <c r="W13" i="62"/>
  <c r="U13" i="62"/>
  <c r="W12" i="62"/>
  <c r="U12" i="62"/>
  <c r="W11" i="62"/>
  <c r="U11" i="62"/>
  <c r="W10" i="62"/>
  <c r="U10" i="62"/>
  <c r="W9" i="62"/>
  <c r="U9" i="62"/>
  <c r="W8" i="62"/>
  <c r="U8" i="62"/>
  <c r="W7" i="62"/>
  <c r="U7" i="62"/>
  <c r="W6" i="62"/>
  <c r="U6" i="62"/>
  <c r="W5" i="62"/>
  <c r="U5" i="62"/>
  <c r="AG55" i="62"/>
  <c r="AE55" i="62"/>
  <c r="AG54" i="62"/>
  <c r="AE54" i="62"/>
  <c r="AG53" i="62"/>
  <c r="AE53" i="62"/>
  <c r="AG51" i="62"/>
  <c r="AE51" i="62"/>
  <c r="AG50" i="62"/>
  <c r="AE50" i="62"/>
  <c r="AG49" i="62"/>
  <c r="AE49" i="62"/>
  <c r="AG48" i="62"/>
  <c r="AE48" i="62"/>
  <c r="AG46" i="62"/>
  <c r="AE46" i="62"/>
  <c r="AG45" i="62"/>
  <c r="AE45" i="62"/>
  <c r="AG44" i="62"/>
  <c r="AE44" i="62"/>
  <c r="AG43" i="62"/>
  <c r="AE43" i="62"/>
  <c r="AG38" i="62"/>
  <c r="AE38" i="62"/>
  <c r="AG37" i="62"/>
  <c r="AE37" i="62"/>
  <c r="AG36" i="62"/>
  <c r="AE36" i="62"/>
  <c r="AG34" i="62"/>
  <c r="AE34" i="62"/>
  <c r="AG33" i="62"/>
  <c r="AE33" i="62"/>
  <c r="AG32" i="62"/>
  <c r="AE32" i="62"/>
  <c r="AG31" i="62"/>
  <c r="AE31" i="62"/>
  <c r="AG29" i="62"/>
  <c r="AE29" i="62"/>
  <c r="AG28" i="62"/>
  <c r="AE28" i="62"/>
  <c r="AG27" i="62"/>
  <c r="AE27" i="62"/>
  <c r="AG26" i="62"/>
  <c r="AE26" i="62"/>
  <c r="AG21" i="62"/>
  <c r="AE21" i="62"/>
  <c r="AG20" i="62"/>
  <c r="AE20" i="62"/>
  <c r="AG19" i="62"/>
  <c r="AE19" i="62"/>
  <c r="AG17" i="62"/>
  <c r="AE17" i="62"/>
  <c r="AG16" i="62"/>
  <c r="AE16" i="62"/>
  <c r="AG15" i="62"/>
  <c r="AE15" i="62"/>
  <c r="AG14" i="62"/>
  <c r="AE14" i="62"/>
  <c r="AG12" i="62"/>
  <c r="AE12" i="62"/>
  <c r="AG11" i="62"/>
  <c r="AE11" i="62"/>
  <c r="AG10" i="62"/>
  <c r="AE10" i="62"/>
  <c r="AG9" i="62"/>
  <c r="AE9" i="62"/>
  <c r="W40" i="61"/>
  <c r="U40" i="61"/>
  <c r="AG55" i="61"/>
  <c r="AE55" i="61"/>
  <c r="AG54" i="61"/>
  <c r="AE54" i="61"/>
  <c r="AG53" i="61"/>
  <c r="AE53" i="61"/>
  <c r="AG51" i="61"/>
  <c r="AE51" i="61"/>
  <c r="AG50" i="61"/>
  <c r="AE50" i="61"/>
  <c r="AG49" i="61"/>
  <c r="AE49" i="61"/>
  <c r="AG48" i="61"/>
  <c r="AE48" i="61"/>
  <c r="AG46" i="61"/>
  <c r="AE46" i="61"/>
  <c r="AG45" i="61"/>
  <c r="AE45" i="61"/>
  <c r="AG44" i="61"/>
  <c r="AE44" i="61"/>
  <c r="AG43" i="61"/>
  <c r="AE43" i="61"/>
  <c r="U39" i="61"/>
  <c r="W38" i="61"/>
  <c r="U38" i="61"/>
  <c r="AG38" i="61"/>
  <c r="AE38" i="61"/>
  <c r="U37" i="61"/>
  <c r="AG37" i="61"/>
  <c r="AE37" i="61"/>
  <c r="W36" i="61"/>
  <c r="U36" i="61"/>
  <c r="AG36" i="61"/>
  <c r="AE36" i="61"/>
  <c r="U35" i="61"/>
  <c r="W34" i="61"/>
  <c r="U34" i="61"/>
  <c r="AG34" i="61"/>
  <c r="AE34" i="61"/>
  <c r="U33" i="61"/>
  <c r="AG33" i="61"/>
  <c r="AE33" i="61"/>
  <c r="W32" i="61"/>
  <c r="AG32" i="61"/>
  <c r="AE32" i="61"/>
  <c r="W31" i="61"/>
  <c r="U31" i="61"/>
  <c r="AG31" i="61"/>
  <c r="AE31" i="61"/>
  <c r="W30" i="61"/>
  <c r="W29" i="61"/>
  <c r="U29" i="61"/>
  <c r="AG29" i="61"/>
  <c r="AE29" i="61"/>
  <c r="W28" i="61"/>
  <c r="AG28" i="61"/>
  <c r="AE28" i="61"/>
  <c r="U27" i="61"/>
  <c r="AG27" i="61"/>
  <c r="AE27" i="61"/>
  <c r="U26" i="61"/>
  <c r="AG26" i="61"/>
  <c r="AE26" i="61"/>
  <c r="W24" i="61"/>
  <c r="U24" i="61"/>
  <c r="W23" i="61"/>
  <c r="W22" i="61"/>
  <c r="U22" i="61"/>
  <c r="W21" i="61"/>
  <c r="AG21" i="61"/>
  <c r="AE21" i="61"/>
  <c r="W20" i="61"/>
  <c r="U20" i="61"/>
  <c r="AG20" i="61"/>
  <c r="AE20" i="61"/>
  <c r="W19" i="61"/>
  <c r="AG19" i="61"/>
  <c r="AE19" i="61"/>
  <c r="W18" i="61"/>
  <c r="U18" i="61"/>
  <c r="U17" i="61"/>
  <c r="AG17" i="61"/>
  <c r="AE17" i="61"/>
  <c r="W16" i="61"/>
  <c r="U16" i="61"/>
  <c r="AG16" i="61"/>
  <c r="AE16" i="61"/>
  <c r="U15" i="61"/>
  <c r="AG15" i="61"/>
  <c r="AE15" i="61"/>
  <c r="W14" i="61"/>
  <c r="U14" i="61"/>
  <c r="AG14" i="61"/>
  <c r="AE14" i="61"/>
  <c r="U13" i="61"/>
  <c r="W12" i="61"/>
  <c r="U12" i="61"/>
  <c r="AG12" i="61"/>
  <c r="AE12" i="61"/>
  <c r="U11" i="61"/>
  <c r="AG11" i="61"/>
  <c r="AE11" i="61"/>
  <c r="W10" i="61"/>
  <c r="U10" i="61"/>
  <c r="AG10" i="61"/>
  <c r="AE10" i="61"/>
  <c r="U9" i="61"/>
  <c r="AG9" i="61"/>
  <c r="AE9" i="61"/>
  <c r="U8" i="61"/>
  <c r="W7" i="61"/>
  <c r="U7" i="61"/>
  <c r="W6" i="61"/>
  <c r="U5" i="61"/>
  <c r="E148" i="60"/>
  <c r="W41" i="60" s="1"/>
  <c r="E142" i="60"/>
  <c r="W40" i="60" s="1"/>
  <c r="E140" i="60"/>
  <c r="U40" i="60" s="1"/>
  <c r="E138" i="60"/>
  <c r="W39" i="60" s="1"/>
  <c r="E136" i="60"/>
  <c r="U39" i="60" s="1"/>
  <c r="E134" i="60"/>
  <c r="W38" i="60" s="1"/>
  <c r="E132" i="60"/>
  <c r="U38" i="60" s="1"/>
  <c r="E130" i="60"/>
  <c r="W37" i="60" s="1"/>
  <c r="E128" i="60"/>
  <c r="U37" i="60" s="1"/>
  <c r="E126" i="60"/>
  <c r="G126" i="60" s="1"/>
  <c r="E124" i="60"/>
  <c r="U36" i="60" s="1"/>
  <c r="E122" i="60"/>
  <c r="G122" i="60" s="1"/>
  <c r="E120" i="60"/>
  <c r="U35" i="60" s="1"/>
  <c r="E113" i="60"/>
  <c r="U34" i="60" s="1"/>
  <c r="E111" i="60"/>
  <c r="G111" i="60" s="1"/>
  <c r="E109" i="60"/>
  <c r="U33" i="60" s="1"/>
  <c r="E107" i="60"/>
  <c r="W32" i="60" s="1"/>
  <c r="E105" i="60"/>
  <c r="G105" i="60" s="1"/>
  <c r="E103" i="60"/>
  <c r="W31" i="60" s="1"/>
  <c r="E101" i="60"/>
  <c r="U31" i="60" s="1"/>
  <c r="E99" i="60"/>
  <c r="W30" i="60" s="1"/>
  <c r="E97" i="60"/>
  <c r="G97" i="60" s="1"/>
  <c r="E95" i="60"/>
  <c r="W29" i="60" s="1"/>
  <c r="E93" i="60"/>
  <c r="G93" i="60" s="1"/>
  <c r="E91" i="60"/>
  <c r="W28" i="60" s="1"/>
  <c r="E89" i="60"/>
  <c r="U28" i="60" s="1"/>
  <c r="E87" i="60"/>
  <c r="W27" i="60" s="1"/>
  <c r="E85" i="60"/>
  <c r="U27" i="60" s="1"/>
  <c r="E78" i="60"/>
  <c r="U26" i="60" s="1"/>
  <c r="E75" i="60"/>
  <c r="W25" i="60" s="1"/>
  <c r="E73" i="60"/>
  <c r="U25" i="60" s="1"/>
  <c r="E146" i="60"/>
  <c r="W9" i="60" s="1"/>
  <c r="E144" i="60"/>
  <c r="U9" i="60" s="1"/>
  <c r="E118" i="60"/>
  <c r="W8" i="60" s="1"/>
  <c r="E116" i="60"/>
  <c r="U8" i="60" s="1"/>
  <c r="E83" i="60"/>
  <c r="W7" i="60" s="1"/>
  <c r="E81" i="60"/>
  <c r="U7" i="60" s="1"/>
  <c r="AG55" i="60"/>
  <c r="AE55" i="60"/>
  <c r="AG54" i="60"/>
  <c r="AE54" i="60"/>
  <c r="AG53" i="60"/>
  <c r="AE53" i="60"/>
  <c r="AG51" i="60"/>
  <c r="AE51" i="60"/>
  <c r="AG50" i="60"/>
  <c r="AE50" i="60"/>
  <c r="AG49" i="60"/>
  <c r="AE49" i="60"/>
  <c r="AG48" i="60"/>
  <c r="AE48" i="60"/>
  <c r="AG46" i="60"/>
  <c r="AE46" i="60"/>
  <c r="AG45" i="60"/>
  <c r="AE45" i="60"/>
  <c r="AG44" i="60"/>
  <c r="AE44" i="60"/>
  <c r="AG43" i="60"/>
  <c r="AE43" i="60"/>
  <c r="AG38" i="60"/>
  <c r="AE38" i="60"/>
  <c r="AG37" i="60"/>
  <c r="AE37" i="60"/>
  <c r="AG36" i="60"/>
  <c r="AE36" i="60"/>
  <c r="E115" i="60"/>
  <c r="AG34" i="60"/>
  <c r="AE34" i="60"/>
  <c r="AG33" i="60"/>
  <c r="AE33" i="60"/>
  <c r="AG32" i="60"/>
  <c r="AE32" i="60"/>
  <c r="AG31" i="60"/>
  <c r="AE31" i="60"/>
  <c r="AG29" i="60"/>
  <c r="AE29" i="60"/>
  <c r="AG28" i="60"/>
  <c r="AE28" i="60"/>
  <c r="AG27" i="60"/>
  <c r="AE27" i="60"/>
  <c r="E80" i="60"/>
  <c r="AG26" i="60"/>
  <c r="AE26" i="60"/>
  <c r="E77" i="60"/>
  <c r="E71" i="60"/>
  <c r="W24" i="60" s="1"/>
  <c r="E69" i="60"/>
  <c r="U24" i="60" s="1"/>
  <c r="E67" i="60"/>
  <c r="W23" i="60" s="1"/>
  <c r="E65" i="60"/>
  <c r="U23" i="60" s="1"/>
  <c r="E63" i="60"/>
  <c r="W22" i="60" s="1"/>
  <c r="E61" i="60"/>
  <c r="U22" i="60" s="1"/>
  <c r="E59" i="60"/>
  <c r="W21" i="60" s="1"/>
  <c r="E57" i="60"/>
  <c r="U21" i="60" s="1"/>
  <c r="AG21" i="60"/>
  <c r="AE21" i="60"/>
  <c r="E55" i="60"/>
  <c r="W20" i="60" s="1"/>
  <c r="E53" i="60"/>
  <c r="U20" i="60" s="1"/>
  <c r="AG20" i="60"/>
  <c r="AE20" i="60"/>
  <c r="E51" i="60"/>
  <c r="W19" i="60" s="1"/>
  <c r="E49" i="60"/>
  <c r="U19" i="60" s="1"/>
  <c r="AG19" i="60"/>
  <c r="AE19" i="60"/>
  <c r="E42" i="60"/>
  <c r="U18" i="60" s="1"/>
  <c r="E40" i="60"/>
  <c r="G40" i="60" s="1"/>
  <c r="E38" i="60"/>
  <c r="U17" i="60" s="1"/>
  <c r="AG17" i="60"/>
  <c r="AE17" i="60"/>
  <c r="E36" i="60"/>
  <c r="W16" i="60" s="1"/>
  <c r="E34" i="60"/>
  <c r="U16" i="60" s="1"/>
  <c r="AG16" i="60"/>
  <c r="AE16" i="60"/>
  <c r="E32" i="60"/>
  <c r="W15" i="60" s="1"/>
  <c r="E30" i="60"/>
  <c r="U15" i="60" s="1"/>
  <c r="AG15" i="60"/>
  <c r="AE15" i="60"/>
  <c r="E28" i="60"/>
  <c r="W14" i="60" s="1"/>
  <c r="E26" i="60"/>
  <c r="U14" i="60" s="1"/>
  <c r="AG14" i="60"/>
  <c r="AE14" i="60"/>
  <c r="E24" i="60"/>
  <c r="W13" i="60" s="1"/>
  <c r="E22" i="60"/>
  <c r="U13" i="60" s="1"/>
  <c r="E20" i="60"/>
  <c r="W12" i="60" s="1"/>
  <c r="E18" i="60"/>
  <c r="U12" i="60" s="1"/>
  <c r="AG12" i="60"/>
  <c r="AE12" i="60"/>
  <c r="E16" i="60"/>
  <c r="W11" i="60" s="1"/>
  <c r="E14" i="60"/>
  <c r="U11" i="60" s="1"/>
  <c r="AG11" i="60"/>
  <c r="AE11" i="60"/>
  <c r="E7" i="60"/>
  <c r="U10" i="60" s="1"/>
  <c r="AG10" i="60"/>
  <c r="AE10" i="60"/>
  <c r="AG9" i="60"/>
  <c r="AE9" i="60"/>
  <c r="E47" i="60"/>
  <c r="W6" i="60" s="1"/>
  <c r="E45" i="60"/>
  <c r="U6" i="60" s="1"/>
  <c r="E12" i="60"/>
  <c r="W5" i="60" s="1"/>
  <c r="E10" i="60"/>
  <c r="U5" i="60" s="1"/>
  <c r="E147" i="60"/>
  <c r="E145" i="60"/>
  <c r="E143" i="60"/>
  <c r="E141" i="60"/>
  <c r="E139" i="60"/>
  <c r="E137" i="60"/>
  <c r="E135" i="60"/>
  <c r="E133" i="60"/>
  <c r="E131" i="60"/>
  <c r="E129" i="60"/>
  <c r="E127" i="60"/>
  <c r="E125" i="60"/>
  <c r="E123" i="60"/>
  <c r="E121" i="60"/>
  <c r="E119" i="60"/>
  <c r="E117" i="60"/>
  <c r="E114" i="60"/>
  <c r="E112" i="60"/>
  <c r="E110" i="60"/>
  <c r="E108" i="60"/>
  <c r="E106" i="60"/>
  <c r="E104" i="60"/>
  <c r="E102" i="60"/>
  <c r="E100" i="60"/>
  <c r="E98" i="60"/>
  <c r="E96" i="60"/>
  <c r="E94" i="60"/>
  <c r="E92" i="60"/>
  <c r="E90" i="60"/>
  <c r="E88" i="60"/>
  <c r="E86" i="60"/>
  <c r="E84" i="60"/>
  <c r="E82" i="60"/>
  <c r="E79" i="60"/>
  <c r="E76" i="60"/>
  <c r="E74" i="60"/>
  <c r="E72" i="60"/>
  <c r="E70" i="60"/>
  <c r="E68" i="60"/>
  <c r="E66" i="60"/>
  <c r="E64" i="60"/>
  <c r="E62" i="60"/>
  <c r="E60" i="60"/>
  <c r="E58" i="60"/>
  <c r="E56" i="60"/>
  <c r="E54" i="60"/>
  <c r="E52" i="60"/>
  <c r="E50" i="60"/>
  <c r="E48" i="60"/>
  <c r="E46" i="60"/>
  <c r="E44" i="60"/>
  <c r="E43" i="60"/>
  <c r="E41" i="60"/>
  <c r="E39" i="60"/>
  <c r="E37" i="60"/>
  <c r="E35" i="60"/>
  <c r="E33" i="60"/>
  <c r="E31" i="60"/>
  <c r="E29" i="60"/>
  <c r="E27" i="60"/>
  <c r="E25" i="60"/>
  <c r="E23" i="60"/>
  <c r="E21" i="60"/>
  <c r="E19" i="60"/>
  <c r="E17" i="60"/>
  <c r="E15" i="60"/>
  <c r="E13" i="60"/>
  <c r="E11" i="60"/>
  <c r="E150" i="59"/>
  <c r="W42" i="59" s="1"/>
  <c r="E144" i="59"/>
  <c r="W41" i="59" s="1"/>
  <c r="E142" i="59"/>
  <c r="U41" i="59" s="1"/>
  <c r="E140" i="59"/>
  <c r="W40" i="59" s="1"/>
  <c r="E138" i="59"/>
  <c r="U40" i="59" s="1"/>
  <c r="E136" i="59"/>
  <c r="W39" i="59" s="1"/>
  <c r="E134" i="59"/>
  <c r="U39" i="59" s="1"/>
  <c r="E132" i="59"/>
  <c r="W38" i="59" s="1"/>
  <c r="E130" i="59"/>
  <c r="U38" i="59" s="1"/>
  <c r="E128" i="59"/>
  <c r="W37" i="59" s="1"/>
  <c r="E126" i="59"/>
  <c r="U37" i="59" s="1"/>
  <c r="E124" i="59"/>
  <c r="W36" i="59" s="1"/>
  <c r="E122" i="59"/>
  <c r="U36" i="59" s="1"/>
  <c r="E115" i="59"/>
  <c r="U35" i="59" s="1"/>
  <c r="E113" i="59"/>
  <c r="W34" i="59" s="1"/>
  <c r="E111" i="59"/>
  <c r="U34" i="59" s="1"/>
  <c r="E109" i="59"/>
  <c r="W33" i="59" s="1"/>
  <c r="E107" i="59"/>
  <c r="U33" i="59" s="1"/>
  <c r="E105" i="59"/>
  <c r="G105" i="59" s="1"/>
  <c r="E103" i="59"/>
  <c r="U32" i="59" s="1"/>
  <c r="E101" i="59"/>
  <c r="W31" i="59" s="1"/>
  <c r="E99" i="59"/>
  <c r="U31" i="59" s="1"/>
  <c r="E97" i="59"/>
  <c r="W30" i="59" s="1"/>
  <c r="E95" i="59"/>
  <c r="U30" i="59" s="1"/>
  <c r="E93" i="59"/>
  <c r="W29" i="59" s="1"/>
  <c r="E91" i="59"/>
  <c r="U29" i="59" s="1"/>
  <c r="E89" i="59"/>
  <c r="W28" i="59" s="1"/>
  <c r="E87" i="59"/>
  <c r="U28" i="59" s="1"/>
  <c r="E80" i="59"/>
  <c r="U27" i="59" s="1"/>
  <c r="E77" i="59"/>
  <c r="W26" i="59" s="1"/>
  <c r="E148" i="59"/>
  <c r="W10" i="59" s="1"/>
  <c r="E146" i="59"/>
  <c r="U10" i="59"/>
  <c r="E120" i="59"/>
  <c r="W9" i="59" s="1"/>
  <c r="E118" i="59"/>
  <c r="U9" i="59" s="1"/>
  <c r="E149" i="59"/>
  <c r="E147" i="59"/>
  <c r="E145" i="59"/>
  <c r="E143" i="59"/>
  <c r="E141" i="59"/>
  <c r="E139" i="59"/>
  <c r="E137" i="59"/>
  <c r="E135" i="59"/>
  <c r="E133" i="59"/>
  <c r="E131" i="59"/>
  <c r="E129" i="59"/>
  <c r="E127" i="59"/>
  <c r="E125" i="59"/>
  <c r="E123" i="59"/>
  <c r="E121" i="59"/>
  <c r="E119" i="59"/>
  <c r="E117" i="59"/>
  <c r="E116" i="59"/>
  <c r="E114" i="59"/>
  <c r="E112" i="59"/>
  <c r="E110" i="59"/>
  <c r="E108" i="59"/>
  <c r="E106" i="59"/>
  <c r="E104" i="59"/>
  <c r="E102" i="59"/>
  <c r="E100" i="59"/>
  <c r="E98" i="59"/>
  <c r="E96" i="59"/>
  <c r="E94" i="59"/>
  <c r="E92" i="59"/>
  <c r="E90" i="59"/>
  <c r="E88" i="59"/>
  <c r="E86" i="59"/>
  <c r="E85" i="59"/>
  <c r="W8" i="59" s="1"/>
  <c r="E84" i="59"/>
  <c r="E83" i="59"/>
  <c r="U8" i="59" s="1"/>
  <c r="E82" i="59"/>
  <c r="E81" i="59"/>
  <c r="E79" i="59"/>
  <c r="E78" i="59"/>
  <c r="E76" i="59"/>
  <c r="E75" i="59"/>
  <c r="W7" i="59" s="1"/>
  <c r="E74" i="59"/>
  <c r="E73" i="59"/>
  <c r="U7" i="59" s="1"/>
  <c r="E72" i="59"/>
  <c r="E71" i="59"/>
  <c r="W25" i="59" s="1"/>
  <c r="E70" i="59"/>
  <c r="E69" i="59"/>
  <c r="G69" i="59" s="1"/>
  <c r="E68" i="59"/>
  <c r="E67" i="59"/>
  <c r="W24" i="59" s="1"/>
  <c r="E66" i="59"/>
  <c r="E65" i="59"/>
  <c r="U24" i="59" s="1"/>
  <c r="E64" i="59"/>
  <c r="E63" i="59"/>
  <c r="W23" i="59" s="1"/>
  <c r="E62" i="59"/>
  <c r="E61" i="59"/>
  <c r="G61" i="59" s="1"/>
  <c r="E60" i="59"/>
  <c r="E59" i="59"/>
  <c r="W22" i="59" s="1"/>
  <c r="E58" i="59"/>
  <c r="E57" i="59"/>
  <c r="E56" i="59"/>
  <c r="E55" i="59"/>
  <c r="W21" i="59" s="1"/>
  <c r="E54" i="59"/>
  <c r="E53" i="59"/>
  <c r="U21" i="59" s="1"/>
  <c r="E52" i="59"/>
  <c r="E51" i="59"/>
  <c r="W20" i="59" s="1"/>
  <c r="E50" i="59"/>
  <c r="E49" i="59"/>
  <c r="G49" i="59" s="1"/>
  <c r="E48" i="59"/>
  <c r="E47" i="59"/>
  <c r="W6" i="59" s="1"/>
  <c r="E46" i="59"/>
  <c r="E45" i="59"/>
  <c r="U6" i="59" s="1"/>
  <c r="E44" i="59"/>
  <c r="E43" i="59"/>
  <c r="E42" i="59"/>
  <c r="G42" i="59" s="1"/>
  <c r="E41" i="59"/>
  <c r="E40" i="59"/>
  <c r="W18" i="59" s="1"/>
  <c r="E39" i="59"/>
  <c r="E38" i="59"/>
  <c r="G38" i="59" s="1"/>
  <c r="E37" i="59"/>
  <c r="E36" i="59"/>
  <c r="W17" i="59" s="1"/>
  <c r="E35" i="59"/>
  <c r="E34" i="59"/>
  <c r="U17" i="59" s="1"/>
  <c r="E33" i="59"/>
  <c r="E32" i="59"/>
  <c r="G32" i="59" s="1"/>
  <c r="E31" i="59"/>
  <c r="E30" i="59"/>
  <c r="U16" i="59" s="1"/>
  <c r="E29" i="59"/>
  <c r="E28" i="59"/>
  <c r="W15" i="59" s="1"/>
  <c r="E27" i="59"/>
  <c r="E26" i="59"/>
  <c r="U15" i="59" s="1"/>
  <c r="E25" i="59"/>
  <c r="E24" i="59"/>
  <c r="W14" i="59" s="1"/>
  <c r="E23" i="59"/>
  <c r="E22" i="59"/>
  <c r="U14" i="59" s="1"/>
  <c r="E21" i="59"/>
  <c r="E20" i="59"/>
  <c r="W13" i="59" s="1"/>
  <c r="E19" i="59"/>
  <c r="E18" i="59"/>
  <c r="U13" i="59" s="1"/>
  <c r="E17" i="59"/>
  <c r="E16" i="59"/>
  <c r="W12" i="59" s="1"/>
  <c r="E15" i="59"/>
  <c r="E14" i="59"/>
  <c r="G14" i="59" s="1"/>
  <c r="E13" i="59"/>
  <c r="E12" i="59"/>
  <c r="W5" i="59" s="1"/>
  <c r="E11" i="59"/>
  <c r="E10" i="59"/>
  <c r="U5" i="59" s="1"/>
  <c r="E7" i="59"/>
  <c r="U11" i="59" s="1"/>
  <c r="AG55" i="59"/>
  <c r="AE55" i="59"/>
  <c r="AG54" i="59"/>
  <c r="AE54" i="59"/>
  <c r="AG53" i="59"/>
  <c r="AE53" i="59"/>
  <c r="AG51" i="59"/>
  <c r="AE51" i="59"/>
  <c r="AG50" i="59"/>
  <c r="AE50" i="59"/>
  <c r="AG49" i="59"/>
  <c r="AE49" i="59"/>
  <c r="AG48" i="59"/>
  <c r="AE48" i="59"/>
  <c r="AG46" i="59"/>
  <c r="AE46" i="59"/>
  <c r="AG45" i="59"/>
  <c r="AE45" i="59"/>
  <c r="AG44" i="59"/>
  <c r="AE44" i="59"/>
  <c r="AG43" i="59"/>
  <c r="AE43" i="59"/>
  <c r="AG38" i="59"/>
  <c r="AE38" i="59"/>
  <c r="AG37" i="59"/>
  <c r="AE37" i="59"/>
  <c r="AG36" i="59"/>
  <c r="AE36" i="59"/>
  <c r="AG34" i="59"/>
  <c r="AE34" i="59"/>
  <c r="AG33" i="59"/>
  <c r="AE33" i="59"/>
  <c r="AG32" i="59"/>
  <c r="AE32" i="59"/>
  <c r="AG31" i="59"/>
  <c r="AE31" i="59"/>
  <c r="AG29" i="59"/>
  <c r="AE29" i="59"/>
  <c r="AG28" i="59"/>
  <c r="AE28" i="59"/>
  <c r="AG27" i="59"/>
  <c r="AE27" i="59"/>
  <c r="AG26" i="59"/>
  <c r="AE26" i="59"/>
  <c r="U22" i="59"/>
  <c r="AG21" i="59"/>
  <c r="AE21" i="59"/>
  <c r="AG20" i="59"/>
  <c r="AE20" i="59"/>
  <c r="U19" i="59"/>
  <c r="AG19" i="59"/>
  <c r="AE19" i="59"/>
  <c r="AG17" i="59"/>
  <c r="AE17" i="59"/>
  <c r="AG16" i="59"/>
  <c r="AE16" i="59"/>
  <c r="AG15" i="59"/>
  <c r="AE15" i="59"/>
  <c r="AG14" i="59"/>
  <c r="AE14" i="59"/>
  <c r="AG12" i="59"/>
  <c r="AE12" i="59"/>
  <c r="AG11" i="59"/>
  <c r="AE11" i="59"/>
  <c r="AG10" i="59"/>
  <c r="AE10" i="59"/>
  <c r="AG9" i="59"/>
  <c r="AE9" i="59"/>
  <c r="E152" i="58"/>
  <c r="W43" i="58" s="1"/>
  <c r="E146" i="58"/>
  <c r="W42" i="58" s="1"/>
  <c r="E144" i="58"/>
  <c r="U42" i="58" s="1"/>
  <c r="E142" i="58"/>
  <c r="W41" i="58" s="1"/>
  <c r="E140" i="58"/>
  <c r="G140" i="58" s="1"/>
  <c r="E138" i="58"/>
  <c r="W40" i="58" s="1"/>
  <c r="E136" i="58"/>
  <c r="U40" i="58" s="1"/>
  <c r="E134" i="58"/>
  <c r="W39" i="58" s="1"/>
  <c r="E132" i="58"/>
  <c r="U39" i="58" s="1"/>
  <c r="E130" i="58"/>
  <c r="W38" i="58" s="1"/>
  <c r="E128" i="58"/>
  <c r="U38" i="58" s="1"/>
  <c r="E126" i="58"/>
  <c r="G126" i="58" s="1"/>
  <c r="E124" i="58"/>
  <c r="G124" i="58" s="1"/>
  <c r="E117" i="58"/>
  <c r="U36" i="58" s="1"/>
  <c r="E115" i="58"/>
  <c r="W35" i="58" s="1"/>
  <c r="E109" i="58"/>
  <c r="W34" i="58" s="1"/>
  <c r="E107" i="58"/>
  <c r="U34" i="58" s="1"/>
  <c r="E105" i="58"/>
  <c r="W33" i="58" s="1"/>
  <c r="E103" i="58"/>
  <c r="U33" i="58" s="1"/>
  <c r="E101" i="58"/>
  <c r="W32" i="58" s="1"/>
  <c r="E99" i="58"/>
  <c r="U32" i="58" s="1"/>
  <c r="E97" i="58"/>
  <c r="W31" i="58" s="1"/>
  <c r="E95" i="58"/>
  <c r="U31" i="58" s="1"/>
  <c r="E93" i="58"/>
  <c r="W30" i="58" s="1"/>
  <c r="E91" i="58"/>
  <c r="U30" i="58" s="1"/>
  <c r="E89" i="58"/>
  <c r="W29" i="58" s="1"/>
  <c r="E87" i="58"/>
  <c r="G87" i="58" s="1"/>
  <c r="E80" i="58"/>
  <c r="U28" i="58" s="1"/>
  <c r="E77" i="58"/>
  <c r="W27" i="58" s="1"/>
  <c r="E71" i="58"/>
  <c r="W26" i="58" s="1"/>
  <c r="E69" i="58"/>
  <c r="U26" i="58" s="1"/>
  <c r="E67" i="58"/>
  <c r="W25" i="58" s="1"/>
  <c r="E65" i="58"/>
  <c r="U25" i="58" s="1"/>
  <c r="E63" i="58"/>
  <c r="W24" i="58" s="1"/>
  <c r="E61" i="58"/>
  <c r="U24" i="58" s="1"/>
  <c r="E59" i="58"/>
  <c r="W23" i="58" s="1"/>
  <c r="E57" i="58"/>
  <c r="U23" i="58" s="1"/>
  <c r="E55" i="58"/>
  <c r="W22" i="58" s="1"/>
  <c r="E53" i="58"/>
  <c r="U22" i="58" s="1"/>
  <c r="E51" i="58"/>
  <c r="W21" i="58" s="1"/>
  <c r="E49" i="58"/>
  <c r="U21" i="58" s="1"/>
  <c r="E42" i="58"/>
  <c r="U20" i="58" s="1"/>
  <c r="E40" i="58"/>
  <c r="W19" i="58" s="1"/>
  <c r="E38" i="58"/>
  <c r="U19" i="58" s="1"/>
  <c r="E150" i="58"/>
  <c r="W11" i="58" s="1"/>
  <c r="E148" i="58"/>
  <c r="U11" i="58" s="1"/>
  <c r="E122" i="58"/>
  <c r="W10" i="58" s="1"/>
  <c r="E120" i="58"/>
  <c r="U10" i="58" s="1"/>
  <c r="E113" i="58"/>
  <c r="W9" i="58" s="1"/>
  <c r="E111" i="58"/>
  <c r="U9" i="58" s="1"/>
  <c r="E85" i="58"/>
  <c r="W8" i="58" s="1"/>
  <c r="E83" i="58"/>
  <c r="U8" i="58" s="1"/>
  <c r="E75" i="58"/>
  <c r="W7" i="58" s="1"/>
  <c r="E73" i="58"/>
  <c r="U7" i="58" s="1"/>
  <c r="E47" i="58"/>
  <c r="W6" i="58" s="1"/>
  <c r="E45" i="58"/>
  <c r="U6" i="58" s="1"/>
  <c r="E151" i="58"/>
  <c r="E149" i="58"/>
  <c r="E147" i="58"/>
  <c r="E145" i="58"/>
  <c r="E143" i="58"/>
  <c r="E141" i="58"/>
  <c r="E139" i="58"/>
  <c r="E137" i="58"/>
  <c r="E135" i="58"/>
  <c r="E133" i="58"/>
  <c r="E131" i="58"/>
  <c r="E129" i="58"/>
  <c r="E127" i="58"/>
  <c r="E125" i="58"/>
  <c r="E123" i="58"/>
  <c r="E121" i="58"/>
  <c r="E119" i="58"/>
  <c r="E118" i="58"/>
  <c r="E116" i="58"/>
  <c r="E114" i="58"/>
  <c r="E112" i="58"/>
  <c r="E110" i="58"/>
  <c r="E108" i="58"/>
  <c r="E106" i="58"/>
  <c r="E104" i="58"/>
  <c r="E102" i="58"/>
  <c r="E100" i="58"/>
  <c r="E98" i="58"/>
  <c r="E96" i="58"/>
  <c r="E94" i="58"/>
  <c r="E92" i="58"/>
  <c r="E90" i="58"/>
  <c r="E88" i="58"/>
  <c r="E86" i="58"/>
  <c r="E84" i="58"/>
  <c r="E82" i="58"/>
  <c r="E81" i="58"/>
  <c r="E79" i="58"/>
  <c r="E78" i="58"/>
  <c r="E76" i="58"/>
  <c r="E74" i="58"/>
  <c r="E72" i="58"/>
  <c r="E70" i="58"/>
  <c r="E68" i="58"/>
  <c r="E66" i="58"/>
  <c r="E64" i="58"/>
  <c r="E62" i="58"/>
  <c r="E60" i="58"/>
  <c r="E58" i="58"/>
  <c r="E56" i="58"/>
  <c r="E54" i="58"/>
  <c r="E52" i="58"/>
  <c r="E50" i="58"/>
  <c r="E48" i="58"/>
  <c r="E46" i="58"/>
  <c r="E44" i="58"/>
  <c r="E43" i="58"/>
  <c r="E41" i="58"/>
  <c r="E39" i="58"/>
  <c r="E37" i="58"/>
  <c r="E36" i="58"/>
  <c r="W18" i="58" s="1"/>
  <c r="E35" i="58"/>
  <c r="E34" i="58"/>
  <c r="U18" i="58" s="1"/>
  <c r="E33" i="58"/>
  <c r="E32" i="58"/>
  <c r="W17" i="58" s="1"/>
  <c r="E31" i="58"/>
  <c r="E30" i="58"/>
  <c r="U17" i="58" s="1"/>
  <c r="E29" i="58"/>
  <c r="E28" i="58"/>
  <c r="W16" i="58" s="1"/>
  <c r="E27" i="58"/>
  <c r="E26" i="58"/>
  <c r="U16" i="58" s="1"/>
  <c r="E25" i="58"/>
  <c r="E24" i="58"/>
  <c r="G24" i="58" s="1"/>
  <c r="E23" i="58"/>
  <c r="E22" i="58"/>
  <c r="U15" i="58" s="1"/>
  <c r="E21" i="58"/>
  <c r="E20" i="58"/>
  <c r="G20" i="58" s="1"/>
  <c r="E19" i="58"/>
  <c r="E18" i="58"/>
  <c r="U14" i="58" s="1"/>
  <c r="E17" i="58"/>
  <c r="E16" i="58"/>
  <c r="W13" i="58" s="1"/>
  <c r="E15" i="58"/>
  <c r="E14" i="58"/>
  <c r="U13" i="58" s="1"/>
  <c r="E13" i="58"/>
  <c r="E12" i="58"/>
  <c r="W5" i="58" s="1"/>
  <c r="E11" i="58"/>
  <c r="E10" i="58"/>
  <c r="U5" i="58" s="1"/>
  <c r="E7" i="58"/>
  <c r="U12" i="58" s="1"/>
  <c r="AG55" i="58"/>
  <c r="AE55" i="58"/>
  <c r="AG54" i="58"/>
  <c r="AE54" i="58"/>
  <c r="AG53" i="58"/>
  <c r="AE53" i="58"/>
  <c r="AG51" i="58"/>
  <c r="AE51" i="58"/>
  <c r="AG50" i="58"/>
  <c r="AE50" i="58"/>
  <c r="AG49" i="58"/>
  <c r="AE49" i="58"/>
  <c r="AG48" i="58"/>
  <c r="AE48" i="58"/>
  <c r="AG46" i="58"/>
  <c r="AE46" i="58"/>
  <c r="AG45" i="58"/>
  <c r="AE45" i="58"/>
  <c r="AG44" i="58"/>
  <c r="AE44" i="58"/>
  <c r="AG43" i="58"/>
  <c r="AE43" i="58"/>
  <c r="AG38" i="58"/>
  <c r="AE38" i="58"/>
  <c r="AG37" i="58"/>
  <c r="AE37" i="58"/>
  <c r="AG36" i="58"/>
  <c r="AE36" i="58"/>
  <c r="AG34" i="58"/>
  <c r="AE34" i="58"/>
  <c r="AG33" i="58"/>
  <c r="AE33" i="58"/>
  <c r="AG32" i="58"/>
  <c r="AE32" i="58"/>
  <c r="AG31" i="58"/>
  <c r="AE31" i="58"/>
  <c r="AG29" i="58"/>
  <c r="AE29" i="58"/>
  <c r="AG28" i="58"/>
  <c r="AE28" i="58"/>
  <c r="AG27" i="58"/>
  <c r="AE27" i="58"/>
  <c r="AG26" i="58"/>
  <c r="AE26" i="58"/>
  <c r="AG21" i="58"/>
  <c r="AE21" i="58"/>
  <c r="AG20" i="58"/>
  <c r="AE20" i="58"/>
  <c r="AG19" i="58"/>
  <c r="AE19" i="58"/>
  <c r="AG17" i="58"/>
  <c r="AE17" i="58"/>
  <c r="AG16" i="58"/>
  <c r="AE16" i="58"/>
  <c r="AG15" i="58"/>
  <c r="AE15" i="58"/>
  <c r="AG14" i="58"/>
  <c r="AE14" i="58"/>
  <c r="AG12" i="58"/>
  <c r="AE12" i="58"/>
  <c r="AG11" i="58"/>
  <c r="AE11" i="58"/>
  <c r="AG10" i="58"/>
  <c r="AE10" i="58"/>
  <c r="AG9" i="58"/>
  <c r="AE9" i="58"/>
  <c r="E154" i="57"/>
  <c r="W44" i="57" s="1"/>
  <c r="E148" i="57"/>
  <c r="W43" i="57" s="1"/>
  <c r="E146" i="57"/>
  <c r="U43" i="57" s="1"/>
  <c r="E144" i="57"/>
  <c r="W42" i="57" s="1"/>
  <c r="E142" i="57"/>
  <c r="U42" i="57" s="1"/>
  <c r="E140" i="57"/>
  <c r="W41" i="57" s="1"/>
  <c r="E152" i="57"/>
  <c r="W12" i="57" s="1"/>
  <c r="E150" i="57"/>
  <c r="U12" i="57" s="1"/>
  <c r="E153" i="57"/>
  <c r="E151" i="57"/>
  <c r="E149" i="57"/>
  <c r="E147" i="57"/>
  <c r="E145" i="57"/>
  <c r="E143" i="57"/>
  <c r="E141" i="57"/>
  <c r="E139" i="57"/>
  <c r="E138" i="57"/>
  <c r="U41" i="57" s="1"/>
  <c r="E137" i="57"/>
  <c r="E136" i="57"/>
  <c r="W40" i="57" s="1"/>
  <c r="E135" i="57"/>
  <c r="E134" i="57"/>
  <c r="U40" i="57" s="1"/>
  <c r="E133" i="57"/>
  <c r="E132" i="57"/>
  <c r="W39" i="57" s="1"/>
  <c r="E131" i="57"/>
  <c r="E130" i="57"/>
  <c r="U39" i="57" s="1"/>
  <c r="E129" i="57"/>
  <c r="E128" i="57"/>
  <c r="W38" i="57" s="1"/>
  <c r="E127" i="57"/>
  <c r="E126" i="57"/>
  <c r="U38" i="57" s="1"/>
  <c r="E125" i="57"/>
  <c r="E124" i="57"/>
  <c r="W11" i="57" s="1"/>
  <c r="E123" i="57"/>
  <c r="E122" i="57"/>
  <c r="U11" i="57" s="1"/>
  <c r="E121" i="57"/>
  <c r="E120" i="57"/>
  <c r="E119" i="57"/>
  <c r="G119" i="57" s="1"/>
  <c r="E118" i="57"/>
  <c r="E117" i="57"/>
  <c r="W36" i="57" s="1"/>
  <c r="E116" i="57"/>
  <c r="E115" i="57"/>
  <c r="W10" i="57" s="1"/>
  <c r="E114" i="57"/>
  <c r="E113" i="57"/>
  <c r="U10" i="57" s="1"/>
  <c r="E112" i="57"/>
  <c r="E111" i="57"/>
  <c r="G111" i="57" s="1"/>
  <c r="E110" i="57"/>
  <c r="E109" i="57"/>
  <c r="U35" i="57" s="1"/>
  <c r="E108" i="57"/>
  <c r="E107" i="57"/>
  <c r="G107" i="57" s="1"/>
  <c r="E106" i="57"/>
  <c r="E105" i="57"/>
  <c r="U34" i="57" s="1"/>
  <c r="E104" i="57"/>
  <c r="E103" i="57"/>
  <c r="G103" i="57" s="1"/>
  <c r="E102" i="57"/>
  <c r="E101" i="57"/>
  <c r="G101" i="57" s="1"/>
  <c r="E100" i="57"/>
  <c r="E99" i="57"/>
  <c r="G99" i="57" s="1"/>
  <c r="E98" i="57"/>
  <c r="E97" i="57"/>
  <c r="G97" i="57" s="1"/>
  <c r="E96" i="57"/>
  <c r="E95" i="57"/>
  <c r="W31" i="57" s="1"/>
  <c r="E94" i="57"/>
  <c r="E93" i="57"/>
  <c r="G93" i="57" s="1"/>
  <c r="E92" i="57"/>
  <c r="E91" i="57"/>
  <c r="G91" i="57" s="1"/>
  <c r="E90" i="57"/>
  <c r="E89" i="57"/>
  <c r="G89" i="57" s="1"/>
  <c r="E88" i="57"/>
  <c r="E87" i="57"/>
  <c r="W9" i="57" s="1"/>
  <c r="E86" i="57"/>
  <c r="E85" i="57"/>
  <c r="U9" i="57" s="1"/>
  <c r="E84" i="57"/>
  <c r="E83" i="57"/>
  <c r="E82" i="57"/>
  <c r="U29" i="57" s="1"/>
  <c r="E81" i="57"/>
  <c r="E80" i="57"/>
  <c r="E79" i="57"/>
  <c r="W28" i="57" s="1"/>
  <c r="E78" i="57"/>
  <c r="E77" i="57"/>
  <c r="W8" i="57" s="1"/>
  <c r="E76" i="57"/>
  <c r="E75" i="57"/>
  <c r="U8" i="57" s="1"/>
  <c r="E74" i="57"/>
  <c r="E73" i="57"/>
  <c r="W27" i="57" s="1"/>
  <c r="E72" i="57"/>
  <c r="E71" i="57"/>
  <c r="G71" i="57" s="1"/>
  <c r="E70" i="57"/>
  <c r="E69" i="57"/>
  <c r="W26" i="57" s="1"/>
  <c r="E68" i="57"/>
  <c r="E67" i="57"/>
  <c r="G67" i="57" s="1"/>
  <c r="E66" i="57"/>
  <c r="E65" i="57"/>
  <c r="W25" i="57" s="1"/>
  <c r="E64" i="57"/>
  <c r="E63" i="57"/>
  <c r="U25" i="57" s="1"/>
  <c r="E62" i="57"/>
  <c r="E61" i="57"/>
  <c r="W24" i="57" s="1"/>
  <c r="E60" i="57"/>
  <c r="E59" i="57"/>
  <c r="U24" i="57" s="1"/>
  <c r="E58" i="57"/>
  <c r="E57" i="57"/>
  <c r="W23" i="57" s="1"/>
  <c r="E56" i="57"/>
  <c r="E55" i="57"/>
  <c r="G55" i="57" s="1"/>
  <c r="E54" i="57"/>
  <c r="E53" i="57"/>
  <c r="W22" i="57" s="1"/>
  <c r="E52" i="57"/>
  <c r="E51" i="57"/>
  <c r="U22" i="57" s="1"/>
  <c r="E50" i="57"/>
  <c r="E49" i="57"/>
  <c r="W7" i="57" s="1"/>
  <c r="E48" i="57"/>
  <c r="E47" i="57"/>
  <c r="U7" i="57" s="1"/>
  <c r="E46" i="57"/>
  <c r="E45" i="57"/>
  <c r="E44" i="57"/>
  <c r="G44" i="57" s="1"/>
  <c r="E43" i="57"/>
  <c r="E42" i="57"/>
  <c r="W20" i="57" s="1"/>
  <c r="E41" i="57"/>
  <c r="E40" i="57"/>
  <c r="W6" i="57" s="1"/>
  <c r="E39" i="57"/>
  <c r="E38" i="57"/>
  <c r="U6" i="57" s="1"/>
  <c r="E37" i="57"/>
  <c r="E36" i="57"/>
  <c r="W19" i="57" s="1"/>
  <c r="E35" i="57"/>
  <c r="E34" i="57"/>
  <c r="U19" i="57" s="1"/>
  <c r="E33" i="57"/>
  <c r="E32" i="57"/>
  <c r="W18" i="57" s="1"/>
  <c r="E31" i="57"/>
  <c r="E30" i="57"/>
  <c r="G30" i="57" s="1"/>
  <c r="E29" i="57"/>
  <c r="E28" i="57"/>
  <c r="W17" i="57" s="1"/>
  <c r="E27" i="57"/>
  <c r="E26" i="57"/>
  <c r="U17" i="57" s="1"/>
  <c r="E25" i="57"/>
  <c r="E24" i="57"/>
  <c r="W16" i="57" s="1"/>
  <c r="E23" i="57"/>
  <c r="E22" i="57"/>
  <c r="G22" i="57" s="1"/>
  <c r="E21" i="57"/>
  <c r="E20" i="57"/>
  <c r="W15" i="57" s="1"/>
  <c r="E19" i="57"/>
  <c r="E18" i="57"/>
  <c r="U15" i="57" s="1"/>
  <c r="E17" i="57"/>
  <c r="E16" i="57"/>
  <c r="W14" i="57" s="1"/>
  <c r="E15" i="57"/>
  <c r="E14" i="57"/>
  <c r="G14" i="57" s="1"/>
  <c r="E13" i="57"/>
  <c r="E12" i="57"/>
  <c r="W5" i="57" s="1"/>
  <c r="E11" i="57"/>
  <c r="E10" i="57"/>
  <c r="U5" i="57" s="1"/>
  <c r="E7" i="57"/>
  <c r="U13" i="57" s="1"/>
  <c r="AG55" i="57"/>
  <c r="AE55" i="57"/>
  <c r="AG54" i="57"/>
  <c r="AE54" i="57"/>
  <c r="AG53" i="57"/>
  <c r="AE53" i="57"/>
  <c r="AG51" i="57"/>
  <c r="AE51" i="57"/>
  <c r="AG50" i="57"/>
  <c r="AE50" i="57"/>
  <c r="AG49" i="57"/>
  <c r="AE49" i="57"/>
  <c r="AG48" i="57"/>
  <c r="AE48" i="57"/>
  <c r="AG46" i="57"/>
  <c r="AE46" i="57"/>
  <c r="AG45" i="57"/>
  <c r="AE45" i="57"/>
  <c r="AG44" i="57"/>
  <c r="AE44" i="57"/>
  <c r="AG43" i="57"/>
  <c r="AE43" i="57"/>
  <c r="AG38" i="57"/>
  <c r="AE38" i="57"/>
  <c r="AG37" i="57"/>
  <c r="AE37" i="57"/>
  <c r="AG36" i="57"/>
  <c r="AE36" i="57"/>
  <c r="AG34" i="57"/>
  <c r="AE34" i="57"/>
  <c r="U33" i="57"/>
  <c r="AG33" i="57"/>
  <c r="AE33" i="57"/>
  <c r="AG32" i="57"/>
  <c r="AE32" i="57"/>
  <c r="AG31" i="57"/>
  <c r="AE31" i="57"/>
  <c r="AG29" i="57"/>
  <c r="AE29" i="57"/>
  <c r="AG28" i="57"/>
  <c r="AE28" i="57"/>
  <c r="AG27" i="57"/>
  <c r="AE27" i="57"/>
  <c r="AG26" i="57"/>
  <c r="AE26" i="57"/>
  <c r="AG21" i="57"/>
  <c r="AE21" i="57"/>
  <c r="AG20" i="57"/>
  <c r="AE20" i="57"/>
  <c r="AG19" i="57"/>
  <c r="AE19" i="57"/>
  <c r="AG17" i="57"/>
  <c r="AE17" i="57"/>
  <c r="AG16" i="57"/>
  <c r="AE16" i="57"/>
  <c r="AG15" i="57"/>
  <c r="AE15" i="57"/>
  <c r="AG14" i="57"/>
  <c r="AE14" i="57"/>
  <c r="AG12" i="57"/>
  <c r="AE12" i="57"/>
  <c r="AG11" i="57"/>
  <c r="AE11" i="57"/>
  <c r="AG10" i="57"/>
  <c r="AE10" i="57"/>
  <c r="AG9" i="57"/>
  <c r="AE9" i="57"/>
  <c r="E157" i="56"/>
  <c r="W45" i="56" s="1"/>
  <c r="E151" i="56"/>
  <c r="W44" i="56" s="1"/>
  <c r="E149" i="56"/>
  <c r="U44" i="56" s="1"/>
  <c r="E147" i="56"/>
  <c r="W43" i="56" s="1"/>
  <c r="E145" i="56"/>
  <c r="U43" i="56" s="1"/>
  <c r="E138" i="56"/>
  <c r="U42" i="56" s="1"/>
  <c r="E136" i="56"/>
  <c r="W41" i="56" s="1"/>
  <c r="E134" i="56"/>
  <c r="U41" i="56" s="1"/>
  <c r="E132" i="56"/>
  <c r="W40" i="56" s="1"/>
  <c r="E130" i="56"/>
  <c r="U40" i="56" s="1"/>
  <c r="E128" i="56"/>
  <c r="W39" i="56" s="1"/>
  <c r="E126" i="56"/>
  <c r="U39" i="56" s="1"/>
  <c r="E119" i="56"/>
  <c r="G119" i="56" s="1"/>
  <c r="E117" i="56"/>
  <c r="W37" i="56" s="1"/>
  <c r="E111" i="56"/>
  <c r="W36" i="56" s="1"/>
  <c r="E109" i="56"/>
  <c r="U36" i="56" s="1"/>
  <c r="E107" i="56"/>
  <c r="W35" i="56" s="1"/>
  <c r="E105" i="56"/>
  <c r="U35" i="56"/>
  <c r="E103" i="56"/>
  <c r="W34" i="56" s="1"/>
  <c r="E101" i="56"/>
  <c r="U34" i="56" s="1"/>
  <c r="E99" i="56"/>
  <c r="W33" i="56" s="1"/>
  <c r="E97" i="56"/>
  <c r="U33" i="56" s="1"/>
  <c r="E95" i="56"/>
  <c r="W32" i="56" s="1"/>
  <c r="E93" i="56"/>
  <c r="U32" i="56" s="1"/>
  <c r="E91" i="56"/>
  <c r="W31" i="56" s="1"/>
  <c r="E89" i="56"/>
  <c r="G89" i="56" s="1"/>
  <c r="E82" i="56"/>
  <c r="U30" i="56" s="1"/>
  <c r="E79" i="56"/>
  <c r="W29" i="56" s="1"/>
  <c r="E73" i="56"/>
  <c r="W28" i="56" s="1"/>
  <c r="E71" i="56"/>
  <c r="U28" i="56" s="1"/>
  <c r="E69" i="56"/>
  <c r="W27" i="56" s="1"/>
  <c r="E67" i="56"/>
  <c r="U27" i="56" s="1"/>
  <c r="E65" i="56"/>
  <c r="G65" i="56" s="1"/>
  <c r="E63" i="56"/>
  <c r="U26" i="56" s="1"/>
  <c r="E61" i="56"/>
  <c r="G61" i="56" s="1"/>
  <c r="E59" i="56"/>
  <c r="U25" i="56" s="1"/>
  <c r="E57" i="56"/>
  <c r="W24" i="56" s="1"/>
  <c r="E55" i="56"/>
  <c r="U24" i="56" s="1"/>
  <c r="E53" i="56"/>
  <c r="W23" i="56" s="1"/>
  <c r="E51" i="56"/>
  <c r="U23" i="56" s="1"/>
  <c r="E44" i="56"/>
  <c r="G44" i="56" s="1"/>
  <c r="E42" i="56"/>
  <c r="W21" i="56" s="1"/>
  <c r="E36" i="56"/>
  <c r="W20" i="56" s="1"/>
  <c r="E34" i="56"/>
  <c r="U20" i="56" s="1"/>
  <c r="E32" i="56"/>
  <c r="W19" i="56" s="1"/>
  <c r="E30" i="56"/>
  <c r="U19" i="56" s="1"/>
  <c r="E28" i="56"/>
  <c r="W18" i="56" s="1"/>
  <c r="E26" i="56"/>
  <c r="U18" i="56" s="1"/>
  <c r="E24" i="56"/>
  <c r="W17" i="56" s="1"/>
  <c r="E22" i="56"/>
  <c r="U17" i="56" s="1"/>
  <c r="E20" i="56"/>
  <c r="W16" i="56" s="1"/>
  <c r="E18" i="56"/>
  <c r="U16" i="56" s="1"/>
  <c r="E16" i="56"/>
  <c r="G16" i="56" s="1"/>
  <c r="E14" i="56"/>
  <c r="U15" i="56" s="1"/>
  <c r="E7" i="56"/>
  <c r="U14" i="56" s="1"/>
  <c r="E155" i="56"/>
  <c r="W13" i="56" s="1"/>
  <c r="E153" i="56"/>
  <c r="U13" i="56" s="1"/>
  <c r="E143" i="56"/>
  <c r="W12" i="56" s="1"/>
  <c r="E141" i="56"/>
  <c r="U12" i="56" s="1"/>
  <c r="E124" i="56"/>
  <c r="W11" i="56" s="1"/>
  <c r="E122" i="56"/>
  <c r="U11" i="56" s="1"/>
  <c r="E115" i="56"/>
  <c r="W10" i="56" s="1"/>
  <c r="E113" i="56"/>
  <c r="U10" i="56" s="1"/>
  <c r="E87" i="56"/>
  <c r="W9" i="56" s="1"/>
  <c r="E85" i="56"/>
  <c r="U9" i="56" s="1"/>
  <c r="E77" i="56"/>
  <c r="W8" i="56" s="1"/>
  <c r="E75" i="56"/>
  <c r="U8" i="56" s="1"/>
  <c r="E49" i="56"/>
  <c r="W7" i="56" s="1"/>
  <c r="E47" i="56"/>
  <c r="U7" i="56" s="1"/>
  <c r="E40" i="56"/>
  <c r="W6" i="56" s="1"/>
  <c r="E38" i="56"/>
  <c r="U6" i="56" s="1"/>
  <c r="E12" i="56"/>
  <c r="W5" i="56" s="1"/>
  <c r="E10" i="56"/>
  <c r="U5" i="56" s="1"/>
  <c r="E156" i="56"/>
  <c r="E154" i="56"/>
  <c r="E152" i="56"/>
  <c r="E150" i="56"/>
  <c r="E148" i="56"/>
  <c r="E146" i="56"/>
  <c r="E144" i="56"/>
  <c r="E142" i="56"/>
  <c r="E140" i="56"/>
  <c r="E139" i="56"/>
  <c r="E137" i="56"/>
  <c r="E135" i="56"/>
  <c r="E133" i="56"/>
  <c r="E131" i="56"/>
  <c r="E129" i="56"/>
  <c r="E127" i="56"/>
  <c r="E125" i="56"/>
  <c r="E123" i="56"/>
  <c r="E121" i="56"/>
  <c r="E120" i="56"/>
  <c r="E118" i="56"/>
  <c r="E116" i="56"/>
  <c r="E114" i="56"/>
  <c r="E112" i="56"/>
  <c r="E110" i="56"/>
  <c r="E108" i="56"/>
  <c r="E106" i="56"/>
  <c r="E104" i="56"/>
  <c r="E102" i="56"/>
  <c r="E100" i="56"/>
  <c r="E98" i="56"/>
  <c r="E96" i="56"/>
  <c r="E94" i="56"/>
  <c r="E92" i="56"/>
  <c r="E90" i="56"/>
  <c r="E88" i="56"/>
  <c r="E86" i="56"/>
  <c r="E84" i="56"/>
  <c r="E83" i="56"/>
  <c r="E81" i="56"/>
  <c r="E80" i="56"/>
  <c r="E78" i="56"/>
  <c r="E76" i="56"/>
  <c r="E74" i="56"/>
  <c r="E72" i="56"/>
  <c r="E70" i="56"/>
  <c r="E68" i="56"/>
  <c r="E66" i="56"/>
  <c r="E64" i="56"/>
  <c r="E62" i="56"/>
  <c r="E60" i="56"/>
  <c r="E58" i="56"/>
  <c r="E56" i="56"/>
  <c r="E54" i="56"/>
  <c r="E52" i="56"/>
  <c r="E50" i="56"/>
  <c r="E48" i="56"/>
  <c r="E46" i="56"/>
  <c r="E45" i="56"/>
  <c r="E43" i="56"/>
  <c r="E41" i="56"/>
  <c r="E39" i="56"/>
  <c r="E37" i="56"/>
  <c r="E35" i="56"/>
  <c r="E33" i="56"/>
  <c r="E31" i="56"/>
  <c r="E29" i="56"/>
  <c r="E27" i="56"/>
  <c r="E25" i="56"/>
  <c r="E23" i="56"/>
  <c r="E21" i="56"/>
  <c r="E19" i="56"/>
  <c r="E17" i="56"/>
  <c r="E15" i="56"/>
  <c r="E13" i="56"/>
  <c r="E11" i="56"/>
  <c r="E9" i="56"/>
  <c r="E8" i="56"/>
  <c r="AG55" i="56"/>
  <c r="AE55" i="56"/>
  <c r="AG54" i="56"/>
  <c r="AE54" i="56"/>
  <c r="AG53" i="56"/>
  <c r="AE53" i="56"/>
  <c r="AG51" i="56"/>
  <c r="AE51" i="56"/>
  <c r="AG50" i="56"/>
  <c r="AE50" i="56"/>
  <c r="AG49" i="56"/>
  <c r="AE49" i="56"/>
  <c r="AG48" i="56"/>
  <c r="AE48" i="56"/>
  <c r="AG46" i="56"/>
  <c r="AE46" i="56"/>
  <c r="AG45" i="56"/>
  <c r="AE45" i="56"/>
  <c r="AG44" i="56"/>
  <c r="AE44" i="56"/>
  <c r="AG43" i="56"/>
  <c r="AE43" i="56"/>
  <c r="AG38" i="56"/>
  <c r="AE38" i="56"/>
  <c r="AG37" i="56"/>
  <c r="AE37" i="56"/>
  <c r="AG36" i="56"/>
  <c r="AE36" i="56"/>
  <c r="AG34" i="56"/>
  <c r="AE34" i="56"/>
  <c r="AG33" i="56"/>
  <c r="AE33" i="56"/>
  <c r="AG32" i="56"/>
  <c r="AE32" i="56"/>
  <c r="AG31" i="56"/>
  <c r="AE31" i="56"/>
  <c r="AG29" i="56"/>
  <c r="AE29" i="56"/>
  <c r="AG28" i="56"/>
  <c r="AE28" i="56"/>
  <c r="AG27" i="56"/>
  <c r="AE27" i="56"/>
  <c r="AG26" i="56"/>
  <c r="AE26" i="56"/>
  <c r="AG21" i="56"/>
  <c r="AE21" i="56"/>
  <c r="AG20" i="56"/>
  <c r="AE20" i="56"/>
  <c r="AG19" i="56"/>
  <c r="AE19" i="56"/>
  <c r="AG17" i="56"/>
  <c r="AE17" i="56"/>
  <c r="AG16" i="56"/>
  <c r="AE16" i="56"/>
  <c r="AG15" i="56"/>
  <c r="AE15" i="56"/>
  <c r="AG14" i="56"/>
  <c r="AE14" i="56"/>
  <c r="AG12" i="56"/>
  <c r="AE12" i="56"/>
  <c r="AG11" i="56"/>
  <c r="AE11" i="56"/>
  <c r="AG10" i="56"/>
  <c r="AE10" i="56"/>
  <c r="AG9" i="56"/>
  <c r="AE9" i="56"/>
  <c r="W46" i="55"/>
  <c r="W45" i="55"/>
  <c r="U45" i="55"/>
  <c r="W44" i="55"/>
  <c r="U44" i="55"/>
  <c r="U43" i="55"/>
  <c r="W42" i="55"/>
  <c r="U42" i="55"/>
  <c r="W41" i="55"/>
  <c r="U41" i="55"/>
  <c r="W40" i="55"/>
  <c r="U40" i="55"/>
  <c r="U39" i="55"/>
  <c r="W38" i="55"/>
  <c r="W37" i="55"/>
  <c r="W36" i="55"/>
  <c r="U36" i="55"/>
  <c r="U35" i="55"/>
  <c r="W34" i="55"/>
  <c r="U33" i="55"/>
  <c r="U29" i="55"/>
  <c r="U28" i="55"/>
  <c r="W26" i="55"/>
  <c r="W25" i="55"/>
  <c r="W24" i="55"/>
  <c r="U23" i="55"/>
  <c r="W21" i="55"/>
  <c r="W20" i="55"/>
  <c r="W19" i="55"/>
  <c r="W18" i="55"/>
  <c r="W17" i="55"/>
  <c r="W16" i="55"/>
  <c r="U15" i="55"/>
  <c r="W14" i="55"/>
  <c r="U14" i="55"/>
  <c r="W13" i="55"/>
  <c r="U13" i="55"/>
  <c r="W12" i="55"/>
  <c r="U12" i="55"/>
  <c r="W11" i="55"/>
  <c r="U11" i="55"/>
  <c r="U10" i="55"/>
  <c r="U9" i="55"/>
  <c r="U8" i="55"/>
  <c r="W7" i="55"/>
  <c r="U7" i="55"/>
  <c r="W6" i="55"/>
  <c r="W5" i="55"/>
  <c r="U5" i="55"/>
  <c r="AG55" i="55"/>
  <c r="AE55" i="55"/>
  <c r="AG54" i="55"/>
  <c r="AE54" i="55"/>
  <c r="AG53" i="55"/>
  <c r="AE53" i="55"/>
  <c r="AG51" i="55"/>
  <c r="AE51" i="55"/>
  <c r="AG50" i="55"/>
  <c r="AE50" i="55"/>
  <c r="AG49" i="55"/>
  <c r="AE49" i="55"/>
  <c r="AG48" i="55"/>
  <c r="AE48" i="55"/>
  <c r="AG46" i="55"/>
  <c r="AE46" i="55"/>
  <c r="AG45" i="55"/>
  <c r="AE45" i="55"/>
  <c r="AG44" i="55"/>
  <c r="AE44" i="55"/>
  <c r="AG43" i="55"/>
  <c r="AE43" i="55"/>
  <c r="AG38" i="55"/>
  <c r="AE38" i="55"/>
  <c r="AG37" i="55"/>
  <c r="AE37" i="55"/>
  <c r="AG36" i="55"/>
  <c r="AE36" i="55"/>
  <c r="AG34" i="55"/>
  <c r="AE34" i="55"/>
  <c r="AG33" i="55"/>
  <c r="AE33" i="55"/>
  <c r="AG32" i="55"/>
  <c r="AE32" i="55"/>
  <c r="AG31" i="55"/>
  <c r="AE31" i="55"/>
  <c r="AG29" i="55"/>
  <c r="AE29" i="55"/>
  <c r="AG28" i="55"/>
  <c r="AE28" i="55"/>
  <c r="AG27" i="55"/>
  <c r="AE27" i="55"/>
  <c r="AG26" i="55"/>
  <c r="AE26" i="55"/>
  <c r="AG21" i="55"/>
  <c r="AE21" i="55"/>
  <c r="AG20" i="55"/>
  <c r="AE20" i="55"/>
  <c r="AG19" i="55"/>
  <c r="AE19" i="55"/>
  <c r="AG17" i="55"/>
  <c r="AE17" i="55"/>
  <c r="AG16" i="55"/>
  <c r="AE16" i="55"/>
  <c r="AG15" i="55"/>
  <c r="AE15" i="55"/>
  <c r="AG14" i="55"/>
  <c r="AE14" i="55"/>
  <c r="AG12" i="55"/>
  <c r="AE12" i="55"/>
  <c r="AG11" i="55"/>
  <c r="AE11" i="55"/>
  <c r="AG10" i="55"/>
  <c r="AE10" i="55"/>
  <c r="AG9" i="55"/>
  <c r="AE9" i="55"/>
  <c r="E163" i="54"/>
  <c r="W47" i="54" s="1"/>
  <c r="E157" i="54"/>
  <c r="W46" i="54" s="1"/>
  <c r="E155" i="54"/>
  <c r="U46" i="54" s="1"/>
  <c r="E153" i="54"/>
  <c r="W45" i="54" s="1"/>
  <c r="E151" i="54"/>
  <c r="U45" i="54" s="1"/>
  <c r="E144" i="54"/>
  <c r="U44" i="54" s="1"/>
  <c r="E142" i="54"/>
  <c r="W43" i="54" s="1"/>
  <c r="E140" i="54"/>
  <c r="U43" i="54" s="1"/>
  <c r="E138" i="54"/>
  <c r="W42" i="54" s="1"/>
  <c r="E136" i="54"/>
  <c r="U42" i="54" s="1"/>
  <c r="E134" i="54"/>
  <c r="W41" i="54" s="1"/>
  <c r="E132" i="54"/>
  <c r="U41" i="54" s="1"/>
  <c r="E125" i="54"/>
  <c r="U40" i="54" s="1"/>
  <c r="E123" i="54"/>
  <c r="W39" i="54" s="1"/>
  <c r="E117" i="54"/>
  <c r="W38" i="54" s="1"/>
  <c r="E115" i="54"/>
  <c r="U38" i="54" s="1"/>
  <c r="E113" i="54"/>
  <c r="W37" i="54" s="1"/>
  <c r="E111" i="54"/>
  <c r="U37" i="54" s="1"/>
  <c r="E104" i="54"/>
  <c r="U36" i="54" s="1"/>
  <c r="E102" i="54"/>
  <c r="W35" i="54" s="1"/>
  <c r="E100" i="54"/>
  <c r="U35" i="54" s="1"/>
  <c r="E98" i="54"/>
  <c r="W34" i="54" s="1"/>
  <c r="E96" i="54"/>
  <c r="U34" i="54" s="1"/>
  <c r="E94" i="54"/>
  <c r="G94" i="54" s="1"/>
  <c r="E92" i="54"/>
  <c r="U33" i="54" s="1"/>
  <c r="E85" i="54"/>
  <c r="U32" i="54" s="1"/>
  <c r="E82" i="54"/>
  <c r="W31" i="54" s="1"/>
  <c r="E76" i="54"/>
  <c r="W30" i="54" s="1"/>
  <c r="E74" i="54"/>
  <c r="U30" i="54" s="1"/>
  <c r="E72" i="54"/>
  <c r="W29" i="54" s="1"/>
  <c r="E70" i="54"/>
  <c r="U29" i="54" s="1"/>
  <c r="E63" i="54"/>
  <c r="U28" i="54" s="1"/>
  <c r="E61" i="54"/>
  <c r="W27" i="54" s="1"/>
  <c r="E59" i="54"/>
  <c r="U27" i="54" s="1"/>
  <c r="E57" i="54"/>
  <c r="W26" i="54" s="1"/>
  <c r="E55" i="54"/>
  <c r="U26" i="54" s="1"/>
  <c r="E53" i="54"/>
  <c r="W25" i="54" s="1"/>
  <c r="E51" i="54"/>
  <c r="U25" i="54" s="1"/>
  <c r="E44" i="54"/>
  <c r="U24" i="54" s="1"/>
  <c r="E42" i="54"/>
  <c r="G42" i="54" s="1"/>
  <c r="E36" i="54"/>
  <c r="W22" i="54" s="1"/>
  <c r="E34" i="54"/>
  <c r="U22" i="54" s="1"/>
  <c r="E32" i="54"/>
  <c r="W21" i="54" s="1"/>
  <c r="E30" i="54"/>
  <c r="U21" i="54" s="1"/>
  <c r="E28" i="54"/>
  <c r="W20" i="54" s="1"/>
  <c r="E26" i="54"/>
  <c r="U20" i="54" s="1"/>
  <c r="E24" i="54"/>
  <c r="W19" i="54" s="1"/>
  <c r="E22" i="54"/>
  <c r="U19" i="54" s="1"/>
  <c r="E20" i="54"/>
  <c r="W18" i="54" s="1"/>
  <c r="E18" i="54"/>
  <c r="U18" i="54" s="1"/>
  <c r="E16" i="54"/>
  <c r="W17" i="54" s="1"/>
  <c r="E14" i="54"/>
  <c r="U17" i="54" s="1"/>
  <c r="E7" i="54"/>
  <c r="U16" i="54" s="1"/>
  <c r="E161" i="54"/>
  <c r="W15" i="54" s="1"/>
  <c r="E159" i="54"/>
  <c r="U15" i="54" s="1"/>
  <c r="E149" i="54"/>
  <c r="W14" i="54" s="1"/>
  <c r="E147" i="54"/>
  <c r="U14" i="54" s="1"/>
  <c r="E130" i="54"/>
  <c r="W13" i="54" s="1"/>
  <c r="E128" i="54"/>
  <c r="U13" i="54" s="1"/>
  <c r="E121" i="54"/>
  <c r="W12" i="54" s="1"/>
  <c r="E119" i="54"/>
  <c r="U12" i="54" s="1"/>
  <c r="E109" i="54"/>
  <c r="W11" i="54" s="1"/>
  <c r="E107" i="54"/>
  <c r="U11" i="54" s="1"/>
  <c r="E90" i="54"/>
  <c r="W10" i="54" s="1"/>
  <c r="E88" i="54"/>
  <c r="U10" i="54" s="1"/>
  <c r="E80" i="54"/>
  <c r="W9" i="54" s="1"/>
  <c r="E78" i="54"/>
  <c r="U9" i="54" s="1"/>
  <c r="E68" i="54"/>
  <c r="W8" i="54" s="1"/>
  <c r="E66" i="54"/>
  <c r="U8" i="54" s="1"/>
  <c r="E49" i="54"/>
  <c r="W7" i="54" s="1"/>
  <c r="E47" i="54"/>
  <c r="U7" i="54" s="1"/>
  <c r="E40" i="54"/>
  <c r="W6" i="54" s="1"/>
  <c r="E38" i="54"/>
  <c r="U6" i="54" s="1"/>
  <c r="E162" i="54"/>
  <c r="E160" i="54"/>
  <c r="E158" i="54"/>
  <c r="E156" i="54"/>
  <c r="E154" i="54"/>
  <c r="E152" i="54"/>
  <c r="E150" i="54"/>
  <c r="E148" i="54"/>
  <c r="E146" i="54"/>
  <c r="E145" i="54"/>
  <c r="E143" i="54"/>
  <c r="E141" i="54"/>
  <c r="E139" i="54"/>
  <c r="E137" i="54"/>
  <c r="E135" i="54"/>
  <c r="E133" i="54"/>
  <c r="E131" i="54"/>
  <c r="E129" i="54"/>
  <c r="E127" i="54"/>
  <c r="E126" i="54"/>
  <c r="E124" i="54"/>
  <c r="E122" i="54"/>
  <c r="E120" i="54"/>
  <c r="E118" i="54"/>
  <c r="E116" i="54"/>
  <c r="E114" i="54"/>
  <c r="E112" i="54"/>
  <c r="E110" i="54"/>
  <c r="E108" i="54"/>
  <c r="E106" i="54"/>
  <c r="E105" i="54"/>
  <c r="E103" i="54"/>
  <c r="E101" i="54"/>
  <c r="E99" i="54"/>
  <c r="E97" i="54"/>
  <c r="E95" i="54"/>
  <c r="E93" i="54"/>
  <c r="E91" i="54"/>
  <c r="E89" i="54"/>
  <c r="E87" i="54"/>
  <c r="E86" i="54"/>
  <c r="E84" i="54"/>
  <c r="E83" i="54"/>
  <c r="E81" i="54"/>
  <c r="E79" i="54"/>
  <c r="E77" i="54"/>
  <c r="E75" i="54"/>
  <c r="E73" i="54"/>
  <c r="E71" i="54"/>
  <c r="E69" i="54"/>
  <c r="E67" i="54"/>
  <c r="E65" i="54"/>
  <c r="E64" i="54"/>
  <c r="E62" i="54"/>
  <c r="E60" i="54"/>
  <c r="E58" i="54"/>
  <c r="E56" i="54"/>
  <c r="E54" i="54"/>
  <c r="E52" i="54"/>
  <c r="E50" i="54"/>
  <c r="E48" i="54"/>
  <c r="E46" i="54"/>
  <c r="E45" i="54"/>
  <c r="E43" i="54"/>
  <c r="E41" i="54"/>
  <c r="E39" i="54"/>
  <c r="E37" i="54"/>
  <c r="E35" i="54"/>
  <c r="E33" i="54"/>
  <c r="E31" i="54"/>
  <c r="E29" i="54"/>
  <c r="E27" i="54"/>
  <c r="E25" i="54"/>
  <c r="E23" i="54"/>
  <c r="E21" i="54"/>
  <c r="E19" i="54"/>
  <c r="E17" i="54"/>
  <c r="E15" i="54"/>
  <c r="E13" i="54"/>
  <c r="E12" i="54"/>
  <c r="W5" i="54" s="1"/>
  <c r="E11" i="54"/>
  <c r="E10" i="54"/>
  <c r="U5" i="54" s="1"/>
  <c r="E9" i="54"/>
  <c r="E8" i="54"/>
  <c r="AG55" i="54"/>
  <c r="AE55" i="54"/>
  <c r="AG54" i="54"/>
  <c r="AE54" i="54"/>
  <c r="AG53" i="54"/>
  <c r="AE53" i="54"/>
  <c r="AG51" i="54"/>
  <c r="AE51" i="54"/>
  <c r="AG50" i="54"/>
  <c r="AE50" i="54"/>
  <c r="AG49" i="54"/>
  <c r="AE49" i="54"/>
  <c r="AG48" i="54"/>
  <c r="AE48" i="54"/>
  <c r="AG46" i="54"/>
  <c r="AE46" i="54"/>
  <c r="AG45" i="54"/>
  <c r="AE45" i="54"/>
  <c r="AG44" i="54"/>
  <c r="AE44" i="54"/>
  <c r="AG43" i="54"/>
  <c r="AE43" i="54"/>
  <c r="AG38" i="54"/>
  <c r="AE38" i="54"/>
  <c r="AG37" i="54"/>
  <c r="AE37" i="54"/>
  <c r="AG36" i="54"/>
  <c r="AE36" i="54"/>
  <c r="AG34" i="54"/>
  <c r="AE34" i="54"/>
  <c r="AG33" i="54"/>
  <c r="AE33" i="54"/>
  <c r="AG32" i="54"/>
  <c r="AE32" i="54"/>
  <c r="AG31" i="54"/>
  <c r="AE31" i="54"/>
  <c r="AG29" i="54"/>
  <c r="AE29" i="54"/>
  <c r="AG28" i="54"/>
  <c r="AE28" i="54"/>
  <c r="AG27" i="54"/>
  <c r="AE27" i="54"/>
  <c r="AG26" i="54"/>
  <c r="AE26" i="54"/>
  <c r="AG21" i="54"/>
  <c r="AE21" i="54"/>
  <c r="AG20" i="54"/>
  <c r="AE20" i="54"/>
  <c r="AG19" i="54"/>
  <c r="AE19" i="54"/>
  <c r="AG17" i="54"/>
  <c r="AE17" i="54"/>
  <c r="AG16" i="54"/>
  <c r="AE16" i="54"/>
  <c r="AG15" i="54"/>
  <c r="AE15" i="54"/>
  <c r="AG14" i="54"/>
  <c r="AE14" i="54"/>
  <c r="AG12" i="54"/>
  <c r="AE12" i="54"/>
  <c r="AG11" i="54"/>
  <c r="AE11" i="54"/>
  <c r="AG10" i="54"/>
  <c r="AE10" i="54"/>
  <c r="AG9" i="54"/>
  <c r="AE9" i="54"/>
  <c r="E166" i="52"/>
  <c r="W48" i="52" s="1"/>
  <c r="E160" i="52"/>
  <c r="W47" i="52" s="1"/>
  <c r="E158" i="52"/>
  <c r="U47" i="52" s="1"/>
  <c r="E156" i="52"/>
  <c r="G156" i="52" s="1"/>
  <c r="E154" i="52"/>
  <c r="U46" i="52" s="1"/>
  <c r="E147" i="52"/>
  <c r="U45" i="52" s="1"/>
  <c r="E145" i="52"/>
  <c r="W44" i="52" s="1"/>
  <c r="E143" i="52"/>
  <c r="U44" i="52" s="1"/>
  <c r="E141" i="52"/>
  <c r="W43" i="52" s="1"/>
  <c r="E139" i="52"/>
  <c r="U43" i="52" s="1"/>
  <c r="E137" i="52"/>
  <c r="W42" i="52" s="1"/>
  <c r="E135" i="52"/>
  <c r="U42" i="52" s="1"/>
  <c r="E128" i="52"/>
  <c r="U41" i="52" s="1"/>
  <c r="E126" i="52"/>
  <c r="W40" i="52" s="1"/>
  <c r="E120" i="52"/>
  <c r="W39" i="52" s="1"/>
  <c r="E118" i="52"/>
  <c r="U39" i="52" s="1"/>
  <c r="E116" i="52"/>
  <c r="W38" i="52" s="1"/>
  <c r="E114" i="52"/>
  <c r="U38" i="52" s="1"/>
  <c r="E107" i="52"/>
  <c r="U37" i="52" s="1"/>
  <c r="E105" i="52"/>
  <c r="W36" i="52" s="1"/>
  <c r="E103" i="52"/>
  <c r="U36" i="52" s="1"/>
  <c r="E101" i="52"/>
  <c r="W35" i="52" s="1"/>
  <c r="E99" i="52"/>
  <c r="U35" i="52" s="1"/>
  <c r="E97" i="52"/>
  <c r="W34" i="52" s="1"/>
  <c r="E95" i="52"/>
  <c r="U34" i="52" s="1"/>
  <c r="E88" i="52"/>
  <c r="U33" i="52" s="1"/>
  <c r="E85" i="52"/>
  <c r="W32" i="52" s="1"/>
  <c r="E79" i="52"/>
  <c r="W31" i="52" s="1"/>
  <c r="E77" i="52"/>
  <c r="U31" i="52" s="1"/>
  <c r="E75" i="52"/>
  <c r="W30" i="52" s="1"/>
  <c r="E73" i="52"/>
  <c r="U30" i="52" s="1"/>
  <c r="E66" i="52"/>
  <c r="U29" i="52" s="1"/>
  <c r="E64" i="52"/>
  <c r="W28" i="52" s="1"/>
  <c r="E62" i="52"/>
  <c r="U28" i="52" s="1"/>
  <c r="E60" i="52"/>
  <c r="W27" i="52" s="1"/>
  <c r="E58" i="52"/>
  <c r="U27" i="52" s="1"/>
  <c r="E56" i="52"/>
  <c r="W26" i="52" s="1"/>
  <c r="E54" i="52"/>
  <c r="U26" i="52" s="1"/>
  <c r="E47" i="52"/>
  <c r="U25" i="52" s="1"/>
  <c r="E45" i="52"/>
  <c r="W24" i="52" s="1"/>
  <c r="E39" i="52"/>
  <c r="W23" i="52" s="1"/>
  <c r="E37" i="52"/>
  <c r="U23" i="52" s="1"/>
  <c r="E35" i="52"/>
  <c r="W22" i="52" s="1"/>
  <c r="E33" i="52"/>
  <c r="U22" i="52" s="1"/>
  <c r="E26" i="52"/>
  <c r="U21" i="52" s="1"/>
  <c r="E24" i="52"/>
  <c r="W20" i="52" s="1"/>
  <c r="E22" i="52"/>
  <c r="U20" i="52" s="1"/>
  <c r="E20" i="52"/>
  <c r="W19" i="52" s="1"/>
  <c r="E18" i="52"/>
  <c r="U19" i="52" s="1"/>
  <c r="E16" i="52"/>
  <c r="W18" i="52" s="1"/>
  <c r="E14" i="52"/>
  <c r="U18" i="52" s="1"/>
  <c r="E7" i="52"/>
  <c r="U17" i="52" s="1"/>
  <c r="E164" i="52"/>
  <c r="W16" i="52" s="1"/>
  <c r="E162" i="52"/>
  <c r="U16" i="52" s="1"/>
  <c r="E152" i="52"/>
  <c r="W15" i="52" s="1"/>
  <c r="E150" i="52"/>
  <c r="U15" i="52" s="1"/>
  <c r="E133" i="52"/>
  <c r="W14" i="52" s="1"/>
  <c r="E131" i="52"/>
  <c r="U14" i="52" s="1"/>
  <c r="E124" i="52"/>
  <c r="W13" i="52" s="1"/>
  <c r="E122" i="52"/>
  <c r="U13" i="52" s="1"/>
  <c r="E112" i="52"/>
  <c r="W12" i="52" s="1"/>
  <c r="E110" i="52"/>
  <c r="U12" i="52" s="1"/>
  <c r="E93" i="52"/>
  <c r="W11" i="52" s="1"/>
  <c r="E91" i="52"/>
  <c r="U11" i="52" s="1"/>
  <c r="E83" i="52"/>
  <c r="W10" i="52" s="1"/>
  <c r="E81" i="52"/>
  <c r="U10" i="52" s="1"/>
  <c r="E71" i="52"/>
  <c r="W9" i="52" s="1"/>
  <c r="E69" i="52"/>
  <c r="U9" i="52" s="1"/>
  <c r="E52" i="52"/>
  <c r="W8" i="52" s="1"/>
  <c r="E50" i="52"/>
  <c r="U8" i="52" s="1"/>
  <c r="E43" i="52"/>
  <c r="W7" i="52" s="1"/>
  <c r="E41" i="52"/>
  <c r="U7" i="52" s="1"/>
  <c r="E31" i="52"/>
  <c r="W6" i="52" s="1"/>
  <c r="E29" i="52"/>
  <c r="U6" i="52" s="1"/>
  <c r="E12" i="52"/>
  <c r="W5" i="52" s="1"/>
  <c r="E10" i="52"/>
  <c r="U5" i="52" s="1"/>
  <c r="E165" i="52"/>
  <c r="E163" i="52"/>
  <c r="E161" i="52"/>
  <c r="E159" i="52"/>
  <c r="E157" i="52"/>
  <c r="E155" i="52"/>
  <c r="E153" i="52"/>
  <c r="E151" i="52"/>
  <c r="E149" i="52"/>
  <c r="E148" i="52"/>
  <c r="E146" i="52"/>
  <c r="E144" i="52"/>
  <c r="E142" i="52"/>
  <c r="E140" i="52"/>
  <c r="E138" i="52"/>
  <c r="E136" i="52"/>
  <c r="E134" i="52"/>
  <c r="E132" i="52"/>
  <c r="E130" i="52"/>
  <c r="E129" i="52"/>
  <c r="E127" i="52"/>
  <c r="E125" i="52"/>
  <c r="E123" i="52"/>
  <c r="E121" i="52"/>
  <c r="E119" i="52"/>
  <c r="E117" i="52"/>
  <c r="E115" i="52"/>
  <c r="E113" i="52"/>
  <c r="E111" i="52"/>
  <c r="E109" i="52"/>
  <c r="E108" i="52"/>
  <c r="E106" i="52"/>
  <c r="E104" i="52"/>
  <c r="E102" i="52"/>
  <c r="E100" i="52"/>
  <c r="E98" i="52"/>
  <c r="E96" i="52"/>
  <c r="E94" i="52"/>
  <c r="E92" i="52"/>
  <c r="E90" i="52"/>
  <c r="E89" i="52"/>
  <c r="E87" i="52"/>
  <c r="E86" i="52"/>
  <c r="E84" i="52"/>
  <c r="E82" i="52"/>
  <c r="E80" i="52"/>
  <c r="E78" i="52"/>
  <c r="E76" i="52"/>
  <c r="E74" i="52"/>
  <c r="E72" i="52"/>
  <c r="E70" i="52"/>
  <c r="E68" i="52"/>
  <c r="E67" i="52"/>
  <c r="E65" i="52"/>
  <c r="E63" i="52"/>
  <c r="E61" i="52"/>
  <c r="E59" i="52"/>
  <c r="E57" i="52"/>
  <c r="E55" i="52"/>
  <c r="E53" i="52"/>
  <c r="E51" i="52"/>
  <c r="E49" i="52"/>
  <c r="E48" i="52"/>
  <c r="E46" i="52"/>
  <c r="E44" i="52"/>
  <c r="E42" i="52"/>
  <c r="E40" i="52"/>
  <c r="E38" i="52"/>
  <c r="E36" i="52"/>
  <c r="E34" i="52"/>
  <c r="E32" i="52"/>
  <c r="E30" i="52"/>
  <c r="E28" i="52"/>
  <c r="E27" i="52"/>
  <c r="E25" i="52"/>
  <c r="E23" i="52"/>
  <c r="E21" i="52"/>
  <c r="E19" i="52"/>
  <c r="E17" i="52"/>
  <c r="E15" i="52"/>
  <c r="E13" i="52"/>
  <c r="E11" i="52"/>
  <c r="E9" i="52"/>
  <c r="E8" i="52"/>
  <c r="AG55" i="52"/>
  <c r="AE55" i="52"/>
  <c r="AG54" i="52"/>
  <c r="AE54" i="52"/>
  <c r="AG53" i="52"/>
  <c r="AE53" i="52"/>
  <c r="AG51" i="52"/>
  <c r="AE51" i="52"/>
  <c r="AG50" i="52"/>
  <c r="AE50" i="52"/>
  <c r="AG49" i="52"/>
  <c r="AE49" i="52"/>
  <c r="AG48" i="52"/>
  <c r="AE48" i="52"/>
  <c r="AG46" i="52"/>
  <c r="AE46" i="52"/>
  <c r="AG45" i="52"/>
  <c r="AE45" i="52"/>
  <c r="AG44" i="52"/>
  <c r="AE44" i="52"/>
  <c r="AG43" i="52"/>
  <c r="AE43" i="52"/>
  <c r="AG38" i="52"/>
  <c r="AE38" i="52"/>
  <c r="AG37" i="52"/>
  <c r="AE37" i="52"/>
  <c r="AG36" i="52"/>
  <c r="AE36" i="52"/>
  <c r="AG34" i="52"/>
  <c r="AE34" i="52"/>
  <c r="AG33" i="52"/>
  <c r="AE33" i="52"/>
  <c r="AG32" i="52"/>
  <c r="AE32" i="52"/>
  <c r="AG31" i="52"/>
  <c r="AE31" i="52"/>
  <c r="AG29" i="52"/>
  <c r="AE29" i="52"/>
  <c r="AG28" i="52"/>
  <c r="AE28" i="52"/>
  <c r="AG27" i="52"/>
  <c r="AE27" i="52"/>
  <c r="AG26" i="52"/>
  <c r="AE26" i="52"/>
  <c r="AG21" i="52"/>
  <c r="AE21" i="52"/>
  <c r="AG20" i="52"/>
  <c r="AE20" i="52"/>
  <c r="AG19" i="52"/>
  <c r="AE19" i="52"/>
  <c r="AG17" i="52"/>
  <c r="AE17" i="52"/>
  <c r="AG16" i="52"/>
  <c r="AE16" i="52"/>
  <c r="AG15" i="52"/>
  <c r="AE15" i="52"/>
  <c r="AG14" i="52"/>
  <c r="AE14" i="52"/>
  <c r="AG12" i="52"/>
  <c r="AE12" i="52"/>
  <c r="AG11" i="52"/>
  <c r="AE11" i="52"/>
  <c r="AG10" i="52"/>
  <c r="AE10" i="52"/>
  <c r="AG9" i="52"/>
  <c r="AE9" i="52"/>
  <c r="AG55" i="51"/>
  <c r="AG54" i="51"/>
  <c r="AG53" i="51"/>
  <c r="AG51" i="51"/>
  <c r="AG50" i="51"/>
  <c r="AG49" i="51"/>
  <c r="AG48" i="51"/>
  <c r="AG46" i="51"/>
  <c r="AG45" i="51"/>
  <c r="AG44" i="51"/>
  <c r="AG43" i="51"/>
  <c r="AG38" i="51"/>
  <c r="AG37" i="51"/>
  <c r="AG36" i="51"/>
  <c r="AG34" i="51"/>
  <c r="AG33" i="51"/>
  <c r="AG32" i="51"/>
  <c r="AG31" i="51"/>
  <c r="AG29" i="51"/>
  <c r="AG28" i="51"/>
  <c r="AG27" i="51"/>
  <c r="AG26" i="51"/>
  <c r="AG21" i="51"/>
  <c r="AG20" i="51"/>
  <c r="AG19" i="51"/>
  <c r="AG17" i="51"/>
  <c r="AG16" i="51"/>
  <c r="AG15" i="51"/>
  <c r="AG14" i="51"/>
  <c r="AG12" i="51"/>
  <c r="AG11" i="51"/>
  <c r="AG10" i="51"/>
  <c r="AG9" i="51"/>
  <c r="AE55" i="51"/>
  <c r="AE54" i="51"/>
  <c r="AE53" i="51"/>
  <c r="AE51" i="51"/>
  <c r="AE50" i="51"/>
  <c r="AE49" i="51"/>
  <c r="AE48" i="51"/>
  <c r="AE46" i="51"/>
  <c r="AE45" i="51"/>
  <c r="AE44" i="51"/>
  <c r="AE43" i="51"/>
  <c r="AE38" i="51"/>
  <c r="AE37" i="51"/>
  <c r="AE36" i="51"/>
  <c r="AE34" i="51"/>
  <c r="AE33" i="51"/>
  <c r="AE32" i="51"/>
  <c r="AE31" i="51"/>
  <c r="AE29" i="51"/>
  <c r="AE28" i="51"/>
  <c r="AE27" i="51"/>
  <c r="AE26" i="51"/>
  <c r="AE21" i="51"/>
  <c r="AE20" i="51"/>
  <c r="AE19" i="51"/>
  <c r="AE17" i="51"/>
  <c r="AE16" i="51"/>
  <c r="AE15" i="51"/>
  <c r="AE14" i="51"/>
  <c r="AE12" i="51"/>
  <c r="AE11" i="51"/>
  <c r="AE10" i="51"/>
  <c r="AE9" i="51"/>
  <c r="E168" i="51"/>
  <c r="W49" i="51" s="1"/>
  <c r="E162" i="51"/>
  <c r="W48" i="51" s="1"/>
  <c r="E160" i="51"/>
  <c r="G160" i="51" s="1"/>
  <c r="E158" i="51"/>
  <c r="W47" i="51" s="1"/>
  <c r="E156" i="51"/>
  <c r="U47" i="51" s="1"/>
  <c r="E149" i="51"/>
  <c r="U46" i="51" s="1"/>
  <c r="E147" i="51"/>
  <c r="W45" i="51" s="1"/>
  <c r="E141" i="51"/>
  <c r="W44" i="51" s="1"/>
  <c r="E139" i="51"/>
  <c r="U44" i="51" s="1"/>
  <c r="E137" i="51"/>
  <c r="W43" i="51" s="1"/>
  <c r="E135" i="51"/>
  <c r="U43" i="51" s="1"/>
  <c r="E128" i="51"/>
  <c r="U42" i="51" s="1"/>
  <c r="E126" i="51"/>
  <c r="W41" i="51" s="1"/>
  <c r="E120" i="51"/>
  <c r="W40" i="51" s="1"/>
  <c r="E118" i="51"/>
  <c r="U40" i="51" s="1"/>
  <c r="E116" i="51"/>
  <c r="W39" i="51" s="1"/>
  <c r="E114" i="51"/>
  <c r="U39" i="51" s="1"/>
  <c r="E107" i="51"/>
  <c r="U38" i="51" s="1"/>
  <c r="E105" i="51"/>
  <c r="W37" i="51" s="1"/>
  <c r="E103" i="51"/>
  <c r="U37" i="51" s="1"/>
  <c r="E101" i="51"/>
  <c r="W36" i="51" s="1"/>
  <c r="E99" i="51"/>
  <c r="U36" i="51" s="1"/>
  <c r="E97" i="51"/>
  <c r="W35" i="51" s="1"/>
  <c r="E95" i="51"/>
  <c r="U35" i="51" s="1"/>
  <c r="E88" i="51"/>
  <c r="U34" i="51" s="1"/>
  <c r="E85" i="51"/>
  <c r="W33" i="51" s="1"/>
  <c r="E79" i="51"/>
  <c r="W32" i="51" s="1"/>
  <c r="E77" i="51"/>
  <c r="U32" i="51" s="1"/>
  <c r="E75" i="51"/>
  <c r="W31" i="51" s="1"/>
  <c r="E73" i="51"/>
  <c r="U31" i="51" s="1"/>
  <c r="E66" i="51"/>
  <c r="U30" i="51" s="1"/>
  <c r="E64" i="51"/>
  <c r="W29" i="51" s="1"/>
  <c r="E62" i="51"/>
  <c r="U29" i="51" s="1"/>
  <c r="E60" i="51"/>
  <c r="W28" i="51" s="1"/>
  <c r="E58" i="51"/>
  <c r="U28" i="51" s="1"/>
  <c r="E56" i="51"/>
  <c r="W27" i="51" s="1"/>
  <c r="E54" i="51"/>
  <c r="U27" i="51" s="1"/>
  <c r="E47" i="51"/>
  <c r="U26" i="51" s="1"/>
  <c r="E45" i="51"/>
  <c r="W25" i="51" s="1"/>
  <c r="E39" i="51"/>
  <c r="W24" i="51" s="1"/>
  <c r="E37" i="51"/>
  <c r="U24" i="51" s="1"/>
  <c r="E35" i="51"/>
  <c r="W23" i="51" s="1"/>
  <c r="E33" i="51"/>
  <c r="U23" i="51" s="1"/>
  <c r="E24" i="51"/>
  <c r="W21" i="51" s="1"/>
  <c r="E26" i="51"/>
  <c r="U22" i="51" s="1"/>
  <c r="E22" i="51"/>
  <c r="G22" i="51" s="1"/>
  <c r="E20" i="51"/>
  <c r="W20" i="51" s="1"/>
  <c r="E18" i="51"/>
  <c r="U20" i="51" s="1"/>
  <c r="E16" i="51"/>
  <c r="W19" i="51" s="1"/>
  <c r="E14" i="51"/>
  <c r="U19" i="51" s="1"/>
  <c r="E7" i="51"/>
  <c r="U18" i="51" s="1"/>
  <c r="E166" i="51"/>
  <c r="W17" i="51" s="1"/>
  <c r="E164" i="51"/>
  <c r="U17" i="51" s="1"/>
  <c r="E154" i="51"/>
  <c r="W16" i="51" s="1"/>
  <c r="E152" i="51"/>
  <c r="U16" i="51" s="1"/>
  <c r="E145" i="51"/>
  <c r="W15" i="51" s="1"/>
  <c r="E143" i="51"/>
  <c r="U15" i="51" s="1"/>
  <c r="E133" i="51"/>
  <c r="W14" i="51" s="1"/>
  <c r="E131" i="51"/>
  <c r="U14" i="51" s="1"/>
  <c r="E124" i="51"/>
  <c r="W13" i="51" s="1"/>
  <c r="E122" i="51"/>
  <c r="U13" i="51" s="1"/>
  <c r="E112" i="51"/>
  <c r="W12" i="51" s="1"/>
  <c r="E110" i="51"/>
  <c r="U12" i="51" s="1"/>
  <c r="E93" i="51"/>
  <c r="W11" i="51" s="1"/>
  <c r="E91" i="51"/>
  <c r="U11" i="51" s="1"/>
  <c r="E83" i="51"/>
  <c r="W10" i="51" s="1"/>
  <c r="E81" i="51"/>
  <c r="U10" i="51" s="1"/>
  <c r="E71" i="51"/>
  <c r="W9" i="51" s="1"/>
  <c r="E69" i="51"/>
  <c r="U9" i="51" s="1"/>
  <c r="E52" i="51"/>
  <c r="W8" i="51" s="1"/>
  <c r="E50" i="51"/>
  <c r="U8" i="51" s="1"/>
  <c r="E43" i="51"/>
  <c r="W7" i="51" s="1"/>
  <c r="E41" i="51"/>
  <c r="U7" i="51" s="1"/>
  <c r="E167" i="51"/>
  <c r="E165" i="51"/>
  <c r="E163" i="51"/>
  <c r="E161" i="51"/>
  <c r="E159" i="51"/>
  <c r="E157" i="51"/>
  <c r="E155" i="51"/>
  <c r="E153" i="51"/>
  <c r="E151" i="51"/>
  <c r="E150" i="51"/>
  <c r="E148" i="51"/>
  <c r="E146" i="51"/>
  <c r="E144" i="51"/>
  <c r="E142" i="51"/>
  <c r="E140" i="51"/>
  <c r="E138" i="51"/>
  <c r="E136" i="51"/>
  <c r="E134" i="51"/>
  <c r="E132" i="51"/>
  <c r="E130" i="51"/>
  <c r="E129" i="51"/>
  <c r="E127" i="51"/>
  <c r="E125" i="51"/>
  <c r="E123" i="51"/>
  <c r="E121" i="51"/>
  <c r="E119" i="51"/>
  <c r="E117" i="51"/>
  <c r="E115" i="51"/>
  <c r="E113" i="51"/>
  <c r="E111" i="51"/>
  <c r="E109" i="51"/>
  <c r="E108" i="51"/>
  <c r="E106" i="51"/>
  <c r="E104" i="51"/>
  <c r="E102" i="51"/>
  <c r="E100" i="51"/>
  <c r="E98" i="51"/>
  <c r="E96" i="51"/>
  <c r="E94" i="51"/>
  <c r="E92" i="51"/>
  <c r="E90" i="51"/>
  <c r="E89" i="51"/>
  <c r="E87" i="51"/>
  <c r="E86" i="51"/>
  <c r="E84" i="51"/>
  <c r="E82" i="51"/>
  <c r="E80" i="51"/>
  <c r="E78" i="51"/>
  <c r="E76" i="51"/>
  <c r="E74" i="51"/>
  <c r="E72" i="51"/>
  <c r="E70" i="51"/>
  <c r="E68" i="51"/>
  <c r="E67" i="51"/>
  <c r="E65" i="51"/>
  <c r="E63" i="51"/>
  <c r="E61" i="51"/>
  <c r="E59" i="51"/>
  <c r="E57" i="51"/>
  <c r="E55" i="51"/>
  <c r="E53" i="51"/>
  <c r="E51" i="51"/>
  <c r="E49" i="51"/>
  <c r="E48" i="51"/>
  <c r="E46" i="51"/>
  <c r="E44" i="51"/>
  <c r="E42" i="51"/>
  <c r="E40" i="51"/>
  <c r="E38" i="51"/>
  <c r="E36" i="51"/>
  <c r="E34" i="51"/>
  <c r="E32" i="51"/>
  <c r="E31" i="51"/>
  <c r="W6" i="51" s="1"/>
  <c r="E30" i="51"/>
  <c r="E29" i="51"/>
  <c r="U6" i="51" s="1"/>
  <c r="E28" i="51"/>
  <c r="E27" i="51"/>
  <c r="E25" i="51"/>
  <c r="E23" i="51"/>
  <c r="E21" i="51"/>
  <c r="E19" i="51"/>
  <c r="E17" i="51"/>
  <c r="E15" i="51"/>
  <c r="E13" i="51"/>
  <c r="E12" i="51"/>
  <c r="W5" i="51" s="1"/>
  <c r="E11" i="51"/>
  <c r="E10" i="51"/>
  <c r="U5" i="51" s="1"/>
  <c r="E9" i="51"/>
  <c r="E8" i="51"/>
  <c r="G131" i="67"/>
  <c r="I129" i="67"/>
  <c r="G127" i="67"/>
  <c r="K125" i="67"/>
  <c r="G123" i="67"/>
  <c r="I121" i="67"/>
  <c r="G119" i="67"/>
  <c r="M117" i="67"/>
  <c r="G115" i="67"/>
  <c r="I113" i="67"/>
  <c r="G111" i="67"/>
  <c r="K109" i="67"/>
  <c r="G107" i="67"/>
  <c r="I105" i="67"/>
  <c r="G103" i="67"/>
  <c r="O101" i="67"/>
  <c r="G99" i="67"/>
  <c r="I97" i="67"/>
  <c r="G95" i="67"/>
  <c r="K93" i="67"/>
  <c r="G91" i="67"/>
  <c r="I89" i="67"/>
  <c r="G87" i="67"/>
  <c r="M85" i="67"/>
  <c r="G83" i="67"/>
  <c r="I81" i="67"/>
  <c r="G79" i="67"/>
  <c r="K77" i="67"/>
  <c r="G75" i="67"/>
  <c r="I73" i="67"/>
  <c r="G71" i="67"/>
  <c r="G7" i="67"/>
  <c r="I9" i="67"/>
  <c r="G11" i="67"/>
  <c r="K13" i="67"/>
  <c r="G15" i="67"/>
  <c r="I17" i="67"/>
  <c r="G19" i="67"/>
  <c r="M21" i="67"/>
  <c r="G23" i="67"/>
  <c r="I25" i="67"/>
  <c r="G27" i="67"/>
  <c r="K29" i="67"/>
  <c r="G31" i="67"/>
  <c r="I33" i="67"/>
  <c r="G35" i="67"/>
  <c r="O37" i="67"/>
  <c r="G39" i="67"/>
  <c r="I41" i="67"/>
  <c r="G43" i="67"/>
  <c r="K45" i="67"/>
  <c r="G47" i="67"/>
  <c r="I49" i="67"/>
  <c r="G51" i="67"/>
  <c r="M53" i="67"/>
  <c r="G55" i="67"/>
  <c r="I57" i="67"/>
  <c r="G59" i="67"/>
  <c r="K61" i="67"/>
  <c r="G63" i="67"/>
  <c r="I65" i="67"/>
  <c r="G67" i="67"/>
  <c r="G132" i="66"/>
  <c r="I130" i="66"/>
  <c r="G128" i="66"/>
  <c r="K126" i="66"/>
  <c r="G124" i="66"/>
  <c r="I122" i="66"/>
  <c r="G120" i="66"/>
  <c r="M118" i="66"/>
  <c r="G116" i="66"/>
  <c r="I114" i="66"/>
  <c r="G112" i="66"/>
  <c r="K110" i="66"/>
  <c r="G108" i="66"/>
  <c r="I106" i="66"/>
  <c r="G104" i="66"/>
  <c r="O102" i="66"/>
  <c r="G100" i="66"/>
  <c r="I98" i="66"/>
  <c r="G96" i="66"/>
  <c r="K94" i="66"/>
  <c r="G92" i="66"/>
  <c r="I90" i="66"/>
  <c r="G88" i="66"/>
  <c r="M86" i="66"/>
  <c r="G84" i="66"/>
  <c r="I82" i="66"/>
  <c r="G80" i="66"/>
  <c r="K78" i="66"/>
  <c r="G76" i="66"/>
  <c r="I74" i="66"/>
  <c r="G72" i="66"/>
  <c r="G7" i="66"/>
  <c r="I9" i="66"/>
  <c r="G11" i="66"/>
  <c r="K13" i="66"/>
  <c r="G15" i="66"/>
  <c r="I17" i="66"/>
  <c r="G19" i="66"/>
  <c r="M21" i="66"/>
  <c r="G23" i="66"/>
  <c r="I25" i="66"/>
  <c r="G27" i="66"/>
  <c r="K29" i="66"/>
  <c r="G31" i="66"/>
  <c r="I33" i="66"/>
  <c r="G35" i="66"/>
  <c r="O37" i="66"/>
  <c r="G39" i="66"/>
  <c r="I41" i="66"/>
  <c r="G43" i="66"/>
  <c r="K45" i="66"/>
  <c r="G47" i="66"/>
  <c r="I49" i="66"/>
  <c r="G51" i="66"/>
  <c r="M53" i="66"/>
  <c r="G55" i="66"/>
  <c r="I57" i="66"/>
  <c r="G59" i="66"/>
  <c r="K61" i="66"/>
  <c r="G63" i="66"/>
  <c r="I65" i="66"/>
  <c r="G67" i="66"/>
  <c r="G133" i="65"/>
  <c r="I131" i="65"/>
  <c r="G129" i="65"/>
  <c r="K127" i="65"/>
  <c r="G125" i="65"/>
  <c r="I123" i="65"/>
  <c r="G121" i="65"/>
  <c r="M119" i="65"/>
  <c r="G117" i="65"/>
  <c r="I115" i="65"/>
  <c r="G113" i="65"/>
  <c r="K111" i="65"/>
  <c r="G109" i="65"/>
  <c r="I107" i="65"/>
  <c r="G105" i="65"/>
  <c r="O103" i="65"/>
  <c r="G101" i="65"/>
  <c r="I99" i="65"/>
  <c r="G97" i="65"/>
  <c r="K95" i="65"/>
  <c r="G93" i="65"/>
  <c r="I91" i="65"/>
  <c r="G89" i="65"/>
  <c r="M87" i="65"/>
  <c r="G85" i="65"/>
  <c r="I83" i="65"/>
  <c r="G81" i="65"/>
  <c r="K79" i="65"/>
  <c r="G77" i="65"/>
  <c r="I75" i="65"/>
  <c r="G73" i="65"/>
  <c r="G8" i="65"/>
  <c r="I10" i="65"/>
  <c r="G12" i="65"/>
  <c r="K14" i="65"/>
  <c r="G16" i="65"/>
  <c r="I18" i="65"/>
  <c r="G20" i="65"/>
  <c r="M22" i="65"/>
  <c r="G24" i="65"/>
  <c r="I26" i="65"/>
  <c r="G28" i="65"/>
  <c r="K30" i="65"/>
  <c r="G32" i="65"/>
  <c r="I34" i="65"/>
  <c r="G36" i="65"/>
  <c r="O38" i="65"/>
  <c r="G40" i="65"/>
  <c r="I42" i="65"/>
  <c r="G44" i="65"/>
  <c r="K46" i="65"/>
  <c r="G48" i="65"/>
  <c r="I50" i="65"/>
  <c r="G52" i="65"/>
  <c r="M54" i="65"/>
  <c r="G56" i="65"/>
  <c r="I58" i="65"/>
  <c r="G60" i="65"/>
  <c r="K62" i="65"/>
  <c r="G64" i="65"/>
  <c r="I66" i="65"/>
  <c r="G68" i="65"/>
  <c r="I136" i="64"/>
  <c r="K134" i="64"/>
  <c r="I132" i="64"/>
  <c r="M130" i="64"/>
  <c r="I128" i="64"/>
  <c r="K126" i="64"/>
  <c r="I124" i="64"/>
  <c r="O122" i="64"/>
  <c r="I120" i="64"/>
  <c r="K118" i="64"/>
  <c r="I116" i="64"/>
  <c r="M114" i="64"/>
  <c r="I112" i="64"/>
  <c r="K109" i="64"/>
  <c r="I106" i="64"/>
  <c r="Q103" i="64"/>
  <c r="I101" i="64"/>
  <c r="K99" i="64"/>
  <c r="I97" i="64"/>
  <c r="M95" i="64"/>
  <c r="I93" i="64"/>
  <c r="K91" i="64"/>
  <c r="I89" i="64"/>
  <c r="O87" i="64"/>
  <c r="I85" i="64"/>
  <c r="K83" i="64"/>
  <c r="I81" i="64"/>
  <c r="M79" i="64"/>
  <c r="I77" i="64"/>
  <c r="K75" i="64"/>
  <c r="I73" i="64"/>
  <c r="I8" i="64"/>
  <c r="K10" i="64"/>
  <c r="I12" i="64"/>
  <c r="M14" i="64"/>
  <c r="I16" i="64"/>
  <c r="K18" i="64"/>
  <c r="I20" i="64"/>
  <c r="O22" i="64"/>
  <c r="I24" i="64"/>
  <c r="K26" i="64"/>
  <c r="I28" i="64"/>
  <c r="M30" i="64"/>
  <c r="I32" i="64"/>
  <c r="K34" i="64"/>
  <c r="I36" i="64"/>
  <c r="Q38" i="64"/>
  <c r="I40" i="64"/>
  <c r="K42" i="64"/>
  <c r="I44" i="64"/>
  <c r="M46" i="64"/>
  <c r="I48" i="64"/>
  <c r="K50" i="64"/>
  <c r="I52" i="64"/>
  <c r="O54" i="64"/>
  <c r="I56" i="64"/>
  <c r="K58" i="64"/>
  <c r="I60" i="64"/>
  <c r="M62" i="64"/>
  <c r="I64" i="64"/>
  <c r="K66" i="64"/>
  <c r="I68" i="64"/>
  <c r="G140" i="63"/>
  <c r="I139" i="63"/>
  <c r="G138" i="63"/>
  <c r="K137" i="63"/>
  <c r="G136" i="63"/>
  <c r="I135" i="63"/>
  <c r="G134" i="63"/>
  <c r="M133" i="63"/>
  <c r="G132" i="63"/>
  <c r="I131" i="63"/>
  <c r="G130" i="63"/>
  <c r="K129" i="63"/>
  <c r="G128" i="63"/>
  <c r="I127" i="63"/>
  <c r="G126" i="63"/>
  <c r="O125" i="63"/>
  <c r="G124" i="63"/>
  <c r="I123" i="63"/>
  <c r="G122" i="63"/>
  <c r="K121" i="63"/>
  <c r="G120" i="63"/>
  <c r="I119" i="63"/>
  <c r="G118" i="63"/>
  <c r="M117" i="63"/>
  <c r="G116" i="63"/>
  <c r="I115" i="63"/>
  <c r="G114" i="63"/>
  <c r="K112" i="63"/>
  <c r="G111" i="63"/>
  <c r="I109" i="63"/>
  <c r="G107" i="63"/>
  <c r="Q106" i="63"/>
  <c r="G105" i="63"/>
  <c r="I104" i="63"/>
  <c r="G103" i="63"/>
  <c r="K102" i="63"/>
  <c r="G101" i="63"/>
  <c r="I100" i="63"/>
  <c r="G99" i="63"/>
  <c r="M98" i="63"/>
  <c r="G97" i="63"/>
  <c r="I96" i="63"/>
  <c r="G95" i="63"/>
  <c r="K94" i="63"/>
  <c r="G93" i="63"/>
  <c r="I92" i="63"/>
  <c r="G91" i="63"/>
  <c r="O90" i="63"/>
  <c r="G89" i="63"/>
  <c r="I88" i="63"/>
  <c r="G87" i="63"/>
  <c r="K86" i="63"/>
  <c r="G85" i="63"/>
  <c r="I84" i="63"/>
  <c r="G83" i="63"/>
  <c r="M82" i="63"/>
  <c r="G81" i="63"/>
  <c r="I80" i="63"/>
  <c r="G79" i="63"/>
  <c r="K78" i="63"/>
  <c r="G77" i="63"/>
  <c r="I76" i="63"/>
  <c r="G75" i="63"/>
  <c r="G7" i="63"/>
  <c r="I8" i="63"/>
  <c r="K10" i="63"/>
  <c r="G11" i="63"/>
  <c r="I12" i="63"/>
  <c r="G13" i="63"/>
  <c r="M14" i="63"/>
  <c r="G15" i="63"/>
  <c r="I16" i="63"/>
  <c r="G17" i="63"/>
  <c r="K18" i="63"/>
  <c r="G19" i="63"/>
  <c r="I20" i="63"/>
  <c r="G21" i="63"/>
  <c r="O22" i="63"/>
  <c r="G23" i="63"/>
  <c r="I24" i="63"/>
  <c r="G25" i="63"/>
  <c r="K26" i="63"/>
  <c r="G27" i="63"/>
  <c r="I28" i="63"/>
  <c r="G29" i="63"/>
  <c r="M30" i="63"/>
  <c r="G31" i="63"/>
  <c r="I32" i="63"/>
  <c r="G33" i="63"/>
  <c r="K34" i="63"/>
  <c r="G35" i="63"/>
  <c r="I36" i="63"/>
  <c r="G37" i="63"/>
  <c r="Q38" i="63"/>
  <c r="G39" i="63"/>
  <c r="I41" i="63"/>
  <c r="G43" i="63"/>
  <c r="K44" i="63"/>
  <c r="G46" i="63"/>
  <c r="I47" i="63"/>
  <c r="M49" i="63"/>
  <c r="G50" i="63"/>
  <c r="I51" i="63"/>
  <c r="G52" i="63"/>
  <c r="K53" i="63"/>
  <c r="G54" i="63"/>
  <c r="I55" i="63"/>
  <c r="G56" i="63"/>
  <c r="O57" i="63"/>
  <c r="G58" i="63"/>
  <c r="I59" i="63"/>
  <c r="G60" i="63"/>
  <c r="K61" i="63"/>
  <c r="G62" i="63"/>
  <c r="I63" i="63"/>
  <c r="G64" i="63"/>
  <c r="M65" i="63"/>
  <c r="G66" i="63"/>
  <c r="I67" i="63"/>
  <c r="G68" i="63"/>
  <c r="K69" i="63"/>
  <c r="G70" i="63"/>
  <c r="I71" i="63"/>
  <c r="G72" i="63"/>
  <c r="G143" i="62"/>
  <c r="I142" i="62"/>
  <c r="G141" i="62"/>
  <c r="K140" i="62"/>
  <c r="G139" i="62"/>
  <c r="I138" i="62"/>
  <c r="G137" i="62"/>
  <c r="M136" i="62"/>
  <c r="G135" i="62"/>
  <c r="I134" i="62"/>
  <c r="G133" i="62"/>
  <c r="K132" i="62"/>
  <c r="G131" i="62"/>
  <c r="I130" i="62"/>
  <c r="G129" i="62"/>
  <c r="O128" i="62"/>
  <c r="G127" i="62"/>
  <c r="I126" i="62"/>
  <c r="G125" i="62"/>
  <c r="K124" i="62"/>
  <c r="G123" i="62"/>
  <c r="I122" i="62"/>
  <c r="G121" i="62"/>
  <c r="M120" i="62"/>
  <c r="G119" i="62"/>
  <c r="I118" i="62"/>
  <c r="G117" i="62"/>
  <c r="K115" i="62"/>
  <c r="G114" i="62"/>
  <c r="I112" i="62"/>
  <c r="G110" i="62"/>
  <c r="Q109" i="62"/>
  <c r="G108" i="62"/>
  <c r="I107" i="62"/>
  <c r="G106" i="62"/>
  <c r="K105" i="62"/>
  <c r="G104" i="62"/>
  <c r="I103" i="62"/>
  <c r="G102" i="62"/>
  <c r="M101" i="62"/>
  <c r="G100" i="62"/>
  <c r="I99" i="62"/>
  <c r="G98" i="62"/>
  <c r="K97" i="62"/>
  <c r="G96" i="62"/>
  <c r="I95" i="62"/>
  <c r="G94" i="62"/>
  <c r="O93" i="62"/>
  <c r="G92" i="62"/>
  <c r="I91" i="62"/>
  <c r="G90" i="62"/>
  <c r="K89" i="62"/>
  <c r="G88" i="62"/>
  <c r="I87" i="62"/>
  <c r="G86" i="62"/>
  <c r="M85" i="62"/>
  <c r="G84" i="62"/>
  <c r="I83" i="62"/>
  <c r="G82" i="62"/>
  <c r="K80" i="62"/>
  <c r="G79" i="62"/>
  <c r="I77" i="62"/>
  <c r="G75" i="62"/>
  <c r="G7" i="62"/>
  <c r="I8" i="62"/>
  <c r="G9" i="62"/>
  <c r="K10" i="62"/>
  <c r="G11" i="62"/>
  <c r="I12" i="62"/>
  <c r="G13" i="62"/>
  <c r="M14" i="62"/>
  <c r="G15" i="62"/>
  <c r="I16" i="62"/>
  <c r="G17" i="62"/>
  <c r="K18" i="62"/>
  <c r="G19" i="62"/>
  <c r="I20" i="62"/>
  <c r="O22" i="62"/>
  <c r="G23" i="62"/>
  <c r="I24" i="62"/>
  <c r="G25" i="62"/>
  <c r="K26" i="62"/>
  <c r="G27" i="62"/>
  <c r="I28" i="62"/>
  <c r="G29" i="62"/>
  <c r="M30" i="62"/>
  <c r="G31" i="62"/>
  <c r="I32" i="62"/>
  <c r="G33" i="62"/>
  <c r="K34" i="62"/>
  <c r="G35" i="62"/>
  <c r="I36" i="62"/>
  <c r="G37" i="62"/>
  <c r="Q38" i="62"/>
  <c r="G39" i="62"/>
  <c r="I41" i="62"/>
  <c r="G43" i="62"/>
  <c r="K44" i="62"/>
  <c r="G46" i="62"/>
  <c r="I47" i="62"/>
  <c r="G48" i="62"/>
  <c r="M49" i="62"/>
  <c r="G50" i="62"/>
  <c r="I51" i="62"/>
  <c r="G52" i="62"/>
  <c r="K53" i="62"/>
  <c r="G54" i="62"/>
  <c r="I55" i="62"/>
  <c r="G56" i="62"/>
  <c r="O57" i="62"/>
  <c r="G58" i="62"/>
  <c r="I59" i="62"/>
  <c r="G60" i="62"/>
  <c r="K61" i="62"/>
  <c r="G62" i="62"/>
  <c r="I63" i="62"/>
  <c r="G64" i="62"/>
  <c r="M65" i="62"/>
  <c r="G66" i="62"/>
  <c r="I67" i="62"/>
  <c r="G68" i="62"/>
  <c r="K69" i="62"/>
  <c r="G70" i="62"/>
  <c r="I71" i="62"/>
  <c r="G72" i="62"/>
  <c r="G146" i="61"/>
  <c r="I145" i="61"/>
  <c r="G144" i="61"/>
  <c r="K143" i="61"/>
  <c r="G142" i="61"/>
  <c r="I141" i="61"/>
  <c r="G140" i="61"/>
  <c r="M139" i="61"/>
  <c r="G138" i="61"/>
  <c r="I137" i="61"/>
  <c r="G136" i="61"/>
  <c r="K135" i="61"/>
  <c r="G134" i="61"/>
  <c r="I133" i="61"/>
  <c r="G132" i="61"/>
  <c r="O131" i="61"/>
  <c r="G130" i="61"/>
  <c r="I129" i="61"/>
  <c r="G128" i="61"/>
  <c r="K127" i="61"/>
  <c r="G126" i="61"/>
  <c r="I125" i="61"/>
  <c r="G124" i="61"/>
  <c r="M123" i="61"/>
  <c r="G122" i="61"/>
  <c r="I121" i="61"/>
  <c r="G120" i="61"/>
  <c r="K118" i="61"/>
  <c r="G117" i="61"/>
  <c r="I115" i="61"/>
  <c r="G113" i="61"/>
  <c r="Q112" i="61"/>
  <c r="G111" i="61"/>
  <c r="I110" i="61"/>
  <c r="K108" i="61"/>
  <c r="G107" i="61"/>
  <c r="I106" i="61"/>
  <c r="G105" i="61"/>
  <c r="M104" i="61"/>
  <c r="G103" i="61"/>
  <c r="I102" i="61"/>
  <c r="K100" i="61"/>
  <c r="G99" i="61"/>
  <c r="I98" i="61"/>
  <c r="G97" i="61"/>
  <c r="O96" i="61"/>
  <c r="G95" i="61"/>
  <c r="I94" i="61"/>
  <c r="K92" i="61"/>
  <c r="G91" i="61"/>
  <c r="I90" i="61"/>
  <c r="G89" i="61"/>
  <c r="M88" i="61"/>
  <c r="G87" i="61"/>
  <c r="I86" i="61"/>
  <c r="G85" i="61"/>
  <c r="K83" i="61"/>
  <c r="G82" i="61"/>
  <c r="I80" i="61"/>
  <c r="G7" i="61"/>
  <c r="I9" i="61"/>
  <c r="G11" i="61"/>
  <c r="K12" i="61"/>
  <c r="G14" i="61"/>
  <c r="I15" i="61"/>
  <c r="G16" i="61"/>
  <c r="M17" i="61"/>
  <c r="G18" i="61"/>
  <c r="I19" i="61"/>
  <c r="K21" i="61"/>
  <c r="G22" i="61"/>
  <c r="I23" i="61"/>
  <c r="G24" i="61"/>
  <c r="O25" i="61"/>
  <c r="G26" i="61"/>
  <c r="I27" i="61"/>
  <c r="K29" i="61"/>
  <c r="G30" i="61"/>
  <c r="I31" i="61"/>
  <c r="G32" i="61"/>
  <c r="M33" i="61"/>
  <c r="G34" i="61"/>
  <c r="I35" i="61"/>
  <c r="K37" i="61"/>
  <c r="G38" i="61"/>
  <c r="I39" i="61"/>
  <c r="G40" i="61"/>
  <c r="Q41" i="61"/>
  <c r="G42" i="61"/>
  <c r="I44" i="61"/>
  <c r="G46" i="61"/>
  <c r="K47" i="61"/>
  <c r="G49" i="61"/>
  <c r="I50" i="61"/>
  <c r="G51" i="61"/>
  <c r="M52" i="61"/>
  <c r="I54" i="61"/>
  <c r="G55" i="61"/>
  <c r="K56" i="61"/>
  <c r="G57" i="61"/>
  <c r="I58" i="61"/>
  <c r="G59" i="61"/>
  <c r="O60" i="61"/>
  <c r="I62" i="61"/>
  <c r="G63" i="61"/>
  <c r="K64" i="61"/>
  <c r="G65" i="61"/>
  <c r="I66" i="61"/>
  <c r="G67" i="61"/>
  <c r="M68" i="61"/>
  <c r="I70" i="61"/>
  <c r="G71" i="61"/>
  <c r="K72" i="61"/>
  <c r="G73" i="61"/>
  <c r="I74" i="61"/>
  <c r="G75" i="61"/>
  <c r="I147" i="60"/>
  <c r="G145" i="60"/>
  <c r="K144" i="60"/>
  <c r="I141" i="60"/>
  <c r="M139" i="60"/>
  <c r="I137" i="60"/>
  <c r="K135" i="60"/>
  <c r="I133" i="60"/>
  <c r="G132" i="60"/>
  <c r="O131" i="60"/>
  <c r="I129" i="60"/>
  <c r="K127" i="60"/>
  <c r="I125" i="60"/>
  <c r="G124" i="60"/>
  <c r="M123" i="60"/>
  <c r="I121" i="60"/>
  <c r="K118" i="60"/>
  <c r="G117" i="60"/>
  <c r="I115" i="60"/>
  <c r="G113" i="60"/>
  <c r="Q112" i="60"/>
  <c r="I110" i="60"/>
  <c r="K108" i="60"/>
  <c r="G107" i="60"/>
  <c r="I106" i="60"/>
  <c r="M104" i="60"/>
  <c r="I102" i="60"/>
  <c r="K100" i="60"/>
  <c r="I98" i="60"/>
  <c r="O96" i="60"/>
  <c r="I94" i="60"/>
  <c r="K92" i="60"/>
  <c r="I90" i="60"/>
  <c r="M88" i="60"/>
  <c r="I86" i="60"/>
  <c r="K83" i="60"/>
  <c r="G82" i="60"/>
  <c r="I80" i="60"/>
  <c r="I9" i="60"/>
  <c r="G11" i="60"/>
  <c r="K12" i="60"/>
  <c r="I15" i="60"/>
  <c r="M17" i="60"/>
  <c r="I19" i="60"/>
  <c r="K21" i="60"/>
  <c r="G22" i="60"/>
  <c r="I23" i="60"/>
  <c r="O25" i="60"/>
  <c r="I27" i="60"/>
  <c r="K29" i="60"/>
  <c r="I31" i="60"/>
  <c r="M33" i="60"/>
  <c r="I35" i="60"/>
  <c r="K37" i="60"/>
  <c r="I39" i="60"/>
  <c r="Q41" i="60"/>
  <c r="I44" i="60"/>
  <c r="G46" i="60"/>
  <c r="K47" i="60"/>
  <c r="I50" i="60"/>
  <c r="M52" i="60"/>
  <c r="I54" i="60"/>
  <c r="G55" i="60"/>
  <c r="K56" i="60"/>
  <c r="I58" i="60"/>
  <c r="O60" i="60"/>
  <c r="I62" i="60"/>
  <c r="K64" i="60"/>
  <c r="G65" i="60"/>
  <c r="I66" i="60"/>
  <c r="M68" i="60"/>
  <c r="I70" i="60"/>
  <c r="K72" i="60"/>
  <c r="I74" i="60"/>
  <c r="I149" i="59"/>
  <c r="G147" i="59"/>
  <c r="K146" i="59"/>
  <c r="I143" i="59"/>
  <c r="M141" i="59"/>
  <c r="I139" i="59"/>
  <c r="K137" i="59"/>
  <c r="I135" i="59"/>
  <c r="O133" i="59"/>
  <c r="I131" i="59"/>
  <c r="K129" i="59"/>
  <c r="I127" i="59"/>
  <c r="M125" i="59"/>
  <c r="I123" i="59"/>
  <c r="K120" i="59"/>
  <c r="G119" i="59"/>
  <c r="I117" i="59"/>
  <c r="Q114" i="59"/>
  <c r="I112" i="59"/>
  <c r="K110" i="59"/>
  <c r="I108" i="59"/>
  <c r="M106" i="59"/>
  <c r="I104" i="59"/>
  <c r="K102" i="59"/>
  <c r="I100" i="59"/>
  <c r="O98" i="59"/>
  <c r="I96" i="59"/>
  <c r="K94" i="59"/>
  <c r="I92" i="59"/>
  <c r="M90" i="59"/>
  <c r="I88" i="59"/>
  <c r="K85" i="59"/>
  <c r="G84" i="59"/>
  <c r="I82" i="59"/>
  <c r="G7" i="59"/>
  <c r="I9" i="59"/>
  <c r="G11" i="59"/>
  <c r="K12" i="59"/>
  <c r="I15" i="59"/>
  <c r="M17" i="59"/>
  <c r="I19" i="59"/>
  <c r="K21" i="59"/>
  <c r="I23" i="59"/>
  <c r="O25" i="59"/>
  <c r="I27" i="59"/>
  <c r="K29" i="59"/>
  <c r="I31" i="59"/>
  <c r="M33" i="59"/>
  <c r="I35" i="59"/>
  <c r="K37" i="59"/>
  <c r="I39" i="59"/>
  <c r="Q41" i="59"/>
  <c r="I44" i="59"/>
  <c r="G46" i="59"/>
  <c r="K47" i="59"/>
  <c r="I50" i="59"/>
  <c r="M52" i="59"/>
  <c r="I54" i="59"/>
  <c r="K56" i="59"/>
  <c r="G57" i="59"/>
  <c r="I58" i="59"/>
  <c r="O60" i="59"/>
  <c r="I62" i="59"/>
  <c r="K64" i="59"/>
  <c r="I66" i="59"/>
  <c r="M68" i="59"/>
  <c r="I70" i="59"/>
  <c r="K73" i="59"/>
  <c r="G74" i="59"/>
  <c r="I76" i="59"/>
  <c r="I151" i="58"/>
  <c r="G149" i="58"/>
  <c r="K148" i="58"/>
  <c r="I145" i="58"/>
  <c r="M143" i="58"/>
  <c r="I141" i="58"/>
  <c r="K139" i="58"/>
  <c r="I137" i="58"/>
  <c r="G136" i="58"/>
  <c r="O135" i="58"/>
  <c r="I133" i="58"/>
  <c r="K131" i="58"/>
  <c r="I129" i="58"/>
  <c r="M127" i="58"/>
  <c r="I125" i="58"/>
  <c r="K122" i="58"/>
  <c r="G121" i="58"/>
  <c r="I119" i="58"/>
  <c r="Q118" i="58"/>
  <c r="G115" i="58"/>
  <c r="I114" i="58"/>
  <c r="G112" i="58"/>
  <c r="K111" i="58"/>
  <c r="G109" i="58"/>
  <c r="I108" i="58"/>
  <c r="M106" i="58"/>
  <c r="I104" i="58"/>
  <c r="K102" i="58"/>
  <c r="I100" i="58"/>
  <c r="O98" i="58"/>
  <c r="I96" i="58"/>
  <c r="K94" i="58"/>
  <c r="I92" i="58"/>
  <c r="M90" i="58"/>
  <c r="I88" i="58"/>
  <c r="K85" i="58"/>
  <c r="G84" i="58"/>
  <c r="I82" i="58"/>
  <c r="I9" i="58"/>
  <c r="G11" i="58"/>
  <c r="K12" i="58"/>
  <c r="I15" i="58"/>
  <c r="M17" i="58"/>
  <c r="I19" i="58"/>
  <c r="K21" i="58"/>
  <c r="I23" i="58"/>
  <c r="O25" i="58"/>
  <c r="I27" i="58"/>
  <c r="G28" i="58"/>
  <c r="K29" i="58"/>
  <c r="I31" i="58"/>
  <c r="M33" i="58"/>
  <c r="G34" i="58"/>
  <c r="I35" i="58"/>
  <c r="K37" i="58"/>
  <c r="I39" i="58"/>
  <c r="Q41" i="58"/>
  <c r="I44" i="58"/>
  <c r="G46" i="58"/>
  <c r="K47" i="58"/>
  <c r="I50" i="58"/>
  <c r="M52" i="58"/>
  <c r="I54" i="58"/>
  <c r="K56" i="58"/>
  <c r="I58" i="58"/>
  <c r="O60" i="58"/>
  <c r="I62" i="58"/>
  <c r="K64" i="58"/>
  <c r="G65" i="58"/>
  <c r="I66" i="58"/>
  <c r="M68" i="58"/>
  <c r="I70" i="58"/>
  <c r="K73" i="58"/>
  <c r="G74" i="58"/>
  <c r="I76" i="58"/>
  <c r="I153" i="57"/>
  <c r="G151" i="57"/>
  <c r="K150" i="57"/>
  <c r="I147" i="57"/>
  <c r="M145" i="57"/>
  <c r="I143" i="57"/>
  <c r="K141" i="57"/>
  <c r="G140" i="57"/>
  <c r="I139" i="57"/>
  <c r="O137" i="57"/>
  <c r="G136" i="57"/>
  <c r="I135" i="57"/>
  <c r="K133" i="57"/>
  <c r="G132" i="57"/>
  <c r="I131" i="57"/>
  <c r="M129" i="57"/>
  <c r="I127" i="57"/>
  <c r="K124" i="57"/>
  <c r="G123" i="57"/>
  <c r="I121" i="57"/>
  <c r="Q120" i="57"/>
  <c r="G117" i="57"/>
  <c r="I116" i="57"/>
  <c r="G114" i="57"/>
  <c r="K113" i="57"/>
  <c r="I110" i="57"/>
  <c r="M108" i="57"/>
  <c r="I106" i="57"/>
  <c r="K104" i="57"/>
  <c r="I102" i="57"/>
  <c r="O100" i="57"/>
  <c r="I98" i="57"/>
  <c r="K96" i="57"/>
  <c r="I94" i="57"/>
  <c r="M92" i="57"/>
  <c r="I90" i="57"/>
  <c r="K87" i="57"/>
  <c r="G86" i="57"/>
  <c r="I84" i="57"/>
  <c r="G82" i="57"/>
  <c r="I9" i="57"/>
  <c r="G11" i="57"/>
  <c r="K12" i="57"/>
  <c r="I15" i="57"/>
  <c r="M17" i="57"/>
  <c r="I19" i="57"/>
  <c r="K21" i="57"/>
  <c r="I23" i="57"/>
  <c r="O25" i="57"/>
  <c r="I27" i="57"/>
  <c r="K29" i="57"/>
  <c r="I31" i="57"/>
  <c r="M33" i="57"/>
  <c r="I35" i="57"/>
  <c r="K38" i="57"/>
  <c r="G39" i="57"/>
  <c r="I41" i="57"/>
  <c r="Q45" i="57"/>
  <c r="I46" i="57"/>
  <c r="G48" i="57"/>
  <c r="K49" i="57"/>
  <c r="I52" i="57"/>
  <c r="M54" i="57"/>
  <c r="I56" i="57"/>
  <c r="K58" i="57"/>
  <c r="I60" i="57"/>
  <c r="O62" i="57"/>
  <c r="I64" i="57"/>
  <c r="K66" i="57"/>
  <c r="I68" i="57"/>
  <c r="M70" i="57"/>
  <c r="I72" i="57"/>
  <c r="K75" i="57"/>
  <c r="G76" i="57"/>
  <c r="I78" i="57"/>
  <c r="I155" i="56"/>
  <c r="G154" i="56"/>
  <c r="I150" i="56"/>
  <c r="M148" i="56"/>
  <c r="I146" i="56"/>
  <c r="K143" i="56"/>
  <c r="G142" i="56"/>
  <c r="I140" i="56"/>
  <c r="O138" i="56"/>
  <c r="I135" i="56"/>
  <c r="K133" i="56"/>
  <c r="I131" i="56"/>
  <c r="M129" i="56"/>
  <c r="I127" i="56"/>
  <c r="K124" i="56"/>
  <c r="G123" i="56"/>
  <c r="I121" i="56"/>
  <c r="Q118" i="56"/>
  <c r="I116" i="56"/>
  <c r="G114" i="56"/>
  <c r="K113" i="56"/>
  <c r="I110" i="56"/>
  <c r="M108" i="56"/>
  <c r="I106" i="56"/>
  <c r="G105" i="56"/>
  <c r="K104" i="56"/>
  <c r="I102" i="56"/>
  <c r="O100" i="56"/>
  <c r="I98" i="56"/>
  <c r="K96" i="56"/>
  <c r="I94" i="56"/>
  <c r="M92" i="56"/>
  <c r="I90" i="56"/>
  <c r="K87" i="56"/>
  <c r="G86" i="56"/>
  <c r="I84" i="56"/>
  <c r="I9" i="56"/>
  <c r="G11" i="56"/>
  <c r="K12" i="56"/>
  <c r="I15" i="56"/>
  <c r="M17" i="56"/>
  <c r="I19" i="56"/>
  <c r="K21" i="56"/>
  <c r="I23" i="56"/>
  <c r="O25" i="56"/>
  <c r="I27" i="56"/>
  <c r="K29" i="56"/>
  <c r="I31" i="56"/>
  <c r="M33" i="56"/>
  <c r="I35" i="56"/>
  <c r="K38" i="56"/>
  <c r="G39" i="56"/>
  <c r="I41" i="56"/>
  <c r="G42" i="56"/>
  <c r="Q45" i="56"/>
  <c r="I46" i="56"/>
  <c r="G48" i="56"/>
  <c r="K49" i="56"/>
  <c r="I52" i="56"/>
  <c r="M54" i="56"/>
  <c r="I56" i="56"/>
  <c r="K58" i="56"/>
  <c r="I60" i="56"/>
  <c r="O62" i="56"/>
  <c r="I64" i="56"/>
  <c r="K66" i="56"/>
  <c r="I68" i="56"/>
  <c r="G69" i="56"/>
  <c r="M70" i="56"/>
  <c r="G71" i="56"/>
  <c r="I72" i="56"/>
  <c r="K75" i="56"/>
  <c r="G76" i="56"/>
  <c r="I78" i="56"/>
  <c r="G79" i="56"/>
  <c r="G160" i="55"/>
  <c r="I158" i="55"/>
  <c r="G157" i="55"/>
  <c r="I153" i="55"/>
  <c r="G154" i="55"/>
  <c r="G152" i="55"/>
  <c r="M151" i="55"/>
  <c r="G150" i="55"/>
  <c r="I149" i="55"/>
  <c r="G148" i="55"/>
  <c r="K146" i="55"/>
  <c r="G145" i="55"/>
  <c r="I143" i="55"/>
  <c r="O141" i="55"/>
  <c r="G141" i="55"/>
  <c r="G139" i="55"/>
  <c r="I138" i="55"/>
  <c r="G137" i="55"/>
  <c r="K136" i="55"/>
  <c r="G135" i="55"/>
  <c r="I134" i="55"/>
  <c r="G133" i="55"/>
  <c r="M132" i="55"/>
  <c r="G131" i="55"/>
  <c r="I130" i="55"/>
  <c r="G129" i="55"/>
  <c r="K127" i="55"/>
  <c r="G126" i="55"/>
  <c r="I124" i="55"/>
  <c r="G122" i="55"/>
  <c r="Q121" i="55"/>
  <c r="G120" i="55"/>
  <c r="I119" i="55"/>
  <c r="G117" i="55"/>
  <c r="K116" i="55"/>
  <c r="G114" i="55"/>
  <c r="I113" i="55"/>
  <c r="M111" i="55"/>
  <c r="G110" i="55"/>
  <c r="I109" i="55"/>
  <c r="G108" i="55"/>
  <c r="K107" i="55"/>
  <c r="I105" i="55"/>
  <c r="G104" i="55"/>
  <c r="O103" i="55"/>
  <c r="G102" i="55"/>
  <c r="I101" i="55"/>
  <c r="G100" i="55"/>
  <c r="K99" i="55"/>
  <c r="I97" i="55"/>
  <c r="G96" i="55"/>
  <c r="M95" i="55"/>
  <c r="I93" i="55"/>
  <c r="K90" i="55"/>
  <c r="G89" i="55"/>
  <c r="I87" i="55"/>
  <c r="G7" i="55"/>
  <c r="I9" i="55"/>
  <c r="G11" i="55"/>
  <c r="K12" i="55"/>
  <c r="G14" i="55"/>
  <c r="I15" i="55"/>
  <c r="G16" i="55"/>
  <c r="M17" i="55"/>
  <c r="G18" i="55"/>
  <c r="I19" i="55"/>
  <c r="G20" i="55"/>
  <c r="K21" i="55"/>
  <c r="G22" i="55"/>
  <c r="I23" i="55"/>
  <c r="G24" i="55"/>
  <c r="O25" i="55"/>
  <c r="G26" i="55"/>
  <c r="I27" i="55"/>
  <c r="G28" i="55"/>
  <c r="K29" i="55"/>
  <c r="G30" i="55"/>
  <c r="I31" i="55"/>
  <c r="G32" i="55"/>
  <c r="M33" i="55"/>
  <c r="G34" i="55"/>
  <c r="I35" i="55"/>
  <c r="G36" i="55"/>
  <c r="K38" i="55"/>
  <c r="G39" i="55"/>
  <c r="I41" i="55"/>
  <c r="G42" i="55"/>
  <c r="Q43" i="55"/>
  <c r="G44" i="55"/>
  <c r="I46" i="55"/>
  <c r="G48" i="55"/>
  <c r="K49" i="55"/>
  <c r="G51" i="55"/>
  <c r="I52" i="55"/>
  <c r="G53" i="55"/>
  <c r="M54" i="55"/>
  <c r="G55" i="55"/>
  <c r="I56" i="55"/>
  <c r="G57" i="55"/>
  <c r="K58" i="55"/>
  <c r="I60" i="55"/>
  <c r="G61" i="55"/>
  <c r="O63" i="55"/>
  <c r="I65" i="55"/>
  <c r="G67" i="55"/>
  <c r="K68" i="55"/>
  <c r="G70" i="55"/>
  <c r="I71" i="55"/>
  <c r="G72" i="55"/>
  <c r="M73" i="55"/>
  <c r="G74" i="55"/>
  <c r="I75" i="55"/>
  <c r="G76" i="55"/>
  <c r="I80" i="55"/>
  <c r="G79" i="55"/>
  <c r="I161" i="54"/>
  <c r="G160" i="54"/>
  <c r="I156" i="54"/>
  <c r="G157" i="54"/>
  <c r="M154" i="54"/>
  <c r="I152" i="54"/>
  <c r="K149" i="54"/>
  <c r="G148" i="54"/>
  <c r="I146" i="54"/>
  <c r="O144" i="54"/>
  <c r="I141" i="54"/>
  <c r="K139" i="54"/>
  <c r="I137" i="54"/>
  <c r="M135" i="54"/>
  <c r="I133" i="54"/>
  <c r="K130" i="54"/>
  <c r="G129" i="54"/>
  <c r="I127" i="54"/>
  <c r="G125" i="54"/>
  <c r="Q124" i="54"/>
  <c r="I121" i="54"/>
  <c r="G120" i="54"/>
  <c r="I116" i="54"/>
  <c r="M114" i="54"/>
  <c r="G113" i="54"/>
  <c r="I112" i="54"/>
  <c r="K109" i="54"/>
  <c r="G108" i="54"/>
  <c r="I106" i="54"/>
  <c r="O104" i="54"/>
  <c r="G104" i="54"/>
  <c r="I101" i="54"/>
  <c r="K99" i="54"/>
  <c r="I97" i="54"/>
  <c r="M95" i="54"/>
  <c r="I93" i="54"/>
  <c r="K90" i="54"/>
  <c r="G89" i="54"/>
  <c r="I87" i="54"/>
  <c r="I9" i="54"/>
  <c r="G11" i="54"/>
  <c r="K12" i="54"/>
  <c r="I15" i="54"/>
  <c r="M17" i="54"/>
  <c r="I19" i="54"/>
  <c r="G20" i="54"/>
  <c r="K21" i="54"/>
  <c r="I23" i="54"/>
  <c r="O25" i="54"/>
  <c r="I27" i="54"/>
  <c r="K29" i="54"/>
  <c r="I31" i="54"/>
  <c r="M33" i="54"/>
  <c r="I35" i="54"/>
  <c r="K38" i="54"/>
  <c r="G39" i="54"/>
  <c r="I41" i="54"/>
  <c r="Q43" i="54"/>
  <c r="I46" i="54"/>
  <c r="G48" i="54"/>
  <c r="K49" i="54"/>
  <c r="I52" i="54"/>
  <c r="M54" i="54"/>
  <c r="I56" i="54"/>
  <c r="K58" i="54"/>
  <c r="I60" i="54"/>
  <c r="G63" i="54"/>
  <c r="O63" i="54"/>
  <c r="I65" i="54"/>
  <c r="G67" i="54"/>
  <c r="K68" i="54"/>
  <c r="G70" i="54"/>
  <c r="I71" i="54"/>
  <c r="G72" i="54"/>
  <c r="M73" i="54"/>
  <c r="I75" i="54"/>
  <c r="I80" i="54"/>
  <c r="G79" i="54"/>
  <c r="G166" i="52"/>
  <c r="I164" i="52"/>
  <c r="G163" i="52"/>
  <c r="I159" i="52"/>
  <c r="M157" i="52"/>
  <c r="I155" i="52"/>
  <c r="K152" i="52"/>
  <c r="G151" i="52"/>
  <c r="I149" i="52"/>
  <c r="O147" i="52"/>
  <c r="I144" i="52"/>
  <c r="K142" i="52"/>
  <c r="I140" i="52"/>
  <c r="M138" i="52"/>
  <c r="I136" i="52"/>
  <c r="K133" i="52"/>
  <c r="G132" i="52"/>
  <c r="I130" i="52"/>
  <c r="Q127" i="52"/>
  <c r="I124" i="52"/>
  <c r="G123" i="52"/>
  <c r="I119" i="52"/>
  <c r="M117" i="52"/>
  <c r="I115" i="52"/>
  <c r="K112" i="52"/>
  <c r="G111" i="52"/>
  <c r="I109" i="52"/>
  <c r="O107" i="52"/>
  <c r="I104" i="52"/>
  <c r="K102" i="52"/>
  <c r="I100" i="52"/>
  <c r="M98" i="52"/>
  <c r="I96" i="52"/>
  <c r="K93" i="52"/>
  <c r="G92" i="52"/>
  <c r="I90" i="52"/>
  <c r="I9" i="52"/>
  <c r="G11" i="52"/>
  <c r="K12" i="52"/>
  <c r="G14" i="52"/>
  <c r="I15" i="52"/>
  <c r="G16" i="52"/>
  <c r="M17" i="52"/>
  <c r="I19" i="52"/>
  <c r="K21" i="52"/>
  <c r="G22" i="52"/>
  <c r="I23" i="52"/>
  <c r="O26" i="52"/>
  <c r="I28" i="52"/>
  <c r="G30" i="52"/>
  <c r="K31" i="52"/>
  <c r="I34" i="52"/>
  <c r="M36" i="52"/>
  <c r="I38" i="52"/>
  <c r="I43" i="52"/>
  <c r="G42" i="52"/>
  <c r="Q46" i="52"/>
  <c r="I49" i="52"/>
  <c r="G51" i="52"/>
  <c r="K52" i="52"/>
  <c r="I55" i="52"/>
  <c r="M57" i="52"/>
  <c r="I59" i="52"/>
  <c r="K61" i="52"/>
  <c r="I63" i="52"/>
  <c r="O66" i="52"/>
  <c r="I68" i="52"/>
  <c r="G70" i="52"/>
  <c r="K71" i="52"/>
  <c r="G73" i="52"/>
  <c r="I74" i="52"/>
  <c r="M76" i="52"/>
  <c r="I78" i="52"/>
  <c r="I83" i="52"/>
  <c r="G82" i="52"/>
  <c r="I166" i="51"/>
  <c r="G165" i="51"/>
  <c r="I161" i="51"/>
  <c r="M159" i="51"/>
  <c r="I157" i="51"/>
  <c r="K154" i="51"/>
  <c r="G153" i="51"/>
  <c r="I151" i="51"/>
  <c r="O148" i="51"/>
  <c r="I145" i="51"/>
  <c r="G144" i="51"/>
  <c r="I140" i="51"/>
  <c r="M138" i="51"/>
  <c r="I136" i="51"/>
  <c r="K133" i="51"/>
  <c r="G132" i="51"/>
  <c r="I130" i="51"/>
  <c r="Q127" i="51"/>
  <c r="I124" i="51"/>
  <c r="G123" i="51"/>
  <c r="I119" i="51"/>
  <c r="M117" i="51"/>
  <c r="I115" i="51"/>
  <c r="K112" i="51"/>
  <c r="G111" i="51"/>
  <c r="I109" i="51"/>
  <c r="O107" i="51"/>
  <c r="I104" i="51"/>
  <c r="K102" i="51"/>
  <c r="I100" i="51"/>
  <c r="M98" i="51"/>
  <c r="G97" i="51"/>
  <c r="I96" i="51"/>
  <c r="K93" i="51"/>
  <c r="G92" i="51"/>
  <c r="I90" i="51"/>
  <c r="I9" i="51"/>
  <c r="G11" i="51"/>
  <c r="K12" i="51"/>
  <c r="I15" i="51"/>
  <c r="M17" i="51"/>
  <c r="I19" i="51"/>
  <c r="G20" i="51"/>
  <c r="K21" i="51"/>
  <c r="I23" i="51"/>
  <c r="O26" i="51"/>
  <c r="I28" i="51"/>
  <c r="G30" i="51"/>
  <c r="K31" i="51"/>
  <c r="I34" i="51"/>
  <c r="M36" i="51"/>
  <c r="I38" i="51"/>
  <c r="I43" i="51"/>
  <c r="G42" i="51"/>
  <c r="Q46" i="51"/>
  <c r="I49" i="51"/>
  <c r="G51" i="51"/>
  <c r="K52" i="51"/>
  <c r="I55" i="51"/>
  <c r="M57" i="51"/>
  <c r="I59" i="51"/>
  <c r="K61" i="51"/>
  <c r="G62" i="51"/>
  <c r="I63" i="51"/>
  <c r="G66" i="51"/>
  <c r="O66" i="51"/>
  <c r="I68" i="51"/>
  <c r="G70" i="51"/>
  <c r="K71" i="51"/>
  <c r="I74" i="51"/>
  <c r="M76" i="51"/>
  <c r="G77" i="51"/>
  <c r="I78" i="51"/>
  <c r="G79" i="51"/>
  <c r="I83" i="51"/>
  <c r="G82" i="51"/>
  <c r="I10" i="1"/>
  <c r="G12" i="1"/>
  <c r="G13" i="4"/>
  <c r="I11" i="4"/>
  <c r="G9" i="4"/>
  <c r="G16" i="5"/>
  <c r="G14" i="5"/>
  <c r="I15" i="5"/>
  <c r="I9" i="5"/>
  <c r="K12" i="5"/>
  <c r="G15" i="6"/>
  <c r="I17" i="6"/>
  <c r="G7" i="6"/>
  <c r="I9" i="6"/>
  <c r="G11" i="6"/>
  <c r="K13" i="6"/>
  <c r="K13" i="7"/>
  <c r="G19" i="7"/>
  <c r="I17" i="7"/>
  <c r="G15" i="7"/>
  <c r="I9" i="7"/>
  <c r="G11" i="7"/>
  <c r="K14" i="8"/>
  <c r="G20" i="8"/>
  <c r="G16" i="8"/>
  <c r="I18" i="8"/>
  <c r="G8" i="8"/>
  <c r="I10" i="8"/>
  <c r="G12" i="8"/>
  <c r="G24" i="9"/>
  <c r="G18" i="9"/>
  <c r="G16" i="9"/>
  <c r="G7" i="9"/>
  <c r="I23" i="9"/>
  <c r="K21" i="9"/>
  <c r="M17" i="9"/>
  <c r="G11" i="9"/>
  <c r="I9" i="9"/>
  <c r="I19" i="9"/>
  <c r="K12" i="9"/>
  <c r="I15" i="9"/>
  <c r="G16" i="10"/>
  <c r="G20" i="10"/>
  <c r="M17" i="10"/>
  <c r="I19" i="10"/>
  <c r="I24" i="10"/>
  <c r="G26" i="10"/>
  <c r="G23" i="10"/>
  <c r="G7" i="10"/>
  <c r="I9" i="10"/>
  <c r="G11" i="10"/>
  <c r="K12" i="10"/>
  <c r="I15" i="10"/>
  <c r="G16" i="11"/>
  <c r="G29" i="11"/>
  <c r="M17" i="11"/>
  <c r="G26" i="11"/>
  <c r="I28" i="11"/>
  <c r="K24" i="11"/>
  <c r="G22" i="11"/>
  <c r="I20" i="11"/>
  <c r="G18" i="11"/>
  <c r="G7" i="11"/>
  <c r="I9" i="11"/>
  <c r="G11" i="11"/>
  <c r="K12" i="11"/>
  <c r="I15" i="11"/>
  <c r="G18" i="12"/>
  <c r="M20" i="12"/>
  <c r="G28" i="12"/>
  <c r="I30" i="12"/>
  <c r="G24" i="12"/>
  <c r="I22" i="12"/>
  <c r="K26" i="12"/>
  <c r="G20" i="12"/>
  <c r="G7" i="12"/>
  <c r="I9" i="12"/>
  <c r="G11" i="12"/>
  <c r="K13" i="12"/>
  <c r="G15" i="12"/>
  <c r="I17" i="12"/>
  <c r="M20" i="13"/>
  <c r="K13" i="13"/>
  <c r="K26" i="13"/>
  <c r="G29" i="13"/>
  <c r="G25" i="13"/>
  <c r="G21" i="13"/>
  <c r="I23" i="13"/>
  <c r="G7" i="13"/>
  <c r="G11" i="13"/>
  <c r="I9" i="13"/>
  <c r="G15" i="13"/>
  <c r="I17" i="13"/>
  <c r="M21" i="14"/>
  <c r="K28" i="14"/>
  <c r="G27" i="14"/>
  <c r="G23" i="14"/>
  <c r="I25" i="14"/>
  <c r="G7" i="14"/>
  <c r="I9" i="14"/>
  <c r="G11" i="14"/>
  <c r="K13" i="14"/>
  <c r="G15" i="14"/>
  <c r="I17" i="14"/>
  <c r="G19" i="14"/>
  <c r="M21" i="15"/>
  <c r="G23" i="15"/>
  <c r="G27" i="15"/>
  <c r="I9" i="15"/>
  <c r="G11" i="15"/>
  <c r="G15" i="15"/>
  <c r="G19" i="15"/>
  <c r="M22" i="16"/>
  <c r="G24" i="16"/>
  <c r="I26" i="16"/>
  <c r="K30" i="16"/>
  <c r="G28" i="16"/>
  <c r="G8" i="16"/>
  <c r="I10" i="16"/>
  <c r="G12" i="16"/>
  <c r="K14" i="16"/>
  <c r="G16" i="16"/>
  <c r="I18" i="16"/>
  <c r="G20" i="16"/>
  <c r="G40" i="17"/>
  <c r="G28" i="17"/>
  <c r="G24" i="17"/>
  <c r="G20" i="17"/>
  <c r="G16" i="17"/>
  <c r="G7" i="17"/>
  <c r="I23" i="17"/>
  <c r="K21" i="17"/>
  <c r="M17" i="17"/>
  <c r="O25" i="17"/>
  <c r="I27" i="17"/>
  <c r="K29" i="17"/>
  <c r="G11" i="17"/>
  <c r="I9" i="17"/>
  <c r="K12" i="17"/>
  <c r="I15" i="17"/>
  <c r="I19" i="17"/>
  <c r="G42" i="18"/>
  <c r="G30" i="18"/>
  <c r="G28" i="18"/>
  <c r="G26" i="18"/>
  <c r="G22" i="18"/>
  <c r="G20" i="18"/>
  <c r="G18" i="18"/>
  <c r="G16" i="18"/>
  <c r="G14" i="18"/>
  <c r="I41" i="18"/>
  <c r="O25" i="18"/>
  <c r="K29" i="18"/>
  <c r="I27" i="18"/>
  <c r="G11" i="18"/>
  <c r="I9" i="18"/>
  <c r="K12" i="18"/>
  <c r="I15" i="18"/>
  <c r="I23" i="18"/>
  <c r="K21" i="18"/>
  <c r="M17" i="18"/>
  <c r="I19" i="18"/>
  <c r="H24" i="19"/>
  <c r="H20" i="19"/>
  <c r="H16" i="19"/>
  <c r="H7" i="19"/>
  <c r="J28" i="19"/>
  <c r="P26" i="19"/>
  <c r="H45" i="19"/>
  <c r="H42" i="19"/>
  <c r="J43" i="19"/>
  <c r="H30" i="19"/>
  <c r="H11" i="19"/>
  <c r="J9" i="19"/>
  <c r="L12" i="19"/>
  <c r="J15" i="19"/>
  <c r="J23" i="19"/>
  <c r="L21" i="19"/>
  <c r="N17" i="19"/>
  <c r="J19" i="19"/>
  <c r="G41" i="20"/>
  <c r="G20" i="20"/>
  <c r="G18" i="20"/>
  <c r="G16" i="20"/>
  <c r="G14" i="20"/>
  <c r="I9" i="20"/>
  <c r="K12" i="20"/>
  <c r="M17" i="20"/>
  <c r="O27" i="20"/>
  <c r="G47" i="20"/>
  <c r="G44" i="20"/>
  <c r="I45" i="20"/>
  <c r="I40" i="20"/>
  <c r="G28" i="20"/>
  <c r="I30" i="20"/>
  <c r="G11" i="20"/>
  <c r="I15" i="20"/>
  <c r="I19" i="20"/>
  <c r="G23" i="20"/>
  <c r="I24" i="20"/>
  <c r="G16" i="21"/>
  <c r="I19" i="21"/>
  <c r="G23" i="21"/>
  <c r="I24" i="21"/>
  <c r="M17" i="21"/>
  <c r="O27" i="21"/>
  <c r="G28" i="21"/>
  <c r="I30" i="21"/>
  <c r="G47" i="21"/>
  <c r="I49" i="21"/>
  <c r="K45" i="21"/>
  <c r="G43" i="21"/>
  <c r="I41" i="21"/>
  <c r="I9" i="21"/>
  <c r="G11" i="21"/>
  <c r="K12" i="21"/>
  <c r="I15" i="21"/>
  <c r="G53" i="22"/>
  <c r="G29" i="22"/>
  <c r="G16" i="22"/>
  <c r="G26" i="22"/>
  <c r="I28" i="22"/>
  <c r="K24" i="22"/>
  <c r="M17" i="22"/>
  <c r="O28" i="22"/>
  <c r="G50" i="22"/>
  <c r="I52" i="22"/>
  <c r="K48" i="22"/>
  <c r="G46" i="22"/>
  <c r="I44" i="22"/>
  <c r="G42" i="22"/>
  <c r="M41" i="22"/>
  <c r="I9" i="22"/>
  <c r="G11" i="22"/>
  <c r="K12" i="22"/>
  <c r="I15" i="22"/>
  <c r="G18" i="22"/>
  <c r="G22" i="22"/>
  <c r="I20" i="22"/>
  <c r="G16" i="23"/>
  <c r="G14" i="23"/>
  <c r="M44" i="23"/>
  <c r="O30" i="23"/>
  <c r="G52" i="23"/>
  <c r="I54" i="23"/>
  <c r="G48" i="23"/>
  <c r="I46" i="23"/>
  <c r="K50" i="23"/>
  <c r="G44" i="23"/>
  <c r="I41" i="23"/>
  <c r="G7" i="23"/>
  <c r="I9" i="23"/>
  <c r="G11" i="23"/>
  <c r="K12" i="23"/>
  <c r="I15" i="23"/>
  <c r="M17" i="23"/>
  <c r="G18" i="23"/>
  <c r="I20" i="23"/>
  <c r="G22" i="23"/>
  <c r="K24" i="23"/>
  <c r="G26" i="23"/>
  <c r="I28" i="23"/>
  <c r="G57" i="24"/>
  <c r="G44" i="24"/>
  <c r="G18" i="24"/>
  <c r="M46" i="24"/>
  <c r="G54" i="24"/>
  <c r="I56" i="24"/>
  <c r="G50" i="24"/>
  <c r="I48" i="24"/>
  <c r="K52" i="24"/>
  <c r="G46" i="24"/>
  <c r="G41" i="24"/>
  <c r="I43" i="24"/>
  <c r="G7" i="24"/>
  <c r="I9" i="24"/>
  <c r="G11" i="24"/>
  <c r="K13" i="24"/>
  <c r="G15" i="24"/>
  <c r="I17" i="24"/>
  <c r="G20" i="24"/>
  <c r="M20" i="24"/>
  <c r="I22" i="24"/>
  <c r="G24" i="24"/>
  <c r="K26" i="24"/>
  <c r="G28" i="24"/>
  <c r="I30" i="24"/>
  <c r="G50" i="21"/>
  <c r="G14" i="21"/>
  <c r="U38" i="81"/>
  <c r="G38" i="81"/>
  <c r="U33" i="82"/>
  <c r="G7" i="82"/>
  <c r="U32" i="83"/>
  <c r="G7" i="83"/>
  <c r="U34" i="81"/>
  <c r="G7" i="81"/>
  <c r="G7" i="98"/>
  <c r="G66" i="98"/>
  <c r="G101" i="98"/>
  <c r="G53" i="98"/>
  <c r="G14" i="99"/>
  <c r="G18" i="99"/>
  <c r="G14" i="102"/>
  <c r="G28" i="105"/>
  <c r="G32" i="105"/>
  <c r="G36" i="105"/>
  <c r="G44" i="105"/>
  <c r="G53" i="105"/>
  <c r="G57" i="105"/>
  <c r="G61" i="105"/>
  <c r="G65" i="106"/>
  <c r="G69" i="106"/>
  <c r="G36" i="84"/>
  <c r="G34" i="84"/>
  <c r="G7" i="84"/>
  <c r="G63" i="85"/>
  <c r="G36" i="85"/>
  <c r="G34" i="85"/>
  <c r="G7" i="85"/>
  <c r="G61" i="87"/>
  <c r="G34" i="87"/>
  <c r="G32" i="87"/>
  <c r="G18" i="87"/>
  <c r="G45" i="90"/>
  <c r="G32" i="90"/>
  <c r="G7" i="90"/>
  <c r="G7" i="89"/>
  <c r="G18" i="89"/>
  <c r="G34" i="89"/>
  <c r="G44" i="92"/>
  <c r="G31" i="92"/>
  <c r="H71" i="93"/>
  <c r="G26" i="20"/>
  <c r="G26" i="21"/>
  <c r="G7" i="21"/>
  <c r="G14" i="11"/>
  <c r="G18" i="10"/>
  <c r="W11" i="13"/>
  <c r="AG15" i="13"/>
  <c r="G59" i="116"/>
  <c r="W20" i="116"/>
  <c r="AG24" i="116" s="1"/>
  <c r="G18" i="116"/>
  <c r="G42" i="23"/>
  <c r="G29" i="23"/>
  <c r="G55" i="23"/>
  <c r="G14" i="22"/>
  <c r="G7" i="20"/>
  <c r="G7" i="111"/>
  <c r="G112" i="55"/>
  <c r="O88" i="108"/>
  <c r="M79" i="113"/>
  <c r="H84" i="93"/>
  <c r="G114" i="90"/>
  <c r="G85" i="92"/>
  <c r="M65" i="112"/>
  <c r="G18" i="21"/>
  <c r="H14" i="19"/>
  <c r="H18" i="19"/>
  <c r="H22" i="19"/>
  <c r="G7" i="18"/>
  <c r="G14" i="17"/>
  <c r="G18" i="17"/>
  <c r="G22" i="17"/>
  <c r="G26" i="17"/>
  <c r="G30" i="17"/>
  <c r="G7" i="15"/>
  <c r="G20" i="9"/>
  <c r="G7" i="7"/>
  <c r="G63" i="55"/>
  <c r="G85" i="55"/>
  <c r="G94" i="55"/>
  <c r="G36" i="107"/>
  <c r="G7" i="114"/>
  <c r="G18" i="117"/>
  <c r="G34" i="91"/>
  <c r="G18" i="91"/>
  <c r="AG20" i="91"/>
  <c r="AG22" i="91"/>
  <c r="AE21" i="91"/>
  <c r="G45" i="91"/>
  <c r="U24" i="91"/>
  <c r="AE18" i="91" s="1"/>
  <c r="AE28" i="91"/>
  <c r="U34" i="91"/>
  <c r="AE38" i="91"/>
  <c r="AG35" i="91"/>
  <c r="AG29" i="91"/>
  <c r="G32" i="91"/>
  <c r="G86" i="91"/>
  <c r="G88" i="91"/>
  <c r="AG40" i="91"/>
  <c r="AE19" i="91"/>
  <c r="AG31" i="91"/>
  <c r="AG12" i="91"/>
  <c r="AG14" i="91"/>
  <c r="AG37" i="91"/>
  <c r="AG18" i="91"/>
  <c r="AE13" i="91"/>
  <c r="AE32" i="91"/>
  <c r="AE36" i="91"/>
  <c r="G14" i="106"/>
  <c r="G22" i="106"/>
  <c r="G30" i="106"/>
  <c r="G42" i="106"/>
  <c r="G71" i="106"/>
  <c r="U23" i="106" s="1"/>
  <c r="AE27" i="106" s="1"/>
  <c r="G79" i="106"/>
  <c r="G68" i="95"/>
  <c r="G42" i="95"/>
  <c r="G16" i="95"/>
  <c r="G71" i="60" l="1"/>
  <c r="G88" i="51"/>
  <c r="G28" i="54"/>
  <c r="G123" i="54"/>
  <c r="G152" i="58"/>
  <c r="G101" i="59"/>
  <c r="G109" i="60"/>
  <c r="G26" i="58"/>
  <c r="G158" i="51"/>
  <c r="G151" i="56"/>
  <c r="G77" i="58"/>
  <c r="G162" i="51"/>
  <c r="G53" i="54"/>
  <c r="G24" i="54"/>
  <c r="W15" i="58"/>
  <c r="G20" i="59"/>
  <c r="G30" i="56"/>
  <c r="G105" i="57"/>
  <c r="G142" i="59"/>
  <c r="G20" i="52"/>
  <c r="G69" i="58"/>
  <c r="G107" i="58"/>
  <c r="W33" i="57"/>
  <c r="G144" i="59"/>
  <c r="W33" i="54"/>
  <c r="G137" i="52"/>
  <c r="G67" i="59"/>
  <c r="G38" i="60"/>
  <c r="G45" i="51"/>
  <c r="U18" i="59"/>
  <c r="K67" i="100"/>
  <c r="G147" i="56"/>
  <c r="G65" i="59"/>
  <c r="G44" i="54"/>
  <c r="G117" i="56"/>
  <c r="G57" i="57"/>
  <c r="G28" i="60"/>
  <c r="U32" i="60"/>
  <c r="G95" i="56"/>
  <c r="G26" i="57"/>
  <c r="G146" i="57"/>
  <c r="G95" i="57"/>
  <c r="G144" i="58"/>
  <c r="G26" i="60"/>
  <c r="G39" i="51"/>
  <c r="G116" i="51"/>
  <c r="G120" i="52"/>
  <c r="G97" i="56"/>
  <c r="G53" i="57"/>
  <c r="G89" i="60"/>
  <c r="K22" i="102"/>
  <c r="G144" i="54"/>
  <c r="G33" i="52"/>
  <c r="G24" i="60"/>
  <c r="G35" i="51"/>
  <c r="G18" i="56"/>
  <c r="G91" i="60"/>
  <c r="G103" i="56"/>
  <c r="G22" i="58"/>
  <c r="G42" i="60"/>
  <c r="W35" i="60"/>
  <c r="G51" i="60"/>
  <c r="G100" i="54"/>
  <c r="G67" i="56"/>
  <c r="U41" i="58"/>
  <c r="G62" i="52"/>
  <c r="G132" i="56"/>
  <c r="W34" i="57"/>
  <c r="U23" i="59"/>
  <c r="G88" i="52"/>
  <c r="G107" i="56"/>
  <c r="G69" i="60"/>
  <c r="U25" i="59"/>
  <c r="M74" i="116"/>
  <c r="I40" i="112"/>
  <c r="G37" i="52"/>
  <c r="G156" i="51"/>
  <c r="G54" i="51"/>
  <c r="G103" i="51"/>
  <c r="G55" i="58"/>
  <c r="U30" i="57"/>
  <c r="G58" i="52"/>
  <c r="G14" i="54"/>
  <c r="G138" i="56"/>
  <c r="G109" i="59"/>
  <c r="W30" i="57"/>
  <c r="G134" i="60"/>
  <c r="G134" i="56"/>
  <c r="G107" i="51"/>
  <c r="G34" i="54"/>
  <c r="G69" i="57"/>
  <c r="G142" i="58"/>
  <c r="G140" i="59"/>
  <c r="W36" i="60"/>
  <c r="G14" i="51"/>
  <c r="G128" i="52"/>
  <c r="G142" i="54"/>
  <c r="G53" i="56"/>
  <c r="G93" i="58"/>
  <c r="G16" i="60"/>
  <c r="K39" i="16"/>
  <c r="K36" i="13"/>
  <c r="G64" i="51"/>
  <c r="G7" i="57"/>
  <c r="G95" i="58"/>
  <c r="G115" i="59"/>
  <c r="G34" i="60"/>
  <c r="G14" i="60"/>
  <c r="G103" i="52"/>
  <c r="G20" i="56"/>
  <c r="G59" i="57"/>
  <c r="G16" i="58"/>
  <c r="G126" i="56"/>
  <c r="G97" i="59"/>
  <c r="G7" i="60"/>
  <c r="U26" i="57"/>
  <c r="G85" i="52"/>
  <c r="G47" i="51"/>
  <c r="G143" i="52"/>
  <c r="G34" i="56"/>
  <c r="G101" i="56"/>
  <c r="G65" i="57"/>
  <c r="G42" i="58"/>
  <c r="G93" i="59"/>
  <c r="G128" i="60"/>
  <c r="U27" i="57"/>
  <c r="W14" i="58"/>
  <c r="G89" i="58"/>
  <c r="G47" i="52"/>
  <c r="G99" i="52"/>
  <c r="G145" i="52"/>
  <c r="G87" i="60"/>
  <c r="G55" i="56"/>
  <c r="G7" i="56"/>
  <c r="G61" i="57"/>
  <c r="G91" i="58"/>
  <c r="G16" i="59"/>
  <c r="G128" i="56"/>
  <c r="G128" i="51"/>
  <c r="G101" i="52"/>
  <c r="G82" i="56"/>
  <c r="G148" i="57"/>
  <c r="G59" i="58"/>
  <c r="G36" i="58"/>
  <c r="G18" i="60"/>
  <c r="U31" i="56"/>
  <c r="U18" i="57"/>
  <c r="U29" i="58"/>
  <c r="W16" i="59"/>
  <c r="G57" i="60"/>
  <c r="K37" i="14"/>
  <c r="G22" i="56"/>
  <c r="G32" i="58"/>
  <c r="G14" i="58"/>
  <c r="G103" i="59"/>
  <c r="G60" i="52"/>
  <c r="G107" i="52"/>
  <c r="G135" i="52"/>
  <c r="G158" i="52"/>
  <c r="G102" i="54"/>
  <c r="G73" i="57"/>
  <c r="G109" i="57"/>
  <c r="G134" i="57"/>
  <c r="G53" i="58"/>
  <c r="G128" i="59"/>
  <c r="G53" i="60"/>
  <c r="G30" i="60"/>
  <c r="G95" i="60"/>
  <c r="U31" i="57"/>
  <c r="G105" i="52"/>
  <c r="G56" i="51"/>
  <c r="G7" i="51"/>
  <c r="G141" i="51"/>
  <c r="G36" i="54"/>
  <c r="G155" i="54"/>
  <c r="U21" i="51"/>
  <c r="W25" i="56"/>
  <c r="U37" i="57"/>
  <c r="K33" i="11"/>
  <c r="K39" i="11"/>
  <c r="G126" i="59"/>
  <c r="G136" i="60"/>
  <c r="G114" i="51"/>
  <c r="G103" i="58"/>
  <c r="G128" i="58"/>
  <c r="G132" i="59"/>
  <c r="W32" i="59"/>
  <c r="G51" i="58"/>
  <c r="U14" i="57"/>
  <c r="U12" i="59"/>
  <c r="G73" i="51"/>
  <c r="G26" i="51"/>
  <c r="G54" i="52"/>
  <c r="G82" i="54"/>
  <c r="G148" i="60"/>
  <c r="K34" i="12"/>
  <c r="G139" i="52"/>
  <c r="G57" i="54"/>
  <c r="G136" i="54"/>
  <c r="G89" i="59"/>
  <c r="G78" i="60"/>
  <c r="U32" i="57"/>
  <c r="K33" i="9"/>
  <c r="G24" i="51"/>
  <c r="G95" i="51"/>
  <c r="G149" i="51"/>
  <c r="G95" i="52"/>
  <c r="G30" i="54"/>
  <c r="G138" i="54"/>
  <c r="G14" i="56"/>
  <c r="G113" i="59"/>
  <c r="G138" i="57"/>
  <c r="G85" i="51"/>
  <c r="K143" i="51"/>
  <c r="G74" i="54"/>
  <c r="G59" i="54"/>
  <c r="G132" i="54"/>
  <c r="K78" i="55"/>
  <c r="G26" i="56"/>
  <c r="G79" i="57"/>
  <c r="G34" i="57"/>
  <c r="G18" i="57"/>
  <c r="G130" i="57"/>
  <c r="G142" i="57"/>
  <c r="G130" i="58"/>
  <c r="G124" i="59"/>
  <c r="G136" i="59"/>
  <c r="G75" i="60"/>
  <c r="U16" i="57"/>
  <c r="W32" i="57"/>
  <c r="U37" i="58"/>
  <c r="W17" i="60"/>
  <c r="U29" i="60"/>
  <c r="W33" i="60"/>
  <c r="U23" i="57"/>
  <c r="G51" i="59"/>
  <c r="G57" i="56"/>
  <c r="G30" i="58"/>
  <c r="G18" i="58"/>
  <c r="G99" i="58"/>
  <c r="G61" i="60"/>
  <c r="G49" i="60"/>
  <c r="G120" i="60"/>
  <c r="G33" i="51"/>
  <c r="G7" i="54"/>
  <c r="G115" i="54"/>
  <c r="G24" i="56"/>
  <c r="G63" i="57"/>
  <c r="G51" i="57"/>
  <c r="G55" i="59"/>
  <c r="G36" i="59"/>
  <c r="G99" i="59"/>
  <c r="G111" i="59"/>
  <c r="G38" i="58"/>
  <c r="G144" i="57"/>
  <c r="G132" i="58"/>
  <c r="K42" i="12"/>
  <c r="G16" i="51"/>
  <c r="G147" i="51"/>
  <c r="G18" i="52"/>
  <c r="G126" i="52"/>
  <c r="G160" i="52"/>
  <c r="G85" i="54"/>
  <c r="G153" i="54"/>
  <c r="G111" i="56"/>
  <c r="G145" i="56"/>
  <c r="G40" i="58"/>
  <c r="G101" i="58"/>
  <c r="G87" i="59"/>
  <c r="G59" i="60"/>
  <c r="G32" i="60"/>
  <c r="G20" i="60"/>
  <c r="U30" i="60"/>
  <c r="K22" i="101"/>
  <c r="G60" i="51"/>
  <c r="G99" i="51"/>
  <c r="G66" i="52"/>
  <c r="G67" i="58"/>
  <c r="G63" i="59"/>
  <c r="G130" i="59"/>
  <c r="G85" i="60"/>
  <c r="G135" i="51"/>
  <c r="G114" i="52"/>
  <c r="G51" i="54"/>
  <c r="G18" i="54"/>
  <c r="G92" i="54"/>
  <c r="G63" i="56"/>
  <c r="G51" i="56"/>
  <c r="G32" i="56"/>
  <c r="G42" i="57"/>
  <c r="G138" i="58"/>
  <c r="G67" i="60"/>
  <c r="G138" i="60"/>
  <c r="U38" i="56"/>
  <c r="G126" i="57"/>
  <c r="G28" i="59"/>
  <c r="G99" i="60"/>
  <c r="W35" i="57"/>
  <c r="G118" i="51"/>
  <c r="G137" i="51"/>
  <c r="G26" i="52"/>
  <c r="K159" i="54"/>
  <c r="G7" i="58"/>
  <c r="G140" i="60"/>
  <c r="G120" i="51"/>
  <c r="G77" i="52"/>
  <c r="G118" i="52"/>
  <c r="G61" i="54"/>
  <c r="G111" i="54"/>
  <c r="G163" i="54"/>
  <c r="G73" i="56"/>
  <c r="G91" i="56"/>
  <c r="G128" i="57"/>
  <c r="G154" i="57"/>
  <c r="G80" i="58"/>
  <c r="G71" i="59"/>
  <c r="G59" i="59"/>
  <c r="G95" i="59"/>
  <c r="G107" i="59"/>
  <c r="G122" i="59"/>
  <c r="G134" i="59"/>
  <c r="G101" i="60"/>
  <c r="M64" i="113"/>
  <c r="I57" i="112"/>
  <c r="G58" i="51"/>
  <c r="G79" i="52"/>
  <c r="G105" i="51"/>
  <c r="G39" i="52"/>
  <c r="G7" i="52"/>
  <c r="G154" i="52"/>
  <c r="G96" i="54"/>
  <c r="G59" i="56"/>
  <c r="G157" i="56"/>
  <c r="G61" i="58"/>
  <c r="G40" i="59"/>
  <c r="G24" i="59"/>
  <c r="G80" i="59"/>
  <c r="G150" i="59"/>
  <c r="G63" i="60"/>
  <c r="G36" i="60"/>
  <c r="G130" i="60"/>
  <c r="G142" i="60"/>
  <c r="K22" i="99"/>
  <c r="M66" i="110"/>
  <c r="O69" i="109"/>
  <c r="O85" i="109"/>
  <c r="O72" i="108"/>
  <c r="M82" i="110"/>
  <c r="I65" i="112"/>
  <c r="M75" i="115"/>
  <c r="M66" i="111"/>
  <c r="M57" i="23"/>
  <c r="M82" i="111"/>
  <c r="M62" i="115"/>
  <c r="M60" i="24"/>
  <c r="M79" i="114"/>
  <c r="M64" i="114"/>
  <c r="M69" i="23"/>
  <c r="I26" i="7"/>
  <c r="I26" i="5"/>
  <c r="K43" i="20"/>
  <c r="I25" i="6"/>
  <c r="M50" i="20"/>
  <c r="K22" i="20"/>
  <c r="M51" i="18"/>
  <c r="K43" i="16"/>
  <c r="K44" i="13"/>
  <c r="K27" i="9"/>
  <c r="I24" i="8"/>
  <c r="I22" i="7"/>
  <c r="I22" i="6"/>
  <c r="G22" i="4"/>
  <c r="N46" i="19"/>
  <c r="M66" i="22"/>
  <c r="K156" i="55"/>
  <c r="I20" i="5"/>
  <c r="K164" i="51"/>
  <c r="M71" i="117"/>
  <c r="K22" i="100"/>
  <c r="K64" i="101"/>
  <c r="K43" i="102"/>
  <c r="K22" i="10"/>
  <c r="K33" i="10" s="1"/>
  <c r="U17" i="108"/>
  <c r="AE20" i="108" s="1"/>
  <c r="G53" i="108"/>
  <c r="U19" i="108"/>
  <c r="AE22" i="108" s="1"/>
  <c r="G61" i="108"/>
  <c r="U21" i="108"/>
  <c r="AE24" i="108" s="1"/>
  <c r="G69" i="108"/>
  <c r="G98" i="55"/>
  <c r="G16" i="54"/>
  <c r="G93" i="56"/>
  <c r="G109" i="56"/>
  <c r="G130" i="56"/>
  <c r="G149" i="56"/>
  <c r="M42" i="18"/>
  <c r="U37" i="82"/>
  <c r="M54" i="22"/>
  <c r="L41" i="19"/>
  <c r="G37" i="51"/>
  <c r="G18" i="51"/>
  <c r="G139" i="51"/>
  <c r="G168" i="51"/>
  <c r="G75" i="52"/>
  <c r="G64" i="52"/>
  <c r="G56" i="52"/>
  <c r="G45" i="52"/>
  <c r="G97" i="52"/>
  <c r="G116" i="52"/>
  <c r="K122" i="52"/>
  <c r="G147" i="52"/>
  <c r="G55" i="54"/>
  <c r="G26" i="54"/>
  <c r="G22" i="54"/>
  <c r="G140" i="54"/>
  <c r="G151" i="54"/>
  <c r="G99" i="56"/>
  <c r="G136" i="56"/>
  <c r="K153" i="56"/>
  <c r="G36" i="57"/>
  <c r="G32" i="57"/>
  <c r="G28" i="57"/>
  <c r="G24" i="57"/>
  <c r="G20" i="57"/>
  <c r="G16" i="57"/>
  <c r="G57" i="58"/>
  <c r="G49" i="58"/>
  <c r="G117" i="58"/>
  <c r="G77" i="59"/>
  <c r="G73" i="60"/>
  <c r="G36" i="61"/>
  <c r="G28" i="61"/>
  <c r="G20" i="61"/>
  <c r="G48" i="63"/>
  <c r="G9" i="63"/>
  <c r="U48" i="51"/>
  <c r="W46" i="52"/>
  <c r="W23" i="54"/>
  <c r="W15" i="56"/>
  <c r="U22" i="56"/>
  <c r="W26" i="56"/>
  <c r="W37" i="58"/>
  <c r="U20" i="59"/>
  <c r="U41" i="86"/>
  <c r="G95" i="86"/>
  <c r="U27" i="88"/>
  <c r="G7" i="88"/>
  <c r="M73" i="24"/>
  <c r="G126" i="51"/>
  <c r="G32" i="54"/>
  <c r="G134" i="54"/>
  <c r="G71" i="58"/>
  <c r="G63" i="58"/>
  <c r="G53" i="59"/>
  <c r="G34" i="59"/>
  <c r="G30" i="59"/>
  <c r="G26" i="59"/>
  <c r="G22" i="59"/>
  <c r="G18" i="59"/>
  <c r="G69" i="61"/>
  <c r="G61" i="61"/>
  <c r="G53" i="61"/>
  <c r="G21" i="62"/>
  <c r="W30" i="55"/>
  <c r="U21" i="57"/>
  <c r="G36" i="108"/>
  <c r="G28" i="108"/>
  <c r="G20" i="108"/>
  <c r="W36" i="88"/>
  <c r="G75" i="88"/>
  <c r="U23" i="98"/>
  <c r="G42" i="98"/>
  <c r="U26" i="98"/>
  <c r="G62" i="98"/>
  <c r="U21" i="114"/>
  <c r="AE25" i="114" s="1"/>
  <c r="W27" i="95"/>
  <c r="G55" i="95"/>
  <c r="G81" i="95"/>
  <c r="G59" i="91"/>
  <c r="G24" i="18"/>
  <c r="G76" i="54"/>
  <c r="G117" i="54"/>
  <c r="H26" i="19"/>
  <c r="G18" i="4"/>
  <c r="K22" i="21"/>
  <c r="N55" i="19"/>
  <c r="M44" i="17"/>
  <c r="K41" i="14"/>
  <c r="I28" i="8"/>
  <c r="G75" i="51"/>
  <c r="G101" i="51"/>
  <c r="K122" i="51"/>
  <c r="G35" i="52"/>
  <c r="G24" i="52"/>
  <c r="G141" i="52"/>
  <c r="K162" i="52"/>
  <c r="G98" i="54"/>
  <c r="K119" i="54"/>
  <c r="G59" i="55"/>
  <c r="G92" i="55"/>
  <c r="G106" i="55"/>
  <c r="G36" i="56"/>
  <c r="G28" i="56"/>
  <c r="G97" i="58"/>
  <c r="G105" i="58"/>
  <c r="G134" i="58"/>
  <c r="G146" i="58"/>
  <c r="G91" i="59"/>
  <c r="G138" i="59"/>
  <c r="G103" i="60"/>
  <c r="G78" i="61"/>
  <c r="G93" i="61"/>
  <c r="G101" i="61"/>
  <c r="G109" i="61"/>
  <c r="G29" i="95"/>
  <c r="K62" i="103"/>
  <c r="M58" i="117"/>
  <c r="W41" i="85"/>
  <c r="G93" i="85"/>
  <c r="W11" i="105"/>
  <c r="AG15" i="105" s="1"/>
  <c r="G16" i="105"/>
  <c r="W13" i="105"/>
  <c r="AG17" i="105" s="1"/>
  <c r="G24" i="105"/>
  <c r="W25" i="105"/>
  <c r="AG29" i="105" s="1"/>
  <c r="G82" i="105"/>
  <c r="M61" i="116"/>
  <c r="G7" i="5"/>
  <c r="O6" i="5"/>
  <c r="W10" i="5" s="1"/>
  <c r="K64" i="102"/>
  <c r="I49" i="112"/>
  <c r="M48" i="17"/>
  <c r="K41" i="104"/>
  <c r="K81" i="104"/>
  <c r="K78" i="105"/>
  <c r="G30" i="105"/>
  <c r="G42" i="105"/>
  <c r="G55" i="105"/>
  <c r="G70" i="105"/>
  <c r="G74" i="105"/>
  <c r="M60" i="20"/>
  <c r="K81" i="51"/>
  <c r="K81" i="52"/>
  <c r="K78" i="54"/>
  <c r="K85" i="102"/>
  <c r="K83" i="103"/>
  <c r="W35" i="89"/>
  <c r="G75" i="89"/>
  <c r="U38" i="89"/>
  <c r="G91" i="89"/>
  <c r="W39" i="89"/>
  <c r="G102" i="89"/>
  <c r="K41" i="51"/>
  <c r="K41" i="52"/>
  <c r="K41" i="103"/>
  <c r="U29" i="84"/>
  <c r="W30" i="84"/>
  <c r="W37" i="89"/>
  <c r="G89" i="89"/>
  <c r="U15" i="102"/>
  <c r="K29" i="10" l="1"/>
  <c r="G7" i="109" l="1"/>
  <c r="U6" i="109"/>
  <c r="AE9" i="109" s="1"/>
</calcChain>
</file>

<file path=xl/sharedStrings.xml><?xml version="1.0" encoding="utf-8"?>
<sst xmlns="http://schemas.openxmlformats.org/spreadsheetml/2006/main" count="13661" uniqueCount="340">
  <si>
    <t>b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</si>
  <si>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</si>
  <si>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</si>
  <si>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</si>
  <si>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</si>
  <si>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</si>
  <si>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</si>
  <si>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</si>
  <si>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</si>
  <si>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</si>
  <si>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</si>
  <si>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</si>
  <si>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</si>
  <si>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</si>
  <si>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</si>
  <si>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</si>
  <si>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</si>
  <si>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</si>
  <si>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</si>
  <si>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</si>
  <si>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</si>
  <si>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</si>
  <si>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</si>
  <si>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</si>
  <si>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</si>
  <si>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</si>
  <si>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</si>
  <si>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</si>
  <si>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</si>
  <si>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</si>
  <si>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</si>
  <si>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</si>
  <si>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</si>
  <si>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</si>
  <si>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</si>
  <si>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</si>
  <si>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</si>
  <si>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</si>
  <si>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</si>
  <si>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</si>
  <si>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</si>
  <si>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</si>
  <si>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</si>
  <si>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</si>
  <si>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</si>
  <si>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</si>
  <si>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</si>
  <si>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</si>
  <si>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</si>
  <si>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</si>
  <si>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</si>
  <si>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</si>
  <si>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</si>
  <si>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</si>
  <si>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</si>
  <si>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</si>
  <si>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</si>
  <si>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</si>
  <si>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</si>
  <si>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</si>
  <si>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</si>
  <si>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</si>
  <si>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</si>
  <si>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</si>
  <si>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</si>
  <si>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</si>
  <si>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</si>
  <si>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</si>
  <si>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</si>
  <si>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</si>
  <si>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</si>
  <si>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</si>
  <si>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</si>
  <si>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</si>
  <si>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</si>
  <si>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</si>
  <si>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</si>
  <si>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X</t>
  </si>
  <si>
    <t>Venc.J1</t>
  </si>
  <si>
    <t>Venc. J2</t>
  </si>
  <si>
    <t>Venc. J3</t>
  </si>
  <si>
    <t>Venc.J4</t>
  </si>
  <si>
    <t>Venc. J5</t>
  </si>
  <si>
    <t>Venc. J6</t>
  </si>
  <si>
    <t>Venc.J7</t>
  </si>
  <si>
    <t>Venc. J8</t>
  </si>
  <si>
    <t>Venc.J9</t>
  </si>
  <si>
    <t>Venc.J10</t>
  </si>
  <si>
    <t>Venc.J11</t>
  </si>
  <si>
    <t>Venc.J12</t>
  </si>
  <si>
    <t>Venc.J13</t>
  </si>
  <si>
    <t>Venc.J14</t>
  </si>
  <si>
    <t>Venc.J15</t>
  </si>
  <si>
    <t>Venc. J16</t>
  </si>
  <si>
    <t>Venc.J17</t>
  </si>
  <si>
    <t>Venc.J18</t>
  </si>
  <si>
    <t>Venc.J19</t>
  </si>
  <si>
    <t>Venc.J20</t>
  </si>
  <si>
    <t>Venc.J21</t>
  </si>
  <si>
    <t>Venc.J22</t>
  </si>
  <si>
    <t>Venc.J23</t>
  </si>
  <si>
    <t>Venc.J24</t>
  </si>
  <si>
    <t>Venc.J25</t>
  </si>
  <si>
    <t>Venc.J26</t>
  </si>
  <si>
    <t>Venc.J27</t>
  </si>
  <si>
    <t>Venc.J28</t>
  </si>
  <si>
    <t>Venc.J29</t>
  </si>
  <si>
    <t>Venc.J30</t>
  </si>
  <si>
    <t>Venc.J31</t>
  </si>
  <si>
    <t>Venc.J32</t>
  </si>
  <si>
    <t>Venc.J33</t>
  </si>
  <si>
    <t>Venc.J34</t>
  </si>
  <si>
    <t>Venc.J35</t>
  </si>
  <si>
    <t>Venc.J36</t>
  </si>
  <si>
    <t>Venc.J37</t>
  </si>
  <si>
    <t>Venc.J38</t>
  </si>
  <si>
    <t>Venc.J39</t>
  </si>
  <si>
    <t>Venc.J40</t>
  </si>
  <si>
    <t>Venc.J41</t>
  </si>
  <si>
    <t>Venc.J42</t>
  </si>
  <si>
    <t>Venc.J43</t>
  </si>
  <si>
    <t>Venc.J44</t>
  </si>
  <si>
    <t>Venc.J45</t>
  </si>
  <si>
    <t>Venc.J46</t>
  </si>
  <si>
    <t>Venc.J47</t>
  </si>
  <si>
    <t>Venc.J48</t>
  </si>
  <si>
    <t>Venc.J49</t>
  </si>
  <si>
    <t>Venc.J50</t>
  </si>
  <si>
    <t>Venc.J52</t>
  </si>
  <si>
    <t>Venc.J53</t>
  </si>
  <si>
    <t>Venc.J51</t>
  </si>
  <si>
    <t>Venc.J54</t>
  </si>
  <si>
    <t>Venc.J55</t>
  </si>
  <si>
    <t>Venc.J56</t>
  </si>
  <si>
    <t>Venc.J57</t>
  </si>
  <si>
    <t>Venc.J58</t>
  </si>
  <si>
    <t>Venc.J59</t>
  </si>
  <si>
    <t>Venc.J60</t>
  </si>
  <si>
    <t>Venc.J61</t>
  </si>
  <si>
    <t>Venc.J63</t>
  </si>
  <si>
    <t>Venc.J64</t>
  </si>
  <si>
    <t>Venc.J65</t>
  </si>
  <si>
    <t>Venc.J67</t>
  </si>
  <si>
    <t>Venc.J66</t>
  </si>
  <si>
    <t>Venc.J62</t>
  </si>
  <si>
    <t>Venc.J68</t>
  </si>
  <si>
    <t>Venc.J69</t>
  </si>
  <si>
    <t>Venc.J70</t>
  </si>
  <si>
    <t>Venc.J71</t>
  </si>
  <si>
    <t>VencJ72</t>
  </si>
  <si>
    <t>Venc.J73</t>
  </si>
  <si>
    <t>Venc.J74</t>
  </si>
  <si>
    <t>Venc.J75</t>
  </si>
  <si>
    <t>Local:</t>
  </si>
  <si>
    <t>Hora</t>
  </si>
  <si>
    <t>Mod.</t>
  </si>
  <si>
    <t>Jogo</t>
  </si>
  <si>
    <t>x</t>
  </si>
  <si>
    <t>Jogos</t>
  </si>
  <si>
    <t>J</t>
  </si>
  <si>
    <t>Venc.J2</t>
  </si>
  <si>
    <t>Venc.J3</t>
  </si>
  <si>
    <t>Venc.J5</t>
  </si>
  <si>
    <t>Venc.J6</t>
  </si>
  <si>
    <t>Venc.J8</t>
  </si>
  <si>
    <t>Venc.J16</t>
  </si>
  <si>
    <t>J557</t>
  </si>
  <si>
    <t>Venc.13</t>
  </si>
  <si>
    <t>Venc.J72</t>
  </si>
  <si>
    <t>Venc.5</t>
  </si>
  <si>
    <t>Venc7</t>
  </si>
  <si>
    <t>Venc9</t>
  </si>
  <si>
    <t>Venc.15</t>
  </si>
  <si>
    <t>Venc.11</t>
  </si>
  <si>
    <t>Venc.17</t>
  </si>
  <si>
    <t>Venc.19</t>
  </si>
  <si>
    <t>Venc.21</t>
  </si>
  <si>
    <t>Venc.23</t>
  </si>
  <si>
    <t>Venc.25</t>
  </si>
  <si>
    <t>Venc.27</t>
  </si>
  <si>
    <t>Venc.29</t>
  </si>
  <si>
    <t>Venc.31</t>
  </si>
  <si>
    <t>Venc.33</t>
  </si>
  <si>
    <t>Venc.35</t>
  </si>
  <si>
    <t>Venc.37</t>
  </si>
  <si>
    <t>Venc.39</t>
  </si>
  <si>
    <t>Venc.41</t>
  </si>
  <si>
    <t>Venc.43</t>
  </si>
  <si>
    <t>Venc.45</t>
  </si>
  <si>
    <t>Venc.47</t>
  </si>
  <si>
    <t>Venc.49</t>
  </si>
  <si>
    <t>Venc.51</t>
  </si>
  <si>
    <t>Venc.53</t>
  </si>
  <si>
    <t>Venc.55</t>
  </si>
  <si>
    <t>Venc.57</t>
  </si>
  <si>
    <t>Venc.59</t>
  </si>
  <si>
    <t>Venc.61</t>
  </si>
  <si>
    <t>Venc.63</t>
  </si>
  <si>
    <t>Venc.65</t>
  </si>
  <si>
    <t>VencJ7</t>
  </si>
  <si>
    <t>VencJ9</t>
  </si>
  <si>
    <t>j30</t>
  </si>
  <si>
    <t>j1</t>
  </si>
  <si>
    <t>j46</t>
  </si>
  <si>
    <t>j2</t>
  </si>
  <si>
    <t>j31</t>
  </si>
  <si>
    <t>j3</t>
  </si>
  <si>
    <t>j54</t>
  </si>
  <si>
    <t>j4</t>
  </si>
  <si>
    <t>j32</t>
  </si>
  <si>
    <t>j5</t>
  </si>
  <si>
    <t>j47</t>
  </si>
  <si>
    <t>j6</t>
  </si>
  <si>
    <t>j33</t>
  </si>
  <si>
    <t>j7</t>
  </si>
  <si>
    <t>j58</t>
  </si>
  <si>
    <t>j34</t>
  </si>
  <si>
    <t>j8</t>
  </si>
  <si>
    <t>j48</t>
  </si>
  <si>
    <t>j9</t>
  </si>
  <si>
    <t>j35</t>
  </si>
  <si>
    <t>j10</t>
  </si>
  <si>
    <t>j55</t>
  </si>
  <si>
    <t>j11</t>
  </si>
  <si>
    <t>j36</t>
  </si>
  <si>
    <t>j12</t>
  </si>
  <si>
    <t>j49</t>
  </si>
  <si>
    <t>j13</t>
  </si>
  <si>
    <t>j37</t>
  </si>
  <si>
    <t>j14</t>
  </si>
  <si>
    <t>j60</t>
  </si>
  <si>
    <t>j38</t>
  </si>
  <si>
    <t>j15</t>
  </si>
  <si>
    <t>j50</t>
  </si>
  <si>
    <t>j16</t>
  </si>
  <si>
    <t>j39</t>
  </si>
  <si>
    <t>j17</t>
  </si>
  <si>
    <t>j56</t>
  </si>
  <si>
    <t>j18</t>
  </si>
  <si>
    <t>j40</t>
  </si>
  <si>
    <t>j19</t>
  </si>
  <si>
    <t>j51</t>
  </si>
  <si>
    <t>j20</t>
  </si>
  <si>
    <t>j41</t>
  </si>
  <si>
    <t>j21</t>
  </si>
  <si>
    <t>j59</t>
  </si>
  <si>
    <t>j22</t>
  </si>
  <si>
    <t>j42</t>
  </si>
  <si>
    <t>j23</t>
  </si>
  <si>
    <t>j52</t>
  </si>
  <si>
    <t>j24</t>
  </si>
  <si>
    <t>j43</t>
  </si>
  <si>
    <t>j25</t>
  </si>
  <si>
    <t>j57</t>
  </si>
  <si>
    <t>j26</t>
  </si>
  <si>
    <t>j44</t>
  </si>
  <si>
    <t>j27</t>
  </si>
  <si>
    <t>j53</t>
  </si>
  <si>
    <t>j28</t>
  </si>
  <si>
    <t>j45</t>
  </si>
  <si>
    <t>j29</t>
  </si>
  <si>
    <t>10j</t>
  </si>
  <si>
    <t>39j</t>
  </si>
  <si>
    <t>VencJ8</t>
  </si>
  <si>
    <t>VencJ6</t>
  </si>
  <si>
    <t>VencJ4</t>
  </si>
  <si>
    <t>VencJ3</t>
  </si>
  <si>
    <t>VencJ5</t>
  </si>
  <si>
    <t>VencJ2</t>
  </si>
  <si>
    <t>perd.J7</t>
  </si>
  <si>
    <t>perd.J8</t>
  </si>
  <si>
    <t>3º / 4 º</t>
  </si>
  <si>
    <t>1º / 2 º</t>
  </si>
  <si>
    <t>Perd.J1</t>
  </si>
  <si>
    <t>Perd.J2</t>
  </si>
  <si>
    <t>Perd.J3</t>
  </si>
  <si>
    <t>Perd.J18</t>
  </si>
  <si>
    <t>Perd.J19</t>
  </si>
  <si>
    <t>1º/2º</t>
  </si>
  <si>
    <t>3º/4º</t>
  </si>
  <si>
    <t>Perd.J4</t>
  </si>
  <si>
    <t>Perd.J5</t>
  </si>
  <si>
    <t>Perd.J6</t>
  </si>
  <si>
    <t>Perd.J7</t>
  </si>
  <si>
    <t>Perd.J8</t>
  </si>
  <si>
    <t>Perd.J9</t>
  </si>
  <si>
    <t>Perd.J10</t>
  </si>
  <si>
    <t>Perd.J11</t>
  </si>
  <si>
    <t>Perd.J12</t>
  </si>
  <si>
    <t>Perd.J13</t>
  </si>
  <si>
    <t>Perd.J14</t>
  </si>
  <si>
    <t>Perd.J15</t>
  </si>
  <si>
    <t>Perd.J16</t>
  </si>
  <si>
    <t>Perd.J17</t>
  </si>
  <si>
    <t>Venc.J.16</t>
  </si>
  <si>
    <t>Venc.J.17</t>
  </si>
  <si>
    <t>Perd.J20</t>
  </si>
  <si>
    <t>Perd.J21</t>
  </si>
  <si>
    <t>Perd.J22</t>
  </si>
  <si>
    <t>Perd.J23</t>
  </si>
  <si>
    <t>Perd.J24</t>
  </si>
  <si>
    <t>Perd.J25</t>
  </si>
  <si>
    <t>Perd.J26</t>
  </si>
  <si>
    <t>Perd..J27</t>
  </si>
  <si>
    <t>Perd.J27</t>
  </si>
  <si>
    <t>Perd..J28</t>
  </si>
  <si>
    <t>Perd.J28</t>
  </si>
  <si>
    <t>Perd.J29</t>
  </si>
  <si>
    <t>Perd.J30</t>
  </si>
  <si>
    <t>Perd.J31</t>
  </si>
  <si>
    <t>Perd.J32</t>
  </si>
  <si>
    <t>modalidade</t>
  </si>
  <si>
    <t>Perd.J33</t>
  </si>
  <si>
    <t>Perd.J.33</t>
  </si>
  <si>
    <t>Perd.J34</t>
  </si>
  <si>
    <t>Perd.J35</t>
  </si>
  <si>
    <t>Perd.J36</t>
  </si>
  <si>
    <t>Primeira Posição</t>
  </si>
  <si>
    <t>Ultima Posição</t>
  </si>
  <si>
    <t>Terceira Posicação</t>
  </si>
  <si>
    <t>Ultima posição</t>
  </si>
  <si>
    <t>Americana</t>
  </si>
  <si>
    <t>Guaratinguetá</t>
  </si>
  <si>
    <t>Cajati</t>
  </si>
  <si>
    <t>Cajamar</t>
  </si>
  <si>
    <t>Sumaré</t>
  </si>
  <si>
    <t>Araras</t>
  </si>
  <si>
    <t>Artur Nogueira</t>
  </si>
  <si>
    <t>Icém</t>
  </si>
  <si>
    <t>Caconde</t>
  </si>
  <si>
    <t>Engenheiro Coelho</t>
  </si>
  <si>
    <t>Cosmópolis</t>
  </si>
  <si>
    <t>Areias</t>
  </si>
  <si>
    <t>Bananal</t>
  </si>
  <si>
    <t>Bariri</t>
  </si>
  <si>
    <t>Bastos</t>
  </si>
  <si>
    <t>Barretos</t>
  </si>
  <si>
    <t>Joanópolis</t>
  </si>
  <si>
    <t>Fartura</t>
  </si>
  <si>
    <t>Araraquara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</si>
</sst>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u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rgb="FFCF8E6D"/>
      <name val="JetBrains Mono"/>
      <family val="3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7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3" fillId="0" borderId="12" xfId="0" applyFont="1" applyBorder="1" applyAlignment="1">
      <alignment horizontal="left"/>
    </xf>
    <xf numFmtId="0" fontId="2" fillId="0" borderId="13" xfId="0" applyFont="1" applyBorder="1"/>
    <xf numFmtId="0" fontId="3" fillId="0" borderId="14" xfId="0" applyFont="1" applyBorder="1" applyAlignment="1">
      <alignment horizontal="center"/>
    </xf>
    <xf numFmtId="0" fontId="2" fillId="0" borderId="15" xfId="0" applyFont="1" applyBorder="1"/>
    <xf numFmtId="0" fontId="3" fillId="0" borderId="16" xfId="0" applyFont="1" applyBorder="1" applyAlignment="1">
      <alignment horizontal="center"/>
    </xf>
    <xf numFmtId="0" fontId="2" fillId="0" borderId="14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15" xfId="0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3" xfId="0" applyFont="1" applyBorder="1" applyAlignment="1">
      <alignment horizontal="center"/>
    </xf>
    <xf numFmtId="0" fontId="2" fillId="0" borderId="23" xfId="0" applyFont="1" applyBorder="1" applyAlignment="1">
      <alignment horizontal="right"/>
    </xf>
    <xf numFmtId="0" fontId="2" fillId="0" borderId="23" xfId="0" applyFont="1" applyBorder="1"/>
    <xf numFmtId="0" fontId="2" fillId="0" borderId="16" xfId="0" applyFont="1" applyBorder="1" applyAlignment="1">
      <alignment horizontal="right"/>
    </xf>
    <xf numFmtId="0" fontId="2" fillId="0" borderId="14" xfId="0" applyFont="1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right"/>
    </xf>
    <xf numFmtId="0" fontId="1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0" fillId="0" borderId="10" xfId="0" applyBorder="1"/>
    <xf numFmtId="0" fontId="0" fillId="0" borderId="13" xfId="0" applyBorder="1"/>
    <xf numFmtId="0" fontId="0" fillId="0" borderId="20" xfId="0" applyBorder="1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5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5" borderId="0" xfId="0" applyFill="1"/>
    <xf numFmtId="0" fontId="2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0" fontId="2" fillId="0" borderId="24" xfId="0" applyFont="1" applyBorder="1"/>
    <xf numFmtId="0" fontId="0" fillId="0" borderId="29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9" xfId="0" applyFont="1" applyBorder="1" applyAlignment="1">
      <alignment horizontal="right"/>
    </xf>
    <xf numFmtId="0" fontId="3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6" fillId="0" borderId="0" xfId="0" applyFont="1" applyAlignment="1">
      <alignment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7">
    <pageSetUpPr fitToPage="1"/>
  </sheetPr>
  <dimension ref="D4:AP168"/>
  <sheetViews>
    <sheetView showGridLines="0" tabSelected="1" topLeftCell="A4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5" max="15" width="12.87890625" customWidth="1"/>
    <col min="16" max="16" width="3.64453125" customWidth="1"/>
    <col min="20" max="20" width="5.1171875" customWidth="1"/>
    <col min="21" max="21" width="9.3515625" style="28" bestFit="1" customWidth="1"/>
    <col min="22" max="22" width="2.41015625" style="10" bestFit="1" customWidth="1"/>
    <col min="23" max="23" width="8.64453125" style="29" bestFit="1" customWidth="1"/>
    <col min="27" max="27" width="7.52734375" bestFit="1" customWidth="1"/>
    <col min="28" max="28" width="6.52734375" bestFit="1" customWidth="1"/>
    <col min="29" max="29" width="2.3515625" bestFit="1" customWidth="1"/>
    <col min="30" max="30" width="3.11718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42" ht="13" thickBot="1"/>
    <row r="5" spans="4:42" ht="13" thickTop="1">
      <c r="T5">
        <v>1</v>
      </c>
      <c r="U5" s="28">
        <f>E10</f>
        <v>2</v>
      </c>
      <c r="V5" s="10" t="s">
        <v>77</v>
      </c>
      <c r="W5" s="29">
        <f>E12</f>
        <v>3</v>
      </c>
      <c r="Z5" s="30"/>
      <c r="AA5" s="31"/>
      <c r="AB5" s="31"/>
      <c r="AC5" s="31"/>
      <c r="AD5" s="49"/>
      <c r="AE5" s="51"/>
      <c r="AF5" s="31"/>
      <c r="AG5" s="56"/>
      <c r="AH5" s="32"/>
      <c r="AI5" s="33"/>
      <c r="AJ5" s="33"/>
      <c r="AK5" s="33"/>
      <c r="AL5" s="33"/>
      <c r="AM5" s="33"/>
      <c r="AN5" s="33"/>
      <c r="AO5" s="33"/>
      <c r="AP5" s="33"/>
    </row>
    <row r="6" spans="4:42">
      <c r="T6">
        <v>2</v>
      </c>
      <c r="U6" s="28">
        <f>E29</f>
        <v>11</v>
      </c>
      <c r="V6" s="10" t="s">
        <v>77</v>
      </c>
      <c r="W6" s="29">
        <f>E31</f>
        <v>12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36"/>
      <c r="AI6" s="33"/>
      <c r="AJ6" s="33"/>
      <c r="AK6" s="45"/>
      <c r="AL6" s="33"/>
      <c r="AM6" s="33"/>
      <c r="AN6" s="33"/>
      <c r="AO6" s="33"/>
      <c r="AP6" s="33"/>
    </row>
    <row r="7" spans="4:42" ht="13" thickBot="1">
      <c r="D7">
        <v>1</v>
      </c>
      <c r="E7" s="9">
        <f>D7</f>
        <v>1</v>
      </c>
      <c r="F7" s="9"/>
      <c r="G7" s="9">
        <f>E7</f>
        <v>1</v>
      </c>
      <c r="H7" s="11"/>
      <c r="I7" s="10"/>
      <c r="J7" s="10"/>
      <c r="K7" s="10"/>
      <c r="L7" s="10"/>
      <c r="M7" s="10"/>
      <c r="N7" s="10"/>
      <c r="O7" s="10"/>
      <c r="P7" s="10"/>
      <c r="T7">
        <v>3</v>
      </c>
      <c r="U7" s="28">
        <f>E41</f>
        <v>17</v>
      </c>
      <c r="V7" s="10" t="s">
        <v>77</v>
      </c>
      <c r="W7" s="29">
        <f>E43</f>
        <v>18</v>
      </c>
      <c r="Z7" s="34"/>
      <c r="AA7" s="102"/>
      <c r="AB7" s="103"/>
      <c r="AC7" s="103"/>
      <c r="AD7" s="103"/>
      <c r="AE7" s="103"/>
      <c r="AF7" s="103"/>
      <c r="AG7" s="104"/>
      <c r="AH7" s="36"/>
      <c r="AI7" s="33"/>
      <c r="AJ7" s="33"/>
      <c r="AK7" s="45"/>
      <c r="AL7" s="33"/>
      <c r="AM7" s="33"/>
      <c r="AN7" s="33"/>
      <c r="AO7" s="33"/>
      <c r="AP7" s="33"/>
    </row>
    <row r="8" spans="4:42">
      <c r="E8" s="12">
        <f t="shared" ref="E8:E71" si="0">D8</f>
        <v>0</v>
      </c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T8">
        <v>4</v>
      </c>
      <c r="U8" s="28">
        <f>E50</f>
        <v>21</v>
      </c>
      <c r="V8" s="10" t="s">
        <v>77</v>
      </c>
      <c r="W8" s="29">
        <f>E52</f>
        <v>22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36"/>
      <c r="AI8" s="33"/>
      <c r="AJ8" s="33"/>
      <c r="AK8" s="46"/>
      <c r="AL8" s="46"/>
      <c r="AM8" s="47"/>
      <c r="AN8" s="46"/>
      <c r="AO8" s="33"/>
      <c r="AP8" s="33"/>
    </row>
    <row r="9" spans="4:42" ht="13" thickBot="1">
      <c r="E9" s="10">
        <f t="shared" si="0"/>
        <v>0</v>
      </c>
      <c r="F9" s="10"/>
      <c r="G9" s="10"/>
      <c r="H9" s="14" t="s">
        <v>14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T9">
        <v>5</v>
      </c>
      <c r="U9" s="28">
        <f>E69</f>
        <v>30</v>
      </c>
      <c r="V9" s="10" t="s">
        <v>77</v>
      </c>
      <c r="W9" s="29">
        <f>E71</f>
        <v>31</v>
      </c>
      <c r="Z9" s="34"/>
      <c r="AA9" s="40"/>
      <c r="AB9" s="40"/>
      <c r="AC9" s="38" t="s">
        <v>159</v>
      </c>
      <c r="AD9" s="48"/>
      <c r="AE9" s="53" t="e">
        <f>LOOKUP(AD9,T$5:T$80,U$5:U$80)</f>
        <v>#N/A</v>
      </c>
      <c r="AF9" s="37" t="s">
        <v>157</v>
      </c>
      <c r="AG9" s="53" t="e">
        <f>LOOKUP(AD9,T$5:T$80,W$5:W$80)</f>
        <v>#N/A</v>
      </c>
      <c r="AH9" s="36"/>
      <c r="AI9" s="33"/>
      <c r="AJ9" s="33"/>
      <c r="AK9" s="33"/>
      <c r="AL9" s="33"/>
      <c r="AM9" s="33"/>
      <c r="AN9" s="46"/>
      <c r="AO9" s="33"/>
      <c r="AP9" s="33"/>
    </row>
    <row r="10" spans="4:42" ht="13" thickBot="1">
      <c r="D10">
        <v>2</v>
      </c>
      <c r="E10" s="10">
        <f t="shared" si="0"/>
        <v>2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T10">
        <v>6</v>
      </c>
      <c r="U10" s="28">
        <f>E81</f>
        <v>36</v>
      </c>
      <c r="V10" s="10" t="s">
        <v>77</v>
      </c>
      <c r="W10" s="29">
        <f>E83</f>
        <v>37</v>
      </c>
      <c r="Z10" s="34"/>
      <c r="AA10" s="40"/>
      <c r="AB10" s="40"/>
      <c r="AC10" s="38" t="s">
        <v>159</v>
      </c>
      <c r="AD10" s="48"/>
      <c r="AE10" s="53" t="e">
        <f>LOOKUP(AD10,T$5:T$80,U$5:U$80)</f>
        <v>#N/A</v>
      </c>
      <c r="AF10" s="37" t="s">
        <v>157</v>
      </c>
      <c r="AG10" s="53" t="e">
        <f>LOOKUP(AD10,T$5:T$80,W$5:W$80)</f>
        <v>#N/A</v>
      </c>
      <c r="AH10" s="36"/>
      <c r="AI10" s="33"/>
      <c r="AJ10" s="33"/>
      <c r="AK10" s="33"/>
      <c r="AL10" s="33"/>
      <c r="AM10" s="33"/>
      <c r="AN10" s="46"/>
      <c r="AO10" s="33"/>
      <c r="AP10" s="33"/>
    </row>
    <row r="11" spans="4:42" ht="13" thickBot="1">
      <c r="E11" s="12">
        <f t="shared" si="0"/>
        <v>0</v>
      </c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T11">
        <v>7</v>
      </c>
      <c r="U11" s="28">
        <f>E91</f>
        <v>40</v>
      </c>
      <c r="V11" s="10" t="s">
        <v>77</v>
      </c>
      <c r="W11" s="29">
        <f>E93</f>
        <v>41</v>
      </c>
      <c r="Z11" s="34"/>
      <c r="AA11" s="40"/>
      <c r="AB11" s="40"/>
      <c r="AC11" s="38" t="s">
        <v>159</v>
      </c>
      <c r="AD11" s="48"/>
      <c r="AE11" s="53" t="e">
        <f>LOOKUP(AD11,T$5:T$80,U$5:U$80)</f>
        <v>#N/A</v>
      </c>
      <c r="AF11" s="37" t="s">
        <v>157</v>
      </c>
      <c r="AG11" s="53" t="e">
        <f>LOOKUP(AD11,T$5:T$80,W$5:W$80)</f>
        <v>#N/A</v>
      </c>
      <c r="AH11" s="36"/>
      <c r="AI11" s="33"/>
      <c r="AJ11" s="33"/>
      <c r="AK11" s="33"/>
      <c r="AL11" s="33"/>
      <c r="AM11" s="33"/>
      <c r="AN11" s="46"/>
      <c r="AO11" s="33"/>
      <c r="AP11" s="33"/>
    </row>
    <row r="12" spans="4:42" ht="13" thickBot="1">
      <c r="D12">
        <v>3</v>
      </c>
      <c r="E12" s="10">
        <f t="shared" si="0"/>
        <v>3</v>
      </c>
      <c r="F12" s="16"/>
      <c r="G12" s="10"/>
      <c r="H12" s="10"/>
      <c r="I12" s="10"/>
      <c r="J12" s="14" t="s">
        <v>46</v>
      </c>
      <c r="K12" s="9" t="str">
        <f>IF(OR(J9="",J15=""),"",+IF(J9&gt;J15,I9,I15))</f>
        <v/>
      </c>
      <c r="L12" s="17"/>
      <c r="M12" s="10"/>
      <c r="N12" s="10"/>
      <c r="O12" s="10"/>
      <c r="P12" s="10"/>
      <c r="T12">
        <v>8</v>
      </c>
      <c r="U12" s="28">
        <f>E110</f>
        <v>49</v>
      </c>
      <c r="V12" s="10" t="s">
        <v>77</v>
      </c>
      <c r="W12" s="29">
        <f>E112</f>
        <v>50</v>
      </c>
      <c r="Z12" s="34"/>
      <c r="AA12" s="40"/>
      <c r="AB12" s="40"/>
      <c r="AC12" s="38" t="s">
        <v>159</v>
      </c>
      <c r="AD12" s="48"/>
      <c r="AE12" s="53" t="e">
        <f>LOOKUP(AD12,T$5:T$80,U$5:U$80)</f>
        <v>#N/A</v>
      </c>
      <c r="AF12" s="37" t="s">
        <v>157</v>
      </c>
      <c r="AG12" s="53" t="e">
        <f>LOOKUP(AD12,T$5:T$80,W$5:W$80)</f>
        <v>#N/A</v>
      </c>
      <c r="AH12" s="36"/>
      <c r="AI12" s="33"/>
      <c r="AJ12" s="33"/>
      <c r="AK12" s="33"/>
      <c r="AL12" s="33"/>
      <c r="AM12" s="33"/>
      <c r="AN12" s="46"/>
      <c r="AO12" s="33"/>
      <c r="AP12" s="33"/>
    </row>
    <row r="13" spans="4:42">
      <c r="E13" s="12">
        <f t="shared" si="0"/>
        <v>0</v>
      </c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T13">
        <v>9</v>
      </c>
      <c r="U13" s="28">
        <f>E122</f>
        <v>55</v>
      </c>
      <c r="V13" s="10" t="s">
        <v>77</v>
      </c>
      <c r="W13" s="29">
        <f>E124</f>
        <v>56</v>
      </c>
      <c r="Z13" s="34"/>
      <c r="AA13" s="41"/>
      <c r="AB13" s="33"/>
      <c r="AC13" s="33"/>
      <c r="AD13" s="50"/>
      <c r="AE13" s="54"/>
      <c r="AF13" s="33"/>
      <c r="AG13" s="58"/>
      <c r="AH13" s="36"/>
      <c r="AI13" s="33"/>
      <c r="AJ13" s="33"/>
      <c r="AK13" s="33"/>
      <c r="AL13" s="33"/>
      <c r="AM13" s="33"/>
      <c r="AN13" s="33"/>
      <c r="AO13" s="33"/>
      <c r="AP13" s="33"/>
    </row>
    <row r="14" spans="4:42" ht="13" thickBot="1">
      <c r="D14">
        <v>4</v>
      </c>
      <c r="E14" s="9">
        <f t="shared" si="0"/>
        <v>4</v>
      </c>
      <c r="F14" s="9"/>
      <c r="G14" s="9">
        <f>E14</f>
        <v>4</v>
      </c>
      <c r="H14" s="11"/>
      <c r="I14" s="10"/>
      <c r="J14" s="14"/>
      <c r="K14" s="10"/>
      <c r="L14" s="10"/>
      <c r="M14" s="19"/>
      <c r="N14" s="10"/>
      <c r="O14" s="10"/>
      <c r="P14" s="10"/>
      <c r="T14">
        <v>10</v>
      </c>
      <c r="U14" s="28">
        <f>E131</f>
        <v>59</v>
      </c>
      <c r="V14" s="10" t="s">
        <v>77</v>
      </c>
      <c r="W14" s="29">
        <f>E133</f>
        <v>60</v>
      </c>
      <c r="Z14" s="34"/>
      <c r="AA14" s="40"/>
      <c r="AB14" s="40"/>
      <c r="AC14" s="38" t="s">
        <v>159</v>
      </c>
      <c r="AD14" s="48"/>
      <c r="AE14" s="53" t="e">
        <f>LOOKUP(AD14,T$5:T$80,U$5:U$80)</f>
        <v>#N/A</v>
      </c>
      <c r="AF14" s="37" t="s">
        <v>157</v>
      </c>
      <c r="AG14" s="53" t="e">
        <f>LOOKUP(AD14,T$5:T$80,W$5:W$80)</f>
        <v>#N/A</v>
      </c>
      <c r="AH14" s="36"/>
      <c r="AI14" s="33"/>
      <c r="AJ14" s="33"/>
      <c r="AK14" s="33"/>
      <c r="AL14" s="33"/>
      <c r="AM14" s="33"/>
      <c r="AN14" s="46"/>
      <c r="AO14" s="33"/>
      <c r="AP14" s="33"/>
    </row>
    <row r="15" spans="4:42" ht="13" thickBot="1">
      <c r="E15" s="10">
        <f t="shared" si="0"/>
        <v>0</v>
      </c>
      <c r="F15" s="10"/>
      <c r="G15" s="10"/>
      <c r="H15" s="13" t="s">
        <v>15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T15">
        <v>11</v>
      </c>
      <c r="U15" s="28">
        <f>E143</f>
        <v>65</v>
      </c>
      <c r="V15" s="10" t="s">
        <v>77</v>
      </c>
      <c r="W15" s="29">
        <f>E145</f>
        <v>66</v>
      </c>
      <c r="Z15" s="34"/>
      <c r="AA15" s="40"/>
      <c r="AB15" s="40"/>
      <c r="AC15" s="38" t="s">
        <v>159</v>
      </c>
      <c r="AD15" s="48"/>
      <c r="AE15" s="53" t="e">
        <f>LOOKUP(AD15,T$5:T$80,U$5:U$80)</f>
        <v>#N/A</v>
      </c>
      <c r="AF15" s="37" t="s">
        <v>157</v>
      </c>
      <c r="AG15" s="53" t="e">
        <f>LOOKUP(AD15,T$5:T$80,W$5:W$80)</f>
        <v>#N/A</v>
      </c>
      <c r="AH15" s="36"/>
      <c r="AI15" s="33"/>
      <c r="AJ15" s="33"/>
      <c r="AK15" s="33"/>
      <c r="AL15" s="33"/>
      <c r="AM15" s="33"/>
      <c r="AN15" s="46"/>
      <c r="AO15" s="33"/>
      <c r="AP15" s="33"/>
    </row>
    <row r="16" spans="4:42" ht="13" thickBot="1">
      <c r="D16">
        <v>5</v>
      </c>
      <c r="E16" s="9">
        <f t="shared" si="0"/>
        <v>5</v>
      </c>
      <c r="F16" s="9"/>
      <c r="G16" s="9">
        <f>E16</f>
        <v>5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E152</f>
        <v>69</v>
      </c>
      <c r="V16" s="10" t="s">
        <v>77</v>
      </c>
      <c r="W16" s="29">
        <f>E154</f>
        <v>70</v>
      </c>
      <c r="Z16" s="34"/>
      <c r="AA16" s="40"/>
      <c r="AB16" s="40"/>
      <c r="AC16" s="38" t="s">
        <v>159</v>
      </c>
      <c r="AD16" s="48"/>
      <c r="AE16" s="53" t="e">
        <f>LOOKUP(AD16,T$5:T$80,U$5:U$80)</f>
        <v>#N/A</v>
      </c>
      <c r="AF16" s="37" t="s">
        <v>157</v>
      </c>
      <c r="AG16" s="53" t="e">
        <f>LOOKUP(AD16,T$5:T$80,W$5:W$80)</f>
        <v>#N/A</v>
      </c>
      <c r="AH16" s="36"/>
      <c r="AI16" s="33"/>
      <c r="AJ16" s="33"/>
      <c r="AK16" s="33"/>
      <c r="AL16" s="33"/>
      <c r="AM16" s="33"/>
      <c r="AN16" s="46"/>
      <c r="AO16" s="33"/>
      <c r="AP16" s="33"/>
    </row>
    <row r="17" spans="4:42" ht="13" thickBot="1">
      <c r="E17" s="10">
        <f t="shared" si="0"/>
        <v>0</v>
      </c>
      <c r="F17" s="10"/>
      <c r="G17" s="10"/>
      <c r="H17" s="10"/>
      <c r="I17" s="10"/>
      <c r="J17" s="10"/>
      <c r="K17" s="10"/>
      <c r="L17" s="14" t="s">
        <v>62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E164</f>
        <v>75</v>
      </c>
      <c r="V17" s="10" t="s">
        <v>77</v>
      </c>
      <c r="W17" s="29">
        <f>E166</f>
        <v>76</v>
      </c>
      <c r="Z17" s="34"/>
      <c r="AA17" s="40"/>
      <c r="AB17" s="40"/>
      <c r="AC17" s="38" t="s">
        <v>159</v>
      </c>
      <c r="AD17" s="48"/>
      <c r="AE17" s="53" t="e">
        <f>LOOKUP(AD17,T$5:T$80,U$5:U$80)</f>
        <v>#N/A</v>
      </c>
      <c r="AF17" s="37" t="s">
        <v>157</v>
      </c>
      <c r="AG17" s="53" t="e">
        <f>LOOKUP(AD17,T$5:T$80,W$5:W$80)</f>
        <v>#N/A</v>
      </c>
      <c r="AH17" s="36"/>
      <c r="AI17" s="33"/>
      <c r="AJ17" s="33"/>
      <c r="AK17" s="33"/>
      <c r="AL17" s="33"/>
      <c r="AM17" s="33"/>
      <c r="AN17" s="46"/>
      <c r="AO17" s="33"/>
      <c r="AP17" s="33"/>
    </row>
    <row r="18" spans="4:42" ht="13" thickBot="1">
      <c r="D18">
        <v>6</v>
      </c>
      <c r="E18" s="9">
        <f t="shared" si="0"/>
        <v>6</v>
      </c>
      <c r="F18" s="9"/>
      <c r="G18" s="9">
        <f>E18</f>
        <v>6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E7</f>
        <v>1</v>
      </c>
      <c r="V18" s="10" t="s">
        <v>77</v>
      </c>
      <c r="W18" s="29" t="s">
        <v>78</v>
      </c>
      <c r="Z18" s="34"/>
      <c r="AA18" s="41"/>
      <c r="AB18" s="33"/>
      <c r="AC18" s="33"/>
      <c r="AD18" s="50"/>
      <c r="AE18" s="54"/>
      <c r="AF18" s="33"/>
      <c r="AG18" s="58"/>
      <c r="AH18" s="36"/>
      <c r="AI18" s="33"/>
      <c r="AJ18" s="33"/>
      <c r="AK18" s="33"/>
      <c r="AL18" s="33"/>
      <c r="AM18" s="33"/>
      <c r="AN18" s="33"/>
      <c r="AO18" s="33"/>
      <c r="AP18" s="33"/>
    </row>
    <row r="19" spans="4:42" ht="13" thickBot="1">
      <c r="E19" s="10">
        <f t="shared" si="0"/>
        <v>0</v>
      </c>
      <c r="F19" s="10"/>
      <c r="G19" s="12"/>
      <c r="H19" s="13" t="s">
        <v>16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E14</f>
        <v>4</v>
      </c>
      <c r="V19" s="10" t="s">
        <v>77</v>
      </c>
      <c r="W19" s="29">
        <f>E16</f>
        <v>5</v>
      </c>
      <c r="Z19" s="34"/>
      <c r="AA19" s="40"/>
      <c r="AB19" s="40"/>
      <c r="AC19" s="38" t="s">
        <v>159</v>
      </c>
      <c r="AD19" s="48"/>
      <c r="AE19" s="53" t="e">
        <f>LOOKUP(AD19,T$5:T$80,U$5:U$80)</f>
        <v>#N/A</v>
      </c>
      <c r="AF19" s="37" t="s">
        <v>157</v>
      </c>
      <c r="AG19" s="53" t="e">
        <f>LOOKUP(AD19,T$5:T$80,W$5:W$80)</f>
        <v>#N/A</v>
      </c>
      <c r="AH19" s="36"/>
      <c r="AI19" s="33"/>
      <c r="AJ19" s="33"/>
      <c r="AK19" s="33"/>
      <c r="AL19" s="33"/>
      <c r="AM19" s="33"/>
      <c r="AN19" s="46"/>
      <c r="AO19" s="33"/>
      <c r="AP19" s="33"/>
    </row>
    <row r="20" spans="4:42" ht="13" thickBot="1">
      <c r="D20">
        <v>7</v>
      </c>
      <c r="E20" s="9">
        <f t="shared" si="0"/>
        <v>7</v>
      </c>
      <c r="F20" s="9"/>
      <c r="G20" s="9">
        <f>E20</f>
        <v>7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E18</f>
        <v>6</v>
      </c>
      <c r="V20" s="10" t="s">
        <v>77</v>
      </c>
      <c r="W20" s="29">
        <f>E20</f>
        <v>7</v>
      </c>
      <c r="Z20" s="34"/>
      <c r="AA20" s="40"/>
      <c r="AB20" s="40"/>
      <c r="AC20" s="38" t="s">
        <v>159</v>
      </c>
      <c r="AD20" s="48"/>
      <c r="AE20" s="53" t="e">
        <f>LOOKUP(AD20,T$5:T$80,U$5:U$80)</f>
        <v>#N/A</v>
      </c>
      <c r="AF20" s="37" t="s">
        <v>157</v>
      </c>
      <c r="AG20" s="53" t="e">
        <f>LOOKUP(AD20,T$5:T$80,W$5:W$80)</f>
        <v>#N/A</v>
      </c>
      <c r="AH20" s="36"/>
      <c r="AI20" s="33"/>
      <c r="AJ20" s="33"/>
      <c r="AK20" s="33"/>
      <c r="AL20" s="33"/>
      <c r="AM20" s="33"/>
      <c r="AN20" s="46"/>
      <c r="AO20" s="33"/>
      <c r="AP20" s="33"/>
    </row>
    <row r="21" spans="4:42" ht="13" thickBot="1">
      <c r="E21" s="10">
        <f t="shared" si="0"/>
        <v>0</v>
      </c>
      <c r="F21" s="10"/>
      <c r="G21" s="12"/>
      <c r="H21" s="10"/>
      <c r="I21" s="10"/>
      <c r="J21" s="14" t="s">
        <v>47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E22</f>
        <v>8</v>
      </c>
      <c r="V21" s="10" t="s">
        <v>77</v>
      </c>
      <c r="W21" s="29">
        <f>E24</f>
        <v>9</v>
      </c>
      <c r="Z21" s="34"/>
      <c r="AA21" s="40"/>
      <c r="AB21" s="40"/>
      <c r="AC21" s="38" t="s">
        <v>159</v>
      </c>
      <c r="AD21" s="48"/>
      <c r="AE21" s="53" t="e">
        <f>LOOKUP(AD21,T$5:T$80,U$5:U$80)</f>
        <v>#N/A</v>
      </c>
      <c r="AF21" s="37" t="s">
        <v>157</v>
      </c>
      <c r="AG21" s="53" t="e">
        <f>LOOKUP(AD21,T$5:T$80,W$5:W$80)</f>
        <v>#N/A</v>
      </c>
      <c r="AH21" s="36"/>
      <c r="AI21" s="33"/>
      <c r="AJ21" s="33"/>
      <c r="AK21" s="33"/>
      <c r="AL21" s="33"/>
      <c r="AM21" s="33"/>
      <c r="AN21" s="46"/>
      <c r="AO21" s="33"/>
      <c r="AP21" s="33"/>
    </row>
    <row r="22" spans="4:42" ht="13" thickBot="1">
      <c r="D22">
        <v>8</v>
      </c>
      <c r="E22" s="9">
        <f t="shared" si="0"/>
        <v>8</v>
      </c>
      <c r="F22" s="9"/>
      <c r="G22" s="9">
        <f>E22</f>
        <v>8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E26</f>
        <v>10</v>
      </c>
      <c r="V22" s="10" t="s">
        <v>77</v>
      </c>
      <c r="W22" s="29" t="s">
        <v>79</v>
      </c>
      <c r="Z22" s="34"/>
      <c r="AA22" s="33"/>
      <c r="AB22" s="33"/>
      <c r="AC22" s="33"/>
      <c r="AD22" s="50"/>
      <c r="AE22" s="64"/>
      <c r="AF22" s="33"/>
      <c r="AG22" s="59"/>
      <c r="AH22" s="36"/>
      <c r="AI22" s="33"/>
      <c r="AJ22" s="33"/>
      <c r="AK22" s="33"/>
      <c r="AL22" s="33"/>
      <c r="AM22" s="33"/>
      <c r="AN22" s="33"/>
      <c r="AO22" s="33"/>
      <c r="AP22" s="33"/>
    </row>
    <row r="23" spans="4:42" ht="13" thickBot="1">
      <c r="E23" s="10">
        <f t="shared" si="0"/>
        <v>0</v>
      </c>
      <c r="F23" s="10"/>
      <c r="G23" s="12"/>
      <c r="H23" s="13" t="s">
        <v>17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E33</f>
        <v>13</v>
      </c>
      <c r="V23" s="10" t="s">
        <v>77</v>
      </c>
      <c r="W23" s="29">
        <f>E35</f>
        <v>14</v>
      </c>
      <c r="Z23" s="34"/>
      <c r="AA23" s="35" t="s">
        <v>153</v>
      </c>
      <c r="AB23" s="100"/>
      <c r="AC23" s="100"/>
      <c r="AD23" s="100"/>
      <c r="AE23" s="100"/>
      <c r="AF23" s="100"/>
      <c r="AG23" s="101"/>
      <c r="AH23" s="36"/>
      <c r="AI23" s="33"/>
      <c r="AJ23" s="33"/>
      <c r="AK23" s="45"/>
      <c r="AL23" s="33"/>
      <c r="AM23" s="33"/>
      <c r="AN23" s="33"/>
      <c r="AO23" s="33"/>
      <c r="AP23" s="33"/>
    </row>
    <row r="24" spans="4:42" ht="13" thickBot="1">
      <c r="D24">
        <v>9</v>
      </c>
      <c r="E24" s="9">
        <f t="shared" si="0"/>
        <v>9</v>
      </c>
      <c r="F24" s="9"/>
      <c r="G24" s="9">
        <f>E24</f>
        <v>9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>
        <f>E37</f>
        <v>15</v>
      </c>
      <c r="V24" s="10" t="s">
        <v>77</v>
      </c>
      <c r="W24" s="29">
        <f>E39</f>
        <v>16</v>
      </c>
      <c r="Z24" s="34"/>
      <c r="AA24" s="102"/>
      <c r="AB24" s="103"/>
      <c r="AC24" s="103"/>
      <c r="AD24" s="103"/>
      <c r="AE24" s="103"/>
      <c r="AF24" s="103"/>
      <c r="AG24" s="104"/>
      <c r="AH24" s="36"/>
      <c r="AI24" s="33"/>
      <c r="AJ24" s="33"/>
      <c r="AK24" s="45"/>
      <c r="AL24" s="33"/>
      <c r="AM24" s="33"/>
      <c r="AN24" s="33"/>
      <c r="AO24" s="33"/>
      <c r="AP24" s="33"/>
    </row>
    <row r="25" spans="4:42">
      <c r="E25" s="10">
        <f t="shared" si="0"/>
        <v>0</v>
      </c>
      <c r="F25" s="10"/>
      <c r="G25" s="10"/>
      <c r="H25" s="10"/>
      <c r="I25" s="10"/>
      <c r="J25" s="10"/>
      <c r="K25" s="10"/>
      <c r="L25" s="10"/>
      <c r="M25" s="10"/>
      <c r="N25" s="14"/>
      <c r="O25" s="10"/>
      <c r="P25" s="10"/>
      <c r="Q25" s="10"/>
      <c r="T25">
        <v>21</v>
      </c>
      <c r="U25" s="28" t="s">
        <v>80</v>
      </c>
      <c r="V25" s="10" t="s">
        <v>77</v>
      </c>
      <c r="W25" s="29">
        <f>E45</f>
        <v>19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  <c r="AH25" s="36"/>
      <c r="AI25" s="33"/>
      <c r="AJ25" s="33"/>
      <c r="AK25" s="46"/>
      <c r="AL25" s="46"/>
      <c r="AM25" s="47"/>
      <c r="AN25" s="46"/>
      <c r="AO25" s="33"/>
      <c r="AP25" s="33"/>
    </row>
    <row r="26" spans="4:42" ht="13" thickBot="1">
      <c r="D26">
        <v>10</v>
      </c>
      <c r="E26" s="10">
        <f t="shared" si="0"/>
        <v>10</v>
      </c>
      <c r="F26" s="9"/>
      <c r="G26" s="9">
        <f>E26</f>
        <v>10</v>
      </c>
      <c r="H26" s="11"/>
      <c r="I26" s="10"/>
      <c r="J26" s="10"/>
      <c r="K26" s="10"/>
      <c r="L26" s="10"/>
      <c r="M26" s="10"/>
      <c r="N26" s="14"/>
      <c r="O26" s="9" t="str">
        <f>IF(OR(N17="",N36=""),"",+IF(N17&gt;N36,M17,M36))</f>
        <v/>
      </c>
      <c r="P26" s="17"/>
      <c r="Q26" s="10"/>
      <c r="T26">
        <v>22</v>
      </c>
      <c r="U26" s="28">
        <f>E47</f>
        <v>20</v>
      </c>
      <c r="V26" s="10" t="s">
        <v>77</v>
      </c>
      <c r="W26" s="29" t="s">
        <v>81</v>
      </c>
      <c r="Z26" s="34"/>
      <c r="AA26" s="40"/>
      <c r="AB26" s="40"/>
      <c r="AC26" s="38" t="s">
        <v>159</v>
      </c>
      <c r="AD26" s="48"/>
      <c r="AE26" s="53" t="e">
        <f>LOOKUP(AD26,T$5:T$80,U$5:U$80)</f>
        <v>#N/A</v>
      </c>
      <c r="AF26" s="37" t="s">
        <v>157</v>
      </c>
      <c r="AG26" s="53" t="e">
        <f>LOOKUP(AD26,T$5:T$80,W$5:W$80)</f>
        <v>#N/A</v>
      </c>
      <c r="AH26" s="36"/>
      <c r="AI26" s="33"/>
      <c r="AJ26" s="33"/>
      <c r="AK26" s="33"/>
      <c r="AL26" s="33"/>
      <c r="AM26" s="33"/>
      <c r="AN26" s="46"/>
      <c r="AO26" s="33"/>
      <c r="AP26" s="33"/>
    </row>
    <row r="27" spans="4:42">
      <c r="E27" s="12">
        <f t="shared" si="0"/>
        <v>0</v>
      </c>
      <c r="F27" s="10"/>
      <c r="G27" s="10"/>
      <c r="H27" s="13"/>
      <c r="I27" s="10"/>
      <c r="J27" s="10"/>
      <c r="K27" s="10"/>
      <c r="L27" s="10"/>
      <c r="M27" s="10"/>
      <c r="N27" s="14" t="s">
        <v>70</v>
      </c>
      <c r="O27" s="10"/>
      <c r="P27" s="14"/>
      <c r="Q27" s="10"/>
      <c r="T27">
        <v>23</v>
      </c>
      <c r="U27" s="28">
        <f>E54</f>
        <v>23</v>
      </c>
      <c r="V27" s="10" t="s">
        <v>77</v>
      </c>
      <c r="W27" s="29">
        <f>E56</f>
        <v>24</v>
      </c>
      <c r="Z27" s="34"/>
      <c r="AA27" s="40"/>
      <c r="AB27" s="40"/>
      <c r="AC27" s="38" t="s">
        <v>159</v>
      </c>
      <c r="AD27" s="48"/>
      <c r="AE27" s="53" t="e">
        <f>LOOKUP(AD27,T$5:T$80,U$5:U$80)</f>
        <v>#N/A</v>
      </c>
      <c r="AF27" s="37" t="s">
        <v>157</v>
      </c>
      <c r="AG27" s="53" t="e">
        <f>LOOKUP(AD27,T$5:T$80,W$5:W$80)</f>
        <v>#N/A</v>
      </c>
      <c r="AH27" s="36"/>
      <c r="AI27" s="33"/>
      <c r="AJ27" s="33"/>
      <c r="AK27" s="33"/>
      <c r="AL27" s="33"/>
      <c r="AM27" s="33"/>
      <c r="AN27" s="46"/>
      <c r="AO27" s="33"/>
      <c r="AP27" s="33"/>
    </row>
    <row r="28" spans="4:42" ht="13" thickBot="1">
      <c r="E28" s="10">
        <f t="shared" si="0"/>
        <v>0</v>
      </c>
      <c r="F28" s="10"/>
      <c r="G28" s="10"/>
      <c r="H28" s="14" t="s">
        <v>18</v>
      </c>
      <c r="I28" s="9" t="str">
        <f>IF(OR(H26="",H30=""),"",+IF(H26&gt;H30,G26,G30))</f>
        <v/>
      </c>
      <c r="J28" s="11"/>
      <c r="K28" s="10"/>
      <c r="L28" s="10"/>
      <c r="M28" s="10"/>
      <c r="N28" s="14"/>
      <c r="O28" s="10"/>
      <c r="P28" s="14"/>
      <c r="Q28" s="10"/>
      <c r="T28">
        <v>24</v>
      </c>
      <c r="U28" s="28">
        <f>E58</f>
        <v>25</v>
      </c>
      <c r="V28" s="10" t="s">
        <v>77</v>
      </c>
      <c r="W28" s="29">
        <f>E60</f>
        <v>26</v>
      </c>
      <c r="Z28" s="34"/>
      <c r="AA28" s="40"/>
      <c r="AB28" s="40"/>
      <c r="AC28" s="38" t="s">
        <v>159</v>
      </c>
      <c r="AD28" s="48"/>
      <c r="AE28" s="53" t="e">
        <f>LOOKUP(AD28,T$5:T$80,U$5:U$80)</f>
        <v>#N/A</v>
      </c>
      <c r="AF28" s="37" t="s">
        <v>157</v>
      </c>
      <c r="AG28" s="53" t="e">
        <f>LOOKUP(AD28,T$5:T$80,W$5:W$80)</f>
        <v>#N/A</v>
      </c>
      <c r="AH28" s="36"/>
      <c r="AI28" s="33"/>
      <c r="AJ28" s="33"/>
      <c r="AK28" s="33"/>
      <c r="AL28" s="33"/>
      <c r="AM28" s="33"/>
      <c r="AN28" s="46"/>
      <c r="AO28" s="33"/>
      <c r="AP28" s="33"/>
    </row>
    <row r="29" spans="4:42" ht="13" thickBot="1">
      <c r="D29">
        <v>11</v>
      </c>
      <c r="E29" s="10">
        <f t="shared" si="0"/>
        <v>11</v>
      </c>
      <c r="F29" s="11"/>
      <c r="G29" s="10"/>
      <c r="H29" s="14"/>
      <c r="I29" s="10"/>
      <c r="J29" s="13"/>
      <c r="K29" s="10"/>
      <c r="L29" s="10"/>
      <c r="M29" s="10"/>
      <c r="N29" s="14"/>
      <c r="O29" s="10"/>
      <c r="P29" s="14"/>
      <c r="Q29" s="10"/>
      <c r="T29">
        <v>25</v>
      </c>
      <c r="U29" s="28">
        <f>E62</f>
        <v>27</v>
      </c>
      <c r="V29" s="10" t="s">
        <v>77</v>
      </c>
      <c r="W29" s="29">
        <f>E64</f>
        <v>28</v>
      </c>
      <c r="Z29" s="34"/>
      <c r="AA29" s="40"/>
      <c r="AB29" s="40"/>
      <c r="AC29" s="38" t="s">
        <v>159</v>
      </c>
      <c r="AD29" s="48"/>
      <c r="AE29" s="53" t="e">
        <f>LOOKUP(AD29,T$5:T$80,U$5:U$80)</f>
        <v>#N/A</v>
      </c>
      <c r="AF29" s="37" t="s">
        <v>157</v>
      </c>
      <c r="AG29" s="53" t="e">
        <f>LOOKUP(AD29,T$5:T$80,W$5:W$80)</f>
        <v>#N/A</v>
      </c>
      <c r="AH29" s="36"/>
      <c r="AI29" s="33"/>
      <c r="AJ29" s="33"/>
      <c r="AK29" s="33"/>
      <c r="AL29" s="33"/>
      <c r="AM29" s="33"/>
      <c r="AN29" s="46"/>
      <c r="AO29" s="33"/>
      <c r="AP29" s="33"/>
    </row>
    <row r="30" spans="4:42" ht="13" thickBot="1">
      <c r="E30" s="12">
        <f t="shared" si="0"/>
        <v>0</v>
      </c>
      <c r="F30" s="13" t="s">
        <v>2</v>
      </c>
      <c r="G30" s="9" t="str">
        <f>IF(OR(F29="",F31=""),"",+IF(F29&gt;F31,E29,E31))</f>
        <v/>
      </c>
      <c r="H30" s="16"/>
      <c r="I30" s="10"/>
      <c r="J30" s="14"/>
      <c r="K30" s="10"/>
      <c r="L30" s="10"/>
      <c r="M30" s="10"/>
      <c r="N30" s="14"/>
      <c r="O30" s="10"/>
      <c r="P30" s="14"/>
      <c r="Q30" s="10"/>
      <c r="T30">
        <v>26</v>
      </c>
      <c r="U30" s="28">
        <f>E66</f>
        <v>29</v>
      </c>
      <c r="V30" s="10" t="s">
        <v>77</v>
      </c>
      <c r="W30" s="29" t="s">
        <v>82</v>
      </c>
      <c r="Z30" s="34"/>
      <c r="AA30" s="41"/>
      <c r="AB30" s="33"/>
      <c r="AC30" s="33"/>
      <c r="AD30" s="50"/>
      <c r="AE30" s="54"/>
      <c r="AF30" s="33"/>
      <c r="AG30" s="58"/>
      <c r="AH30" s="36"/>
      <c r="AI30" s="33"/>
      <c r="AJ30" s="33"/>
      <c r="AK30" s="33"/>
      <c r="AL30" s="33"/>
      <c r="AM30" s="33"/>
      <c r="AN30" s="33"/>
      <c r="AO30" s="33"/>
      <c r="AP30" s="33"/>
    </row>
    <row r="31" spans="4:42" ht="13" thickBot="1">
      <c r="D31">
        <v>12</v>
      </c>
      <c r="E31" s="10">
        <f t="shared" si="0"/>
        <v>12</v>
      </c>
      <c r="F31" s="16"/>
      <c r="G31" s="10"/>
      <c r="H31" s="10"/>
      <c r="I31" s="10"/>
      <c r="J31" s="14" t="s">
        <v>48</v>
      </c>
      <c r="K31" s="9" t="str">
        <f>IF(OR(J28="",J34=""),"",+IF(J28&gt;J34,I28,I34))</f>
        <v/>
      </c>
      <c r="L31" s="11"/>
      <c r="M31" s="10"/>
      <c r="N31" s="14"/>
      <c r="O31" s="10"/>
      <c r="P31" s="14"/>
      <c r="Q31" s="10"/>
      <c r="T31">
        <v>27</v>
      </c>
      <c r="U31" s="28">
        <f>E73</f>
        <v>32</v>
      </c>
      <c r="V31" s="10" t="s">
        <v>77</v>
      </c>
      <c r="W31" s="29">
        <f>E75</f>
        <v>33</v>
      </c>
      <c r="Z31" s="34"/>
      <c r="AA31" s="40"/>
      <c r="AB31" s="40"/>
      <c r="AC31" s="38" t="s">
        <v>159</v>
      </c>
      <c r="AD31" s="48"/>
      <c r="AE31" s="53" t="e">
        <f>LOOKUP(AD31,T$5:T$80,U$5:U$80)</f>
        <v>#N/A</v>
      </c>
      <c r="AF31" s="37" t="s">
        <v>157</v>
      </c>
      <c r="AG31" s="53" t="e">
        <f>LOOKUP(AD31,T$5:T$80,W$5:W$80)</f>
        <v>#N/A</v>
      </c>
      <c r="AH31" s="36"/>
      <c r="AI31" s="33"/>
      <c r="AJ31" s="33"/>
      <c r="AK31" s="33"/>
      <c r="AL31" s="33"/>
      <c r="AM31" s="33"/>
      <c r="AN31" s="46"/>
      <c r="AO31" s="33"/>
      <c r="AP31" s="33"/>
    </row>
    <row r="32" spans="4:42">
      <c r="E32" s="12">
        <f t="shared" si="0"/>
        <v>0</v>
      </c>
      <c r="F32" s="10"/>
      <c r="G32" s="10"/>
      <c r="H32" s="10"/>
      <c r="I32" s="10"/>
      <c r="J32" s="14"/>
      <c r="K32" s="12"/>
      <c r="L32" s="13"/>
      <c r="M32" s="10"/>
      <c r="N32" s="14"/>
      <c r="O32" s="10"/>
      <c r="P32" s="14"/>
      <c r="Q32" s="10"/>
      <c r="T32">
        <v>28</v>
      </c>
      <c r="U32" s="28">
        <f>E77</f>
        <v>34</v>
      </c>
      <c r="V32" s="10" t="s">
        <v>77</v>
      </c>
      <c r="W32" s="29">
        <f>E79</f>
        <v>35</v>
      </c>
      <c r="Z32" s="34"/>
      <c r="AA32" s="40"/>
      <c r="AB32" s="40"/>
      <c r="AC32" s="38" t="s">
        <v>159</v>
      </c>
      <c r="AD32" s="48"/>
      <c r="AE32" s="53" t="e">
        <f>LOOKUP(AD32,T$5:T$80,U$5:U$80)</f>
        <v>#N/A</v>
      </c>
      <c r="AF32" s="37" t="s">
        <v>157</v>
      </c>
      <c r="AG32" s="53" t="e">
        <f>LOOKUP(AD32,T$5:T$80,W$5:W$80)</f>
        <v>#N/A</v>
      </c>
      <c r="AH32" s="36"/>
      <c r="AI32" s="33"/>
      <c r="AJ32" s="33"/>
      <c r="AK32" s="33"/>
      <c r="AL32" s="33"/>
      <c r="AM32" s="33"/>
      <c r="AN32" s="46"/>
      <c r="AO32" s="33"/>
      <c r="AP32" s="33"/>
    </row>
    <row r="33" spans="4:42" ht="13" thickBot="1">
      <c r="D33">
        <v>13</v>
      </c>
      <c r="E33" s="9">
        <f t="shared" si="0"/>
        <v>13</v>
      </c>
      <c r="F33" s="9"/>
      <c r="G33" s="9">
        <f>E33</f>
        <v>13</v>
      </c>
      <c r="H33" s="11"/>
      <c r="I33" s="10"/>
      <c r="J33" s="14"/>
      <c r="K33" s="10"/>
      <c r="L33" s="14"/>
      <c r="M33" s="10"/>
      <c r="N33" s="14"/>
      <c r="O33" s="10"/>
      <c r="P33" s="14"/>
      <c r="Q33" s="10"/>
      <c r="T33">
        <v>29</v>
      </c>
      <c r="U33" s="28" t="s">
        <v>83</v>
      </c>
      <c r="V33" s="10" t="s">
        <v>77</v>
      </c>
      <c r="W33" s="29">
        <f>E85</f>
        <v>38</v>
      </c>
      <c r="Z33" s="34"/>
      <c r="AA33" s="40"/>
      <c r="AB33" s="40"/>
      <c r="AC33" s="38" t="s">
        <v>159</v>
      </c>
      <c r="AD33" s="48"/>
      <c r="AE33" s="53" t="e">
        <f>LOOKUP(AD33,T$5:T$80,U$5:U$80)</f>
        <v>#N/A</v>
      </c>
      <c r="AF33" s="37" t="s">
        <v>157</v>
      </c>
      <c r="AG33" s="53" t="e">
        <f>LOOKUP(AD33,T$5:T$80,W$5:W$80)</f>
        <v>#N/A</v>
      </c>
      <c r="AH33" s="36"/>
      <c r="AI33" s="33"/>
      <c r="AJ33" s="33"/>
      <c r="AK33" s="33"/>
      <c r="AL33" s="33"/>
      <c r="AM33" s="33"/>
      <c r="AN33" s="46"/>
      <c r="AO33" s="33"/>
      <c r="AP33" s="33"/>
    </row>
    <row r="34" spans="4:42" ht="13" thickBot="1">
      <c r="E34" s="10">
        <f t="shared" si="0"/>
        <v>0</v>
      </c>
      <c r="F34" s="10"/>
      <c r="G34" s="10"/>
      <c r="H34" s="13" t="s">
        <v>19</v>
      </c>
      <c r="I34" s="9" t="str">
        <f>IF(OR(H33="",H35=""),"",+IF(H33&gt;H35,E33,E35))</f>
        <v/>
      </c>
      <c r="J34" s="16"/>
      <c r="K34" s="10"/>
      <c r="L34" s="14"/>
      <c r="M34" s="10"/>
      <c r="N34" s="14"/>
      <c r="O34" s="10"/>
      <c r="P34" s="14"/>
      <c r="Q34" s="10"/>
      <c r="T34">
        <v>30</v>
      </c>
      <c r="U34" s="28">
        <f>E88</f>
        <v>39</v>
      </c>
      <c r="V34" s="10" t="s">
        <v>77</v>
      </c>
      <c r="W34" s="29" t="s">
        <v>84</v>
      </c>
      <c r="Z34" s="34"/>
      <c r="AA34" s="40"/>
      <c r="AB34" s="40"/>
      <c r="AC34" s="38" t="s">
        <v>159</v>
      </c>
      <c r="AD34" s="48"/>
      <c r="AE34" s="53" t="e">
        <f>LOOKUP(AD34,T$5:T$80,U$5:U$80)</f>
        <v>#N/A</v>
      </c>
      <c r="AF34" s="37" t="s">
        <v>157</v>
      </c>
      <c r="AG34" s="53" t="e">
        <f>LOOKUP(AD34,T$5:T$80,W$5:W$80)</f>
        <v>#N/A</v>
      </c>
      <c r="AH34" s="36"/>
      <c r="AI34" s="33"/>
      <c r="AJ34" s="33"/>
      <c r="AK34" s="33"/>
      <c r="AL34" s="33"/>
      <c r="AM34" s="33"/>
      <c r="AN34" s="46"/>
      <c r="AO34" s="33"/>
      <c r="AP34" s="33"/>
    </row>
    <row r="35" spans="4:42" ht="13" thickBot="1">
      <c r="D35">
        <v>14</v>
      </c>
      <c r="E35" s="9">
        <f t="shared" si="0"/>
        <v>14</v>
      </c>
      <c r="F35" s="9"/>
      <c r="G35" s="9">
        <f>E35</f>
        <v>14</v>
      </c>
      <c r="H35" s="16"/>
      <c r="I35" s="10"/>
      <c r="J35" s="10"/>
      <c r="K35" s="10"/>
      <c r="L35" s="14"/>
      <c r="M35" s="10"/>
      <c r="N35" s="14"/>
      <c r="O35" s="10"/>
      <c r="P35" s="14"/>
      <c r="Q35" s="10"/>
      <c r="T35">
        <v>31</v>
      </c>
      <c r="U35" s="28">
        <f>E95</f>
        <v>42</v>
      </c>
      <c r="V35" s="10" t="s">
        <v>77</v>
      </c>
      <c r="W35" s="29">
        <f>E97</f>
        <v>43</v>
      </c>
      <c r="Z35" s="34"/>
      <c r="AA35" s="41"/>
      <c r="AB35" s="33"/>
      <c r="AC35" s="33"/>
      <c r="AD35" s="50"/>
      <c r="AE35" s="54"/>
      <c r="AF35" s="33"/>
      <c r="AG35" s="58"/>
      <c r="AH35" s="36"/>
      <c r="AI35" s="33"/>
      <c r="AJ35" s="33"/>
      <c r="AK35" s="33"/>
      <c r="AL35" s="33"/>
      <c r="AM35" s="33"/>
      <c r="AN35" s="33"/>
      <c r="AO35" s="33"/>
      <c r="AP35" s="33"/>
    </row>
    <row r="36" spans="4:42" ht="13" thickBot="1">
      <c r="E36" s="10">
        <f t="shared" si="0"/>
        <v>0</v>
      </c>
      <c r="F36" s="10"/>
      <c r="G36" s="10"/>
      <c r="H36" s="10"/>
      <c r="I36" s="10"/>
      <c r="J36" s="10"/>
      <c r="K36" s="10"/>
      <c r="L36" s="14"/>
      <c r="M36" s="9" t="str">
        <f>IF(OR(L31="",L41=""),"",+IF(L31&gt;L41,K31,K41))</f>
        <v/>
      </c>
      <c r="N36" s="16"/>
      <c r="O36" s="10"/>
      <c r="P36" s="14"/>
      <c r="Q36" s="10"/>
      <c r="T36">
        <v>32</v>
      </c>
      <c r="U36" s="28">
        <f>E99</f>
        <v>44</v>
      </c>
      <c r="V36" s="10" t="s">
        <v>77</v>
      </c>
      <c r="W36" s="29">
        <f>E101</f>
        <v>45</v>
      </c>
      <c r="Z36" s="34"/>
      <c r="AA36" s="40"/>
      <c r="AB36" s="40"/>
      <c r="AC36" s="38" t="s">
        <v>159</v>
      </c>
      <c r="AD36" s="48"/>
      <c r="AE36" s="53" t="e">
        <f>LOOKUP(AD36,T$5:T$80,U$5:U$80)</f>
        <v>#N/A</v>
      </c>
      <c r="AF36" s="37" t="s">
        <v>157</v>
      </c>
      <c r="AG36" s="53" t="e">
        <f>LOOKUP(AD36,T$5:T$80,W$5:W$80)</f>
        <v>#N/A</v>
      </c>
      <c r="AH36" s="36"/>
      <c r="AI36" s="33"/>
      <c r="AJ36" s="33"/>
      <c r="AK36" s="33"/>
      <c r="AL36" s="33"/>
      <c r="AM36" s="33"/>
      <c r="AN36" s="46"/>
      <c r="AO36" s="33"/>
      <c r="AP36" s="33"/>
    </row>
    <row r="37" spans="4:42" ht="13" thickBot="1">
      <c r="D37">
        <v>15</v>
      </c>
      <c r="E37" s="9">
        <f t="shared" si="0"/>
        <v>15</v>
      </c>
      <c r="F37" s="9"/>
      <c r="G37" s="9">
        <f>E37</f>
        <v>15</v>
      </c>
      <c r="H37" s="11"/>
      <c r="I37" s="10"/>
      <c r="J37" s="10"/>
      <c r="K37" s="10"/>
      <c r="L37" s="14" t="s">
        <v>63</v>
      </c>
      <c r="M37" s="10"/>
      <c r="N37" s="10"/>
      <c r="O37" s="10"/>
      <c r="P37" s="14"/>
      <c r="Q37" s="10"/>
      <c r="T37">
        <v>33</v>
      </c>
      <c r="U37" s="28">
        <f>E103</f>
        <v>46</v>
      </c>
      <c r="V37" s="10" t="s">
        <v>77</v>
      </c>
      <c r="W37" s="29">
        <f>E105</f>
        <v>47</v>
      </c>
      <c r="Z37" s="34"/>
      <c r="AA37" s="40"/>
      <c r="AB37" s="40"/>
      <c r="AC37" s="38" t="s">
        <v>159</v>
      </c>
      <c r="AD37" s="48"/>
      <c r="AE37" s="53" t="e">
        <f>LOOKUP(AD37,T$5:T$80,U$5:U$80)</f>
        <v>#N/A</v>
      </c>
      <c r="AF37" s="37" t="s">
        <v>157</v>
      </c>
      <c r="AG37" s="53" t="e">
        <f>LOOKUP(AD37,T$5:T$80,W$5:W$80)</f>
        <v>#N/A</v>
      </c>
      <c r="AH37" s="36"/>
      <c r="AI37" s="33"/>
      <c r="AJ37" s="33"/>
      <c r="AK37" s="33"/>
      <c r="AL37" s="33"/>
      <c r="AM37" s="33"/>
      <c r="AN37" s="46"/>
      <c r="AO37" s="33"/>
      <c r="AP37" s="33"/>
    </row>
    <row r="38" spans="4:42" ht="13" thickBot="1">
      <c r="E38" s="10">
        <f t="shared" si="0"/>
        <v>0</v>
      </c>
      <c r="F38" s="10"/>
      <c r="G38" s="10"/>
      <c r="H38" s="13" t="s">
        <v>20</v>
      </c>
      <c r="I38" s="9" t="str">
        <f>IF(OR(H37="",H39=""),"",+IF(H37&gt;H39,E37,E39))</f>
        <v/>
      </c>
      <c r="J38" s="17"/>
      <c r="K38" s="10"/>
      <c r="L38" s="14"/>
      <c r="M38" s="10"/>
      <c r="N38" s="10"/>
      <c r="O38" s="10"/>
      <c r="P38" s="14"/>
      <c r="Q38" s="10"/>
      <c r="T38">
        <v>34</v>
      </c>
      <c r="U38" s="28">
        <f>E107</f>
        <v>48</v>
      </c>
      <c r="V38" s="10" t="s">
        <v>77</v>
      </c>
      <c r="W38" s="29" t="s">
        <v>85</v>
      </c>
      <c r="Z38" s="34"/>
      <c r="AA38" s="40"/>
      <c r="AB38" s="40"/>
      <c r="AC38" s="38" t="s">
        <v>159</v>
      </c>
      <c r="AD38" s="48"/>
      <c r="AE38" s="53" t="e">
        <f>LOOKUP(AD38,T$5:T$80,U$5:U$80)</f>
        <v>#N/A</v>
      </c>
      <c r="AF38" s="37" t="s">
        <v>157</v>
      </c>
      <c r="AG38" s="53" t="e">
        <f>LOOKUP(AD38,T$5:T$80,W$5:W$80)</f>
        <v>#N/A</v>
      </c>
      <c r="AH38" s="36"/>
      <c r="AI38" s="33"/>
      <c r="AJ38" s="33"/>
      <c r="AK38" s="33"/>
      <c r="AL38" s="33"/>
      <c r="AM38" s="33"/>
      <c r="AN38" s="46"/>
      <c r="AO38" s="33"/>
      <c r="AP38" s="33"/>
    </row>
    <row r="39" spans="4:42" ht="13" thickBot="1">
      <c r="D39">
        <v>16</v>
      </c>
      <c r="E39" s="9">
        <f t="shared" si="0"/>
        <v>16</v>
      </c>
      <c r="F39" s="9"/>
      <c r="G39" s="9">
        <f>E39</f>
        <v>16</v>
      </c>
      <c r="H39" s="16"/>
      <c r="I39" s="10"/>
      <c r="J39" s="13"/>
      <c r="K39" s="10"/>
      <c r="L39" s="14"/>
      <c r="M39" s="10"/>
      <c r="N39" s="10"/>
      <c r="O39" s="10"/>
      <c r="P39" s="14"/>
      <c r="Q39" s="10"/>
      <c r="T39">
        <v>35</v>
      </c>
      <c r="U39" s="28">
        <f>E114</f>
        <v>51</v>
      </c>
      <c r="V39" s="10" t="s">
        <v>77</v>
      </c>
      <c r="W39" s="29">
        <f>E116</f>
        <v>52</v>
      </c>
      <c r="Z39" s="34"/>
      <c r="AA39" s="33"/>
      <c r="AB39" s="33"/>
      <c r="AC39" s="33"/>
      <c r="AD39" s="50"/>
      <c r="AE39" s="64"/>
      <c r="AF39" s="33"/>
      <c r="AG39" s="59"/>
      <c r="AH39" s="36"/>
      <c r="AI39" s="33"/>
      <c r="AJ39" s="33"/>
      <c r="AK39" s="33"/>
      <c r="AL39" s="33"/>
      <c r="AM39" s="33"/>
      <c r="AN39" s="33"/>
      <c r="AO39" s="33"/>
      <c r="AP39" s="33"/>
    </row>
    <row r="40" spans="4:42">
      <c r="E40" s="10">
        <f t="shared" si="0"/>
        <v>0</v>
      </c>
      <c r="F40" s="10"/>
      <c r="G40" s="10"/>
      <c r="H40" s="10"/>
      <c r="I40" s="10"/>
      <c r="J40" s="14"/>
      <c r="K40" s="10"/>
      <c r="L40" s="14"/>
      <c r="M40" s="10"/>
      <c r="N40" s="10"/>
      <c r="O40" s="10"/>
      <c r="P40" s="14"/>
      <c r="Q40" s="10"/>
      <c r="T40">
        <v>36</v>
      </c>
      <c r="U40" s="28">
        <f>E118</f>
        <v>53</v>
      </c>
      <c r="V40" s="10" t="s">
        <v>77</v>
      </c>
      <c r="W40" s="29">
        <f>E120</f>
        <v>54</v>
      </c>
      <c r="Z40" s="34"/>
      <c r="AA40" s="35" t="s">
        <v>153</v>
      </c>
      <c r="AB40" s="100"/>
      <c r="AC40" s="100"/>
      <c r="AD40" s="100"/>
      <c r="AE40" s="100"/>
      <c r="AF40" s="100"/>
      <c r="AG40" s="101"/>
      <c r="AH40" s="36"/>
      <c r="AI40" s="33"/>
      <c r="AJ40" s="33"/>
      <c r="AK40" s="45"/>
      <c r="AL40" s="33"/>
      <c r="AM40" s="33"/>
      <c r="AN40" s="33"/>
      <c r="AO40" s="33"/>
      <c r="AP40" s="33"/>
    </row>
    <row r="41" spans="4:42" ht="13" thickBot="1">
      <c r="D41">
        <v>17</v>
      </c>
      <c r="E41" s="10">
        <f t="shared" si="0"/>
        <v>17</v>
      </c>
      <c r="F41" s="11"/>
      <c r="G41" s="10"/>
      <c r="H41" s="10"/>
      <c r="I41" s="10"/>
      <c r="J41" s="14" t="s">
        <v>49</v>
      </c>
      <c r="K41" s="18" t="str">
        <f>IF(OR(I38="",I43=""),"",+IF(J38&gt;J43,I38,I43))</f>
        <v/>
      </c>
      <c r="L41" s="16"/>
      <c r="M41" s="10"/>
      <c r="N41" s="10"/>
      <c r="O41" s="10"/>
      <c r="P41" s="14"/>
      <c r="Q41" s="10"/>
      <c r="T41">
        <v>37</v>
      </c>
      <c r="U41" s="28" t="s">
        <v>86</v>
      </c>
      <c r="V41" s="10" t="s">
        <v>77</v>
      </c>
      <c r="W41" s="29">
        <f>E126</f>
        <v>57</v>
      </c>
      <c r="Z41" s="34"/>
      <c r="AA41" s="102"/>
      <c r="AB41" s="103"/>
      <c r="AC41" s="103"/>
      <c r="AD41" s="103"/>
      <c r="AE41" s="103"/>
      <c r="AF41" s="103"/>
      <c r="AG41" s="104"/>
      <c r="AH41" s="36"/>
      <c r="AI41" s="33"/>
      <c r="AJ41" s="33"/>
      <c r="AK41" s="45"/>
      <c r="AL41" s="33"/>
      <c r="AM41" s="33"/>
      <c r="AN41" s="33"/>
      <c r="AO41" s="33"/>
      <c r="AP41" s="33"/>
    </row>
    <row r="42" spans="4:42" ht="13" thickBot="1">
      <c r="E42" s="12">
        <f t="shared" si="0"/>
        <v>0</v>
      </c>
      <c r="F42" s="13" t="s">
        <v>3</v>
      </c>
      <c r="G42" s="9" t="str">
        <f>IF(OR(F41="",F43=""),"",+IF(F41&gt;F43,E41,E43))</f>
        <v/>
      </c>
      <c r="H42" s="17"/>
      <c r="I42" s="10"/>
      <c r="J42" s="14"/>
      <c r="K42" s="10"/>
      <c r="L42" s="10"/>
      <c r="M42" s="10"/>
      <c r="N42" s="10"/>
      <c r="O42" s="10"/>
      <c r="P42" s="14"/>
      <c r="Q42" s="10"/>
      <c r="T42">
        <v>38</v>
      </c>
      <c r="U42" s="28">
        <f>E128</f>
        <v>58</v>
      </c>
      <c r="V42" s="10" t="s">
        <v>77</v>
      </c>
      <c r="W42" s="29" t="s">
        <v>87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  <c r="AH42" s="36"/>
      <c r="AI42" s="33"/>
      <c r="AJ42" s="33"/>
      <c r="AK42" s="46"/>
      <c r="AL42" s="46"/>
      <c r="AM42" s="47"/>
      <c r="AN42" s="46"/>
      <c r="AO42" s="33"/>
      <c r="AP42" s="33"/>
    </row>
    <row r="43" spans="4:42" ht="13" thickBot="1">
      <c r="D43">
        <v>18</v>
      </c>
      <c r="E43" s="9">
        <f t="shared" si="0"/>
        <v>18</v>
      </c>
      <c r="F43" s="16"/>
      <c r="G43" s="10"/>
      <c r="H43" s="13"/>
      <c r="I43" s="9" t="str">
        <f>IF(OR(H42="",H45=""),"",+IF(H42&gt;H45,G42,G45))</f>
        <v/>
      </c>
      <c r="J43" s="16"/>
      <c r="K43" s="10"/>
      <c r="L43" s="10"/>
      <c r="M43" s="10"/>
      <c r="N43" s="10"/>
      <c r="O43" s="10"/>
      <c r="P43" s="14"/>
      <c r="Q43" s="10"/>
      <c r="T43">
        <v>39</v>
      </c>
      <c r="U43" s="28">
        <f>E135</f>
        <v>61</v>
      </c>
      <c r="V43" s="10" t="s">
        <v>77</v>
      </c>
      <c r="W43" s="29">
        <f>E137</f>
        <v>62</v>
      </c>
      <c r="Z43" s="34"/>
      <c r="AA43" s="40"/>
      <c r="AB43" s="40"/>
      <c r="AC43" s="38" t="s">
        <v>159</v>
      </c>
      <c r="AD43" s="48">
        <v>52</v>
      </c>
      <c r="AE43" s="53" t="str">
        <f>LOOKUP(AD43,T$5:T$80,U$5:U$80)</f>
        <v>Venc.J26</v>
      </c>
      <c r="AF43" s="37" t="s">
        <v>157</v>
      </c>
      <c r="AG43" s="53" t="str">
        <f>LOOKUP(AD43,T$5:T$80,W$5:W$80)</f>
        <v>Venc.J27</v>
      </c>
      <c r="AH43" s="36"/>
      <c r="AI43" s="33"/>
      <c r="AJ43" s="33"/>
      <c r="AK43" s="33"/>
      <c r="AL43" s="33"/>
      <c r="AM43" s="33"/>
      <c r="AN43" s="46"/>
      <c r="AO43" s="33"/>
      <c r="AP43" s="33"/>
    </row>
    <row r="44" spans="4:42">
      <c r="E44" s="10">
        <f t="shared" si="0"/>
        <v>0</v>
      </c>
      <c r="F44" s="10"/>
      <c r="G44" s="10"/>
      <c r="H44" s="14" t="s">
        <v>21</v>
      </c>
      <c r="I44" s="10"/>
      <c r="J44" s="10"/>
      <c r="K44" s="10"/>
      <c r="L44" s="10"/>
      <c r="M44" s="10"/>
      <c r="N44" s="10"/>
      <c r="O44" s="10"/>
      <c r="P44" s="14"/>
      <c r="Q44" s="10"/>
      <c r="T44">
        <v>40</v>
      </c>
      <c r="U44" s="28">
        <f>E139</f>
        <v>63</v>
      </c>
      <c r="V44" s="10" t="s">
        <v>77</v>
      </c>
      <c r="W44" s="29">
        <f>E141</f>
        <v>64</v>
      </c>
      <c r="Z44" s="34"/>
      <c r="AA44" s="40"/>
      <c r="AB44" s="40"/>
      <c r="AC44" s="38" t="s">
        <v>159</v>
      </c>
      <c r="AD44" s="48"/>
      <c r="AE44" s="53" t="e">
        <f>LOOKUP(AD44,T$5:T$80,U$5:U$80)</f>
        <v>#N/A</v>
      </c>
      <c r="AF44" s="37" t="s">
        <v>157</v>
      </c>
      <c r="AG44" s="53" t="e">
        <f>LOOKUP(AD44,T$5:T$80,W$5:W$80)</f>
        <v>#N/A</v>
      </c>
      <c r="AH44" s="36"/>
      <c r="AI44" s="33"/>
      <c r="AJ44" s="33"/>
      <c r="AK44" s="33"/>
      <c r="AL44" s="33"/>
      <c r="AM44" s="33"/>
      <c r="AN44" s="46"/>
      <c r="AO44" s="33"/>
      <c r="AP44" s="33"/>
    </row>
    <row r="45" spans="4:42" ht="13" thickBot="1">
      <c r="D45">
        <v>19</v>
      </c>
      <c r="E45" s="9">
        <f t="shared" si="0"/>
        <v>19</v>
      </c>
      <c r="F45" s="9"/>
      <c r="G45" s="9">
        <f>E45</f>
        <v>19</v>
      </c>
      <c r="H45" s="16"/>
      <c r="I45" s="10"/>
      <c r="J45" s="10"/>
      <c r="K45" s="10"/>
      <c r="L45" s="10"/>
      <c r="M45" s="10"/>
      <c r="N45" s="10"/>
      <c r="O45" s="10"/>
      <c r="P45" s="14"/>
      <c r="Q45" s="10"/>
      <c r="T45">
        <v>41</v>
      </c>
      <c r="U45" s="28" t="s">
        <v>88</v>
      </c>
      <c r="V45" s="10" t="s">
        <v>77</v>
      </c>
      <c r="W45" s="29">
        <f>E147</f>
        <v>67</v>
      </c>
      <c r="Z45" s="34"/>
      <c r="AA45" s="40"/>
      <c r="AB45" s="40"/>
      <c r="AC45" s="38" t="s">
        <v>159</v>
      </c>
      <c r="AD45" s="48"/>
      <c r="AE45" s="53" t="e">
        <f>LOOKUP(AD45,T$5:T$80,U$5:U$80)</f>
        <v>#N/A</v>
      </c>
      <c r="AF45" s="37" t="s">
        <v>157</v>
      </c>
      <c r="AG45" s="53" t="e">
        <f>LOOKUP(AD45,T$5:T$80,W$5:W$80)</f>
        <v>#N/A</v>
      </c>
      <c r="AH45" s="36"/>
      <c r="AI45" s="33"/>
      <c r="AJ45" s="33"/>
      <c r="AK45" s="33"/>
      <c r="AL45" s="33"/>
      <c r="AM45" s="33"/>
      <c r="AN45" s="46"/>
      <c r="AO45" s="33"/>
      <c r="AP45" s="33"/>
    </row>
    <row r="46" spans="4:42" ht="13" thickBot="1">
      <c r="E46" s="10">
        <f t="shared" si="0"/>
        <v>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4" t="s">
        <v>74</v>
      </c>
      <c r="Q46" s="9" t="str">
        <f>IF(OR(P26="",P66=""),"",+IF(P26&gt;P66,O26,O66))</f>
        <v/>
      </c>
      <c r="T46">
        <v>42</v>
      </c>
      <c r="U46" s="28">
        <f>E149</f>
        <v>68</v>
      </c>
      <c r="V46" s="10" t="s">
        <v>77</v>
      </c>
      <c r="W46" s="29" t="s">
        <v>89</v>
      </c>
      <c r="Z46" s="34"/>
      <c r="AA46" s="40"/>
      <c r="AB46" s="40"/>
      <c r="AC46" s="38" t="s">
        <v>159</v>
      </c>
      <c r="AD46" s="48"/>
      <c r="AE46" s="53" t="e">
        <f>LOOKUP(AD46,T$5:T$80,U$5:U$80)</f>
        <v>#N/A</v>
      </c>
      <c r="AF46" s="37" t="s">
        <v>157</v>
      </c>
      <c r="AG46" s="53" t="e">
        <f>LOOKUP(AD46,T$5:T$80,W$5:W$80)</f>
        <v>#N/A</v>
      </c>
      <c r="AH46" s="36"/>
      <c r="AI46" s="33"/>
      <c r="AJ46" s="33"/>
      <c r="AK46" s="33"/>
      <c r="AL46" s="33"/>
      <c r="AM46" s="33"/>
      <c r="AN46" s="46"/>
      <c r="AO46" s="33"/>
      <c r="AP46" s="33"/>
    </row>
    <row r="47" spans="4:42" ht="13" thickBot="1">
      <c r="D47">
        <v>20</v>
      </c>
      <c r="E47" s="9">
        <f t="shared" si="0"/>
        <v>20</v>
      </c>
      <c r="F47" s="9"/>
      <c r="G47" s="9">
        <f>E47</f>
        <v>20</v>
      </c>
      <c r="H47" s="11"/>
      <c r="I47" s="10"/>
      <c r="J47" s="10"/>
      <c r="K47" s="10"/>
      <c r="L47" s="10"/>
      <c r="M47" s="10"/>
      <c r="N47" s="10"/>
      <c r="O47" s="10"/>
      <c r="P47" s="14"/>
      <c r="Q47" s="10"/>
      <c r="R47" s="8"/>
      <c r="T47">
        <v>43</v>
      </c>
      <c r="U47" s="28">
        <f>E156</f>
        <v>71</v>
      </c>
      <c r="V47" s="10" t="s">
        <v>77</v>
      </c>
      <c r="W47" s="29">
        <f>E158</f>
        <v>72</v>
      </c>
      <c r="Z47" s="34"/>
      <c r="AA47" s="41"/>
      <c r="AB47" s="33"/>
      <c r="AC47" s="33"/>
      <c r="AD47" s="50"/>
      <c r="AE47" s="54"/>
      <c r="AF47" s="33"/>
      <c r="AG47" s="58"/>
      <c r="AH47" s="36"/>
      <c r="AI47" s="33"/>
      <c r="AJ47" s="33"/>
      <c r="AK47" s="33"/>
      <c r="AL47" s="33"/>
      <c r="AM47" s="33"/>
      <c r="AN47" s="33"/>
      <c r="AO47" s="33"/>
      <c r="AP47" s="33"/>
    </row>
    <row r="48" spans="4:42">
      <c r="E48" s="12">
        <f t="shared" si="0"/>
        <v>0</v>
      </c>
      <c r="F48" s="10"/>
      <c r="G48" s="10"/>
      <c r="H48" s="13"/>
      <c r="I48" s="10"/>
      <c r="J48" s="10"/>
      <c r="K48" s="10"/>
      <c r="L48" s="10"/>
      <c r="M48" s="10"/>
      <c r="N48" s="10"/>
      <c r="O48" s="10"/>
      <c r="P48" s="14"/>
      <c r="Q48" s="10"/>
      <c r="R48" s="8"/>
      <c r="T48">
        <v>44</v>
      </c>
      <c r="U48" s="28">
        <f>E160</f>
        <v>73</v>
      </c>
      <c r="V48" s="10" t="s">
        <v>77</v>
      </c>
      <c r="W48" s="29">
        <f>E162</f>
        <v>74</v>
      </c>
      <c r="Z48" s="34"/>
      <c r="AA48" s="40"/>
      <c r="AB48" s="40"/>
      <c r="AC48" s="38" t="s">
        <v>159</v>
      </c>
      <c r="AD48" s="48"/>
      <c r="AE48" s="53" t="e">
        <f>LOOKUP(AD48,T$5:T$80,U$5:U$80)</f>
        <v>#N/A</v>
      </c>
      <c r="AF48" s="37" t="s">
        <v>157</v>
      </c>
      <c r="AG48" s="53" t="e">
        <f>LOOKUP(AD48,T$5:T$80,W$5:W$80)</f>
        <v>#N/A</v>
      </c>
      <c r="AH48" s="36"/>
      <c r="AI48" s="33"/>
      <c r="AJ48" s="33"/>
      <c r="AK48" s="33"/>
      <c r="AL48" s="33"/>
      <c r="AM48" s="33"/>
      <c r="AN48" s="46"/>
      <c r="AO48" s="33"/>
      <c r="AP48" s="33"/>
    </row>
    <row r="49" spans="4:42" ht="13" thickBot="1">
      <c r="E49" s="10">
        <f t="shared" si="0"/>
        <v>0</v>
      </c>
      <c r="F49" s="10"/>
      <c r="G49" s="10"/>
      <c r="H49" s="14" t="s">
        <v>22</v>
      </c>
      <c r="I49" s="9" t="str">
        <f>IF(OR(H47="",H51=""),"",+IF(H47&gt;H51,E47,G51))</f>
        <v/>
      </c>
      <c r="J49" s="11"/>
      <c r="K49" s="10"/>
      <c r="L49" s="10"/>
      <c r="M49" s="10"/>
      <c r="N49" s="10"/>
      <c r="O49" s="10"/>
      <c r="P49" s="14"/>
      <c r="Q49" s="10"/>
      <c r="R49" s="8"/>
      <c r="T49">
        <v>45</v>
      </c>
      <c r="U49" s="28" t="s">
        <v>90</v>
      </c>
      <c r="V49" s="10" t="s">
        <v>77</v>
      </c>
      <c r="W49" s="29">
        <f>E168</f>
        <v>77</v>
      </c>
      <c r="Z49" s="34"/>
      <c r="AA49" s="40"/>
      <c r="AB49" s="40"/>
      <c r="AC49" s="38" t="s">
        <v>159</v>
      </c>
      <c r="AD49" s="48"/>
      <c r="AE49" s="53" t="e">
        <f>LOOKUP(AD49,T$5:T$80,U$5:U$80)</f>
        <v>#N/A</v>
      </c>
      <c r="AF49" s="37" t="s">
        <v>157</v>
      </c>
      <c r="AG49" s="53" t="e">
        <f>LOOKUP(AD49,T$5:T$80,W$5:W$80)</f>
        <v>#N/A</v>
      </c>
      <c r="AH49" s="36"/>
      <c r="AI49" s="33"/>
      <c r="AJ49" s="33"/>
      <c r="AK49" s="33"/>
      <c r="AL49" s="33"/>
      <c r="AM49" s="33"/>
      <c r="AN49" s="46"/>
      <c r="AO49" s="33"/>
      <c r="AP49" s="33"/>
    </row>
    <row r="50" spans="4:42" ht="13" thickBot="1">
      <c r="D50">
        <v>21</v>
      </c>
      <c r="E50" s="10">
        <f t="shared" si="0"/>
        <v>21</v>
      </c>
      <c r="F50" s="11"/>
      <c r="G50" s="10"/>
      <c r="H50" s="14"/>
      <c r="I50" s="10"/>
      <c r="J50" s="13"/>
      <c r="K50" s="10"/>
      <c r="L50" s="10"/>
      <c r="M50" s="10"/>
      <c r="N50" s="10"/>
      <c r="O50" s="10"/>
      <c r="P50" s="14"/>
      <c r="Q50" s="10"/>
      <c r="R50" s="8"/>
      <c r="T50">
        <v>46</v>
      </c>
      <c r="U50" s="28" t="s">
        <v>91</v>
      </c>
      <c r="V50" s="10" t="s">
        <v>77</v>
      </c>
      <c r="W50" s="29" t="s">
        <v>92</v>
      </c>
      <c r="Z50" s="34"/>
      <c r="AA50" s="40"/>
      <c r="AB50" s="40"/>
      <c r="AC50" s="38" t="s">
        <v>159</v>
      </c>
      <c r="AD50" s="48"/>
      <c r="AE50" s="53" t="e">
        <f>LOOKUP(AD50,T$5:T$80,U$5:U$80)</f>
        <v>#N/A</v>
      </c>
      <c r="AF50" s="37" t="s">
        <v>157</v>
      </c>
      <c r="AG50" s="53" t="e">
        <f>LOOKUP(AD50,T$5:T$80,W$5:W$80)</f>
        <v>#N/A</v>
      </c>
      <c r="AH50" s="36"/>
      <c r="AI50" s="33"/>
      <c r="AJ50" s="33"/>
      <c r="AK50" s="33"/>
      <c r="AL50" s="33"/>
      <c r="AM50" s="33"/>
      <c r="AN50" s="46"/>
      <c r="AO50" s="33"/>
      <c r="AP50" s="33"/>
    </row>
    <row r="51" spans="4:42" ht="13" thickBot="1">
      <c r="E51" s="12">
        <f t="shared" si="0"/>
        <v>0</v>
      </c>
      <c r="F51" s="13" t="s">
        <v>4</v>
      </c>
      <c r="G51" s="9" t="str">
        <f>IF(OR(F50="",F52=""),"",+IF(F50&gt;F52,E50,E52))</f>
        <v/>
      </c>
      <c r="H51" s="16"/>
      <c r="I51" s="10"/>
      <c r="J51" s="14"/>
      <c r="K51" s="10"/>
      <c r="L51" s="10"/>
      <c r="M51" s="10"/>
      <c r="N51" s="10"/>
      <c r="O51" s="10"/>
      <c r="P51" s="14"/>
      <c r="Q51" s="10"/>
      <c r="R51" s="8"/>
      <c r="T51">
        <v>47</v>
      </c>
      <c r="U51" s="28" t="s">
        <v>93</v>
      </c>
      <c r="V51" s="10" t="s">
        <v>77</v>
      </c>
      <c r="W51" s="29" t="s">
        <v>94</v>
      </c>
      <c r="Z51" s="34"/>
      <c r="AA51" s="40"/>
      <c r="AB51" s="40"/>
      <c r="AC51" s="38" t="s">
        <v>159</v>
      </c>
      <c r="AD51" s="48"/>
      <c r="AE51" s="53" t="e">
        <f>LOOKUP(AD51,T$5:T$80,U$5:U$80)</f>
        <v>#N/A</v>
      </c>
      <c r="AF51" s="37" t="s">
        <v>157</v>
      </c>
      <c r="AG51" s="53" t="e">
        <f>LOOKUP(AD51,T$5:T$80,W$5:W$80)</f>
        <v>#N/A</v>
      </c>
      <c r="AH51" s="36"/>
      <c r="AI51" s="33"/>
      <c r="AJ51" s="33"/>
      <c r="AK51" s="33"/>
      <c r="AL51" s="33"/>
      <c r="AM51" s="33"/>
      <c r="AN51" s="46"/>
      <c r="AO51" s="33"/>
      <c r="AP51" s="33"/>
    </row>
    <row r="52" spans="4:42" ht="13" thickBot="1">
      <c r="D52">
        <v>22</v>
      </c>
      <c r="E52" s="10">
        <f t="shared" si="0"/>
        <v>22</v>
      </c>
      <c r="F52" s="16"/>
      <c r="G52" s="10"/>
      <c r="H52" s="10"/>
      <c r="I52" s="10"/>
      <c r="J52" s="14" t="s">
        <v>50</v>
      </c>
      <c r="K52" s="9" t="str">
        <f>IF(OR(J49="",J55=""),"",+IF(J49&gt;J55,I49,I55))</f>
        <v/>
      </c>
      <c r="L52" s="17"/>
      <c r="M52" s="10"/>
      <c r="N52" s="10"/>
      <c r="O52" s="10"/>
      <c r="P52" s="14"/>
      <c r="Q52" s="10"/>
      <c r="R52" s="8"/>
      <c r="T52">
        <v>48</v>
      </c>
      <c r="U52" s="28" t="s">
        <v>95</v>
      </c>
      <c r="V52" s="10" t="s">
        <v>77</v>
      </c>
      <c r="W52" s="29" t="s">
        <v>96</v>
      </c>
      <c r="Z52" s="34"/>
      <c r="AA52" s="41"/>
      <c r="AB52" s="33"/>
      <c r="AC52" s="33"/>
      <c r="AD52" s="50"/>
      <c r="AE52" s="54"/>
      <c r="AF52" s="33"/>
      <c r="AG52" s="58"/>
      <c r="AH52" s="36"/>
      <c r="AI52" s="33"/>
      <c r="AJ52" s="33"/>
      <c r="AK52" s="33"/>
      <c r="AL52" s="33"/>
      <c r="AM52" s="33"/>
      <c r="AN52" s="33"/>
      <c r="AO52" s="33"/>
      <c r="AP52" s="33"/>
    </row>
    <row r="53" spans="4:42">
      <c r="E53" s="12">
        <f t="shared" si="0"/>
        <v>0</v>
      </c>
      <c r="F53" s="10"/>
      <c r="G53" s="10"/>
      <c r="H53" s="10"/>
      <c r="I53" s="10"/>
      <c r="J53" s="14"/>
      <c r="K53" s="10"/>
      <c r="L53" s="10"/>
      <c r="M53" s="19"/>
      <c r="N53" s="10"/>
      <c r="O53" s="10"/>
      <c r="P53" s="14"/>
      <c r="Q53" s="10"/>
      <c r="R53" s="8"/>
      <c r="T53">
        <v>49</v>
      </c>
      <c r="U53" s="28" t="s">
        <v>97</v>
      </c>
      <c r="V53" s="10" t="s">
        <v>77</v>
      </c>
      <c r="W53" s="29" t="s">
        <v>98</v>
      </c>
      <c r="Z53" s="34"/>
      <c r="AA53" s="40"/>
      <c r="AB53" s="40"/>
      <c r="AC53" s="38" t="s">
        <v>159</v>
      </c>
      <c r="AD53" s="48"/>
      <c r="AE53" s="53" t="e">
        <f>LOOKUP(AD53,T$5:T$80,U$5:U$80)</f>
        <v>#N/A</v>
      </c>
      <c r="AF53" s="37" t="s">
        <v>157</v>
      </c>
      <c r="AG53" s="53" t="e">
        <f>LOOKUP(AD53,T$5:T$80,W$5:W$80)</f>
        <v>#N/A</v>
      </c>
      <c r="AH53" s="36"/>
      <c r="AI53" s="33"/>
      <c r="AJ53" s="33"/>
      <c r="AK53" s="33"/>
      <c r="AL53" s="33"/>
      <c r="AM53" s="33"/>
      <c r="AN53" s="46"/>
      <c r="AO53" s="33"/>
      <c r="AP53" s="33"/>
    </row>
    <row r="54" spans="4:42" ht="13" thickBot="1">
      <c r="D54">
        <v>23</v>
      </c>
      <c r="E54" s="9">
        <f t="shared" si="0"/>
        <v>23</v>
      </c>
      <c r="F54" s="9"/>
      <c r="G54" s="9">
        <f>E54</f>
        <v>23</v>
      </c>
      <c r="H54" s="11"/>
      <c r="I54" s="10"/>
      <c r="J54" s="14"/>
      <c r="K54" s="10"/>
      <c r="L54" s="10"/>
      <c r="M54" s="19"/>
      <c r="N54" s="10"/>
      <c r="O54" s="10"/>
      <c r="P54" s="14"/>
      <c r="Q54" s="10"/>
      <c r="R54" s="8"/>
      <c r="T54">
        <v>50</v>
      </c>
      <c r="U54" s="28" t="s">
        <v>99</v>
      </c>
      <c r="V54" s="10" t="s">
        <v>77</v>
      </c>
      <c r="W54" s="29" t="s">
        <v>100</v>
      </c>
      <c r="Z54" s="34"/>
      <c r="AA54" s="40"/>
      <c r="AB54" s="40"/>
      <c r="AC54" s="38" t="s">
        <v>159</v>
      </c>
      <c r="AD54" s="48"/>
      <c r="AE54" s="53" t="e">
        <f>LOOKUP(AD54,T$5:T$80,U$5:U$80)</f>
        <v>#N/A</v>
      </c>
      <c r="AF54" s="37" t="s">
        <v>157</v>
      </c>
      <c r="AG54" s="53" t="e">
        <f>LOOKUP(AD54,T$5:T$80,W$5:W$80)</f>
        <v>#N/A</v>
      </c>
      <c r="AH54" s="36"/>
      <c r="AI54" s="33"/>
      <c r="AJ54" s="33"/>
      <c r="AK54" s="33"/>
      <c r="AL54" s="33"/>
      <c r="AM54" s="33"/>
      <c r="AN54" s="46"/>
      <c r="AO54" s="33"/>
      <c r="AP54" s="33"/>
    </row>
    <row r="55" spans="4:42" ht="13" thickBot="1">
      <c r="E55" s="10">
        <f t="shared" si="0"/>
        <v>0</v>
      </c>
      <c r="F55" s="10"/>
      <c r="G55" s="10"/>
      <c r="H55" s="13" t="s">
        <v>23</v>
      </c>
      <c r="I55" s="9" t="str">
        <f>IF(OR(H54="",H56=""),"",+IF(H54&gt;H56,E54,E56))</f>
        <v/>
      </c>
      <c r="J55" s="16"/>
      <c r="K55" s="10"/>
      <c r="L55" s="10"/>
      <c r="M55" s="19"/>
      <c r="N55" s="10"/>
      <c r="O55" s="10"/>
      <c r="P55" s="14"/>
      <c r="Q55" s="10"/>
      <c r="R55" s="8"/>
      <c r="T55">
        <v>51</v>
      </c>
      <c r="U55" s="28" t="s">
        <v>101</v>
      </c>
      <c r="V55" s="10" t="s">
        <v>77</v>
      </c>
      <c r="W55" s="29" t="s">
        <v>102</v>
      </c>
      <c r="Z55" s="34"/>
      <c r="AA55" s="40"/>
      <c r="AB55" s="40"/>
      <c r="AC55" s="38" t="s">
        <v>159</v>
      </c>
      <c r="AD55" s="48">
        <v>76</v>
      </c>
      <c r="AE55" s="53" t="str">
        <f>LOOKUP(AD55,T$5:T$80,U$5:U$80)</f>
        <v>Venc.J74</v>
      </c>
      <c r="AF55" s="37" t="s">
        <v>157</v>
      </c>
      <c r="AG55" s="53" t="str">
        <f>LOOKUP(AD55,T$5:T$80,W$5:W$80)</f>
        <v>Venc.J75</v>
      </c>
      <c r="AH55" s="36"/>
      <c r="AI55" s="33"/>
      <c r="AJ55" s="33"/>
      <c r="AK55" s="33"/>
      <c r="AL55" s="33"/>
      <c r="AM55" s="33"/>
      <c r="AN55" s="46"/>
      <c r="AO55" s="33"/>
      <c r="AP55" s="33"/>
    </row>
    <row r="56" spans="4:42" ht="13" thickBot="1">
      <c r="D56">
        <v>24</v>
      </c>
      <c r="E56" s="9">
        <f t="shared" si="0"/>
        <v>24</v>
      </c>
      <c r="F56" s="9"/>
      <c r="G56" s="9">
        <f>E56</f>
        <v>24</v>
      </c>
      <c r="H56" s="16"/>
      <c r="I56" s="10"/>
      <c r="J56" s="10"/>
      <c r="K56" s="10"/>
      <c r="L56" s="10"/>
      <c r="M56" s="19"/>
      <c r="N56" s="10"/>
      <c r="O56" s="10"/>
      <c r="P56" s="14"/>
      <c r="Q56" s="10"/>
      <c r="R56" s="8"/>
      <c r="T56">
        <v>52</v>
      </c>
      <c r="U56" s="28" t="s">
        <v>103</v>
      </c>
      <c r="V56" s="10" t="s">
        <v>77</v>
      </c>
      <c r="W56" s="29" t="s">
        <v>104</v>
      </c>
      <c r="Z56" s="42"/>
      <c r="AA56" s="43"/>
      <c r="AB56" s="43"/>
      <c r="AC56" s="43"/>
      <c r="AD56" s="61"/>
      <c r="AE56" s="62"/>
      <c r="AF56" s="63"/>
      <c r="AG56" s="60"/>
      <c r="AH56" s="44"/>
      <c r="AI56" s="33"/>
      <c r="AJ56" s="33"/>
      <c r="AK56" s="33"/>
      <c r="AL56" s="33"/>
      <c r="AM56" s="33"/>
      <c r="AN56" s="33"/>
      <c r="AO56" s="33"/>
      <c r="AP56" s="33"/>
    </row>
    <row r="57" spans="4:42" ht="13" thickBot="1">
      <c r="E57" s="10">
        <f t="shared" si="0"/>
        <v>0</v>
      </c>
      <c r="F57" s="10"/>
      <c r="G57" s="10"/>
      <c r="H57" s="10"/>
      <c r="I57" s="10"/>
      <c r="J57" s="10"/>
      <c r="K57" s="10"/>
      <c r="L57" s="14" t="s">
        <v>64</v>
      </c>
      <c r="M57" s="9" t="str">
        <f>IF(OR(L52="",L61=""),"",+IF(L52&gt;L61,K52,K61))</f>
        <v/>
      </c>
      <c r="N57" s="17"/>
      <c r="O57" s="10"/>
      <c r="P57" s="14"/>
      <c r="Q57" s="10"/>
      <c r="R57" s="8"/>
      <c r="T57">
        <v>53</v>
      </c>
      <c r="U57" s="28" t="s">
        <v>105</v>
      </c>
      <c r="V57" s="10" t="s">
        <v>77</v>
      </c>
      <c r="W57" s="29" t="s">
        <v>106</v>
      </c>
    </row>
    <row r="58" spans="4:42" ht="13" thickBot="1">
      <c r="D58">
        <v>25</v>
      </c>
      <c r="E58" s="9">
        <f t="shared" si="0"/>
        <v>25</v>
      </c>
      <c r="F58" s="9"/>
      <c r="G58" s="9">
        <f>E58</f>
        <v>25</v>
      </c>
      <c r="H58" s="11"/>
      <c r="I58" s="10"/>
      <c r="J58" s="10"/>
      <c r="K58" s="10"/>
      <c r="L58" s="10"/>
      <c r="M58" s="19"/>
      <c r="N58" s="13"/>
      <c r="O58" s="10"/>
      <c r="P58" s="14"/>
      <c r="Q58" s="10"/>
      <c r="R58" s="8"/>
      <c r="T58">
        <v>54</v>
      </c>
      <c r="U58" s="28" t="s">
        <v>107</v>
      </c>
      <c r="V58" s="10" t="s">
        <v>77</v>
      </c>
      <c r="W58" s="29" t="s">
        <v>108</v>
      </c>
    </row>
    <row r="59" spans="4:42" ht="13" thickBot="1">
      <c r="E59" s="10">
        <f t="shared" si="0"/>
        <v>0</v>
      </c>
      <c r="F59" s="10"/>
      <c r="G59" s="12"/>
      <c r="H59" s="13" t="s">
        <v>24</v>
      </c>
      <c r="I59" s="9" t="str">
        <f>IF(OR(H58="",H60=""),"",+IF(H58&gt;H60,E58,E60))</f>
        <v/>
      </c>
      <c r="J59" s="17"/>
      <c r="K59" s="10"/>
      <c r="L59" s="10"/>
      <c r="M59" s="19"/>
      <c r="N59" s="14"/>
      <c r="O59" s="10"/>
      <c r="P59" s="14"/>
      <c r="Q59" s="10"/>
      <c r="R59" s="8"/>
      <c r="T59">
        <v>55</v>
      </c>
      <c r="U59" s="28" t="s">
        <v>109</v>
      </c>
      <c r="V59" s="10" t="s">
        <v>77</v>
      </c>
      <c r="W59" s="29" t="s">
        <v>110</v>
      </c>
    </row>
    <row r="60" spans="4:42" ht="13" thickBot="1">
      <c r="D60">
        <v>26</v>
      </c>
      <c r="E60" s="9">
        <f t="shared" si="0"/>
        <v>26</v>
      </c>
      <c r="F60" s="9"/>
      <c r="G60" s="9">
        <f>E60</f>
        <v>26</v>
      </c>
      <c r="H60" s="16"/>
      <c r="I60" s="10"/>
      <c r="J60" s="14"/>
      <c r="K60" s="10"/>
      <c r="L60" s="10"/>
      <c r="M60" s="19"/>
      <c r="N60" s="14"/>
      <c r="O60" s="10"/>
      <c r="P60" s="14"/>
      <c r="Q60" s="10"/>
      <c r="R60" s="8"/>
      <c r="T60">
        <v>56</v>
      </c>
      <c r="U60" s="28" t="s">
        <v>111</v>
      </c>
      <c r="V60" s="10" t="s">
        <v>77</v>
      </c>
      <c r="W60" s="29" t="s">
        <v>112</v>
      </c>
    </row>
    <row r="61" spans="4:42" ht="13" thickBot="1">
      <c r="E61" s="10">
        <f t="shared" si="0"/>
        <v>0</v>
      </c>
      <c r="F61" s="10"/>
      <c r="G61" s="12"/>
      <c r="H61" s="10"/>
      <c r="I61" s="10"/>
      <c r="J61" s="14" t="s">
        <v>51</v>
      </c>
      <c r="K61" s="9" t="str">
        <f>IF(OR(J59="",J63=""),"",+IF(J59&gt;J63,I59,I63))</f>
        <v/>
      </c>
      <c r="L61" s="16"/>
      <c r="M61" s="19"/>
      <c r="N61" s="14"/>
      <c r="O61" s="10"/>
      <c r="P61" s="14"/>
      <c r="Q61" s="10"/>
      <c r="R61" s="8"/>
      <c r="T61">
        <v>57</v>
      </c>
      <c r="U61" s="28" t="s">
        <v>113</v>
      </c>
      <c r="V61" s="10" t="s">
        <v>77</v>
      </c>
      <c r="W61" s="29" t="s">
        <v>114</v>
      </c>
    </row>
    <row r="62" spans="4:42" ht="13" thickBot="1">
      <c r="D62">
        <v>27</v>
      </c>
      <c r="E62" s="9">
        <f t="shared" si="0"/>
        <v>27</v>
      </c>
      <c r="F62" s="9"/>
      <c r="G62" s="9">
        <f>E62</f>
        <v>27</v>
      </c>
      <c r="H62" s="11"/>
      <c r="I62" s="10"/>
      <c r="J62" s="14"/>
      <c r="K62" s="10"/>
      <c r="L62" s="10"/>
      <c r="M62" s="10"/>
      <c r="N62" s="14"/>
      <c r="O62" s="10"/>
      <c r="P62" s="14"/>
      <c r="Q62" s="10"/>
      <c r="R62" s="8"/>
      <c r="T62">
        <v>58</v>
      </c>
      <c r="U62" s="28" t="s">
        <v>115</v>
      </c>
      <c r="V62" s="10" t="s">
        <v>77</v>
      </c>
      <c r="W62" s="29" t="s">
        <v>116</v>
      </c>
    </row>
    <row r="63" spans="4:42" ht="13" thickBot="1">
      <c r="E63" s="10">
        <f t="shared" si="0"/>
        <v>0</v>
      </c>
      <c r="F63" s="10"/>
      <c r="G63" s="12"/>
      <c r="H63" s="13" t="s">
        <v>25</v>
      </c>
      <c r="I63" s="9" t="str">
        <f>IF(OR(H62="",H64=""),"",+IF(H62&gt;H64,E62,E64))</f>
        <v/>
      </c>
      <c r="J63" s="16"/>
      <c r="K63" s="10"/>
      <c r="L63" s="10"/>
      <c r="M63" s="10"/>
      <c r="N63" s="14"/>
      <c r="O63" s="10"/>
      <c r="P63" s="14"/>
      <c r="Q63" s="10"/>
      <c r="R63" s="8"/>
      <c r="T63">
        <v>59</v>
      </c>
      <c r="U63" s="28" t="s">
        <v>117</v>
      </c>
      <c r="V63" s="10" t="s">
        <v>77</v>
      </c>
      <c r="W63" s="29" t="s">
        <v>118</v>
      </c>
    </row>
    <row r="64" spans="4:42" ht="13" thickBot="1">
      <c r="D64">
        <v>28</v>
      </c>
      <c r="E64" s="9">
        <f t="shared" si="0"/>
        <v>28</v>
      </c>
      <c r="F64" s="9"/>
      <c r="G64" s="9">
        <f>E64</f>
        <v>28</v>
      </c>
      <c r="H64" s="16"/>
      <c r="I64" s="10"/>
      <c r="J64" s="10"/>
      <c r="K64" s="10"/>
      <c r="L64" s="10"/>
      <c r="M64" s="10"/>
      <c r="N64" s="14"/>
      <c r="O64" s="10"/>
      <c r="P64" s="14"/>
      <c r="Q64" s="10"/>
      <c r="R64" s="8"/>
      <c r="T64">
        <v>60</v>
      </c>
      <c r="U64" s="28" t="s">
        <v>119</v>
      </c>
      <c r="V64" s="10" t="s">
        <v>77</v>
      </c>
      <c r="W64" s="29" t="s">
        <v>120</v>
      </c>
    </row>
    <row r="65" spans="4:23">
      <c r="E65" s="10">
        <f t="shared" si="0"/>
        <v>0</v>
      </c>
      <c r="F65" s="10"/>
      <c r="G65" s="10"/>
      <c r="H65" s="10"/>
      <c r="I65" s="10"/>
      <c r="J65" s="10"/>
      <c r="K65" s="10"/>
      <c r="L65" s="10"/>
      <c r="M65" s="10"/>
      <c r="N65" s="14"/>
      <c r="O65" s="10"/>
      <c r="P65" s="14"/>
      <c r="Q65" s="10"/>
      <c r="R65" s="8"/>
      <c r="T65">
        <v>61</v>
      </c>
      <c r="U65" s="28" t="s">
        <v>121</v>
      </c>
      <c r="V65" s="10" t="s">
        <v>77</v>
      </c>
      <c r="W65" s="29" t="s">
        <v>122</v>
      </c>
    </row>
    <row r="66" spans="4:23" ht="13" thickBot="1">
      <c r="D66">
        <v>29</v>
      </c>
      <c r="E66" s="10">
        <f t="shared" si="0"/>
        <v>29</v>
      </c>
      <c r="F66" s="9"/>
      <c r="G66" s="9">
        <f>E66</f>
        <v>29</v>
      </c>
      <c r="H66" s="11"/>
      <c r="I66" s="10"/>
      <c r="J66" s="10"/>
      <c r="K66" s="10"/>
      <c r="L66" s="10"/>
      <c r="M66" s="10"/>
      <c r="N66" s="14" t="s">
        <v>71</v>
      </c>
      <c r="O66" s="9" t="str">
        <f>IF(OR(N57="",N76=""),"",+IF(N57&gt;N76,M57,M76))</f>
        <v/>
      </c>
      <c r="P66" s="16"/>
      <c r="Q66" s="10"/>
      <c r="R66" s="8"/>
      <c r="T66">
        <v>62</v>
      </c>
      <c r="U66" s="28" t="s">
        <v>123</v>
      </c>
      <c r="V66" s="10" t="s">
        <v>77</v>
      </c>
      <c r="W66" s="29" t="s">
        <v>124</v>
      </c>
    </row>
    <row r="67" spans="4:23">
      <c r="E67" s="12">
        <f t="shared" si="0"/>
        <v>0</v>
      </c>
      <c r="F67" s="10"/>
      <c r="G67" s="10"/>
      <c r="H67" s="13"/>
      <c r="I67" s="10"/>
      <c r="J67" s="10"/>
      <c r="K67" s="10"/>
      <c r="L67" s="10"/>
      <c r="M67" s="10"/>
      <c r="N67" s="14"/>
      <c r="O67" s="10"/>
      <c r="P67" s="10"/>
      <c r="Q67" s="10"/>
      <c r="R67" s="8"/>
      <c r="T67">
        <v>63</v>
      </c>
      <c r="U67" s="28" t="s">
        <v>125</v>
      </c>
      <c r="V67" s="10" t="s">
        <v>77</v>
      </c>
      <c r="W67" s="29" t="s">
        <v>126</v>
      </c>
    </row>
    <row r="68" spans="4:23" ht="13" thickBot="1">
      <c r="E68" s="10">
        <f t="shared" si="0"/>
        <v>0</v>
      </c>
      <c r="F68" s="10"/>
      <c r="G68" s="10"/>
      <c r="H68" s="14" t="s">
        <v>26</v>
      </c>
      <c r="I68" s="9" t="str">
        <f>IF(OR(H66="",H70=""),"",+IF(H66&gt;H70,G66,G70))</f>
        <v/>
      </c>
      <c r="J68" s="11"/>
      <c r="K68" s="10"/>
      <c r="L68" s="10"/>
      <c r="M68" s="10"/>
      <c r="N68" s="14"/>
      <c r="O68" s="10"/>
      <c r="P68" s="10"/>
      <c r="Q68" s="10"/>
      <c r="R68" s="8"/>
      <c r="T68">
        <v>64</v>
      </c>
      <c r="U68" s="28" t="s">
        <v>127</v>
      </c>
      <c r="V68" s="10" t="s">
        <v>77</v>
      </c>
      <c r="W68" s="29" t="s">
        <v>130</v>
      </c>
    </row>
    <row r="69" spans="4:23" ht="13" thickBot="1">
      <c r="D69">
        <v>30</v>
      </c>
      <c r="E69" s="10">
        <f t="shared" si="0"/>
        <v>30</v>
      </c>
      <c r="F69" s="11"/>
      <c r="G69" s="10"/>
      <c r="H69" s="14"/>
      <c r="I69" s="10"/>
      <c r="J69" s="13"/>
      <c r="K69" s="10"/>
      <c r="L69" s="10"/>
      <c r="M69" s="10"/>
      <c r="N69" s="14"/>
      <c r="O69" s="10"/>
      <c r="P69" s="10"/>
      <c r="Q69" s="10"/>
      <c r="R69" s="8"/>
      <c r="T69">
        <v>65</v>
      </c>
      <c r="U69" s="28" t="s">
        <v>128</v>
      </c>
      <c r="V69" s="10" t="s">
        <v>77</v>
      </c>
      <c r="W69" s="29" t="s">
        <v>129</v>
      </c>
    </row>
    <row r="70" spans="4:23" ht="13" thickBot="1">
      <c r="E70" s="12">
        <f t="shared" si="0"/>
        <v>0</v>
      </c>
      <c r="F70" s="13" t="s">
        <v>5</v>
      </c>
      <c r="G70" s="9" t="str">
        <f>IF(OR(F69="",F71=""),"",+IF(F69&gt;F71,E69,E71))</f>
        <v/>
      </c>
      <c r="H70" s="16"/>
      <c r="I70" s="10"/>
      <c r="J70" s="14"/>
      <c r="K70" s="10"/>
      <c r="L70" s="10"/>
      <c r="M70" s="10"/>
      <c r="N70" s="14"/>
      <c r="O70" s="10"/>
      <c r="P70" s="10"/>
      <c r="Q70" s="10"/>
      <c r="R70" s="8"/>
      <c r="T70">
        <v>66</v>
      </c>
      <c r="U70" s="28" t="s">
        <v>131</v>
      </c>
      <c r="V70" s="10" t="s">
        <v>77</v>
      </c>
      <c r="W70" s="29" t="s">
        <v>132</v>
      </c>
    </row>
    <row r="71" spans="4:23" ht="13" thickBot="1">
      <c r="D71">
        <v>31</v>
      </c>
      <c r="E71" s="10">
        <f t="shared" si="0"/>
        <v>31</v>
      </c>
      <c r="F71" s="16"/>
      <c r="G71" s="10"/>
      <c r="H71" s="10"/>
      <c r="I71" s="10"/>
      <c r="J71" s="14" t="s">
        <v>52</v>
      </c>
      <c r="K71" s="9" t="str">
        <f>IF(OR(J68="",J74=""),"",+IF(J68&gt;J74,I68,I74))</f>
        <v/>
      </c>
      <c r="L71" s="11"/>
      <c r="M71" s="10"/>
      <c r="N71" s="14"/>
      <c r="O71" s="10"/>
      <c r="P71" s="10"/>
      <c r="Q71" s="10"/>
      <c r="R71" s="8"/>
      <c r="T71">
        <v>67</v>
      </c>
      <c r="U71" s="28" t="s">
        <v>133</v>
      </c>
      <c r="V71" s="10" t="s">
        <v>77</v>
      </c>
      <c r="W71" s="29" t="s">
        <v>134</v>
      </c>
    </row>
    <row r="72" spans="4:23">
      <c r="E72" s="12">
        <f t="shared" ref="E72:E135" si="1">D72</f>
        <v>0</v>
      </c>
      <c r="F72" s="10"/>
      <c r="G72" s="10"/>
      <c r="H72" s="10"/>
      <c r="I72" s="10"/>
      <c r="J72" s="14"/>
      <c r="K72" s="12"/>
      <c r="L72" s="13"/>
      <c r="M72" s="10"/>
      <c r="N72" s="14"/>
      <c r="O72" s="10"/>
      <c r="P72" s="10"/>
      <c r="Q72" s="10"/>
      <c r="R72" s="8"/>
      <c r="T72">
        <v>68</v>
      </c>
      <c r="U72" s="28" t="s">
        <v>135</v>
      </c>
      <c r="V72" s="10" t="s">
        <v>77</v>
      </c>
      <c r="W72" s="29" t="s">
        <v>136</v>
      </c>
    </row>
    <row r="73" spans="4:23" ht="13" thickBot="1">
      <c r="D73">
        <v>32</v>
      </c>
      <c r="E73" s="9">
        <f t="shared" si="1"/>
        <v>32</v>
      </c>
      <c r="F73" s="9"/>
      <c r="G73" s="9">
        <f>E73</f>
        <v>32</v>
      </c>
      <c r="H73" s="11"/>
      <c r="I73" s="10"/>
      <c r="J73" s="14"/>
      <c r="K73" s="10"/>
      <c r="L73" s="14"/>
      <c r="M73" s="10"/>
      <c r="N73" s="14"/>
      <c r="O73" s="10"/>
      <c r="P73" s="10"/>
      <c r="Q73" s="10"/>
      <c r="R73" s="8"/>
      <c r="T73">
        <v>69</v>
      </c>
      <c r="U73" s="28" t="s">
        <v>137</v>
      </c>
      <c r="V73" s="10" t="s">
        <v>77</v>
      </c>
      <c r="W73" s="29" t="s">
        <v>138</v>
      </c>
    </row>
    <row r="74" spans="4:23" ht="13" thickBot="1">
      <c r="E74" s="10">
        <f t="shared" si="1"/>
        <v>0</v>
      </c>
      <c r="F74" s="10"/>
      <c r="G74" s="10"/>
      <c r="H74" s="13" t="s">
        <v>27</v>
      </c>
      <c r="I74" s="9" t="str">
        <f>IF(OR(H73="",H75=""),"",+IF(H73&gt;H75,E73,E75))</f>
        <v/>
      </c>
      <c r="J74" s="16"/>
      <c r="K74" s="10"/>
      <c r="L74" s="14"/>
      <c r="M74" s="10"/>
      <c r="N74" s="14"/>
      <c r="O74" s="10"/>
      <c r="P74" s="10"/>
      <c r="Q74" s="10"/>
      <c r="R74" s="8"/>
      <c r="T74">
        <v>70</v>
      </c>
      <c r="U74" s="28" t="s">
        <v>144</v>
      </c>
      <c r="V74" s="10" t="s">
        <v>77</v>
      </c>
      <c r="W74" s="29" t="s">
        <v>139</v>
      </c>
    </row>
    <row r="75" spans="4:23" ht="13" thickBot="1">
      <c r="D75">
        <v>33</v>
      </c>
      <c r="E75" s="9">
        <f t="shared" si="1"/>
        <v>33</v>
      </c>
      <c r="F75" s="9"/>
      <c r="G75" s="9">
        <f>E75</f>
        <v>33</v>
      </c>
      <c r="H75" s="16"/>
      <c r="I75" s="10"/>
      <c r="J75" s="10"/>
      <c r="K75" s="10"/>
      <c r="L75" s="14"/>
      <c r="M75" s="10"/>
      <c r="N75" s="14"/>
      <c r="O75" s="10"/>
      <c r="P75" s="10"/>
      <c r="Q75" s="10"/>
      <c r="R75" s="8"/>
      <c r="T75">
        <v>71</v>
      </c>
      <c r="U75" s="28" t="s">
        <v>140</v>
      </c>
      <c r="V75" s="10" t="s">
        <v>77</v>
      </c>
      <c r="W75" s="29" t="s">
        <v>141</v>
      </c>
    </row>
    <row r="76" spans="4:23" ht="13" thickBot="1">
      <c r="E76" s="10">
        <f t="shared" si="1"/>
        <v>0</v>
      </c>
      <c r="F76" s="10"/>
      <c r="G76" s="10"/>
      <c r="H76" s="10"/>
      <c r="I76" s="10"/>
      <c r="J76" s="10"/>
      <c r="K76" s="10"/>
      <c r="L76" s="14" t="s">
        <v>65</v>
      </c>
      <c r="M76" s="9" t="str">
        <f>IF(OR(L71="",L81=""),"",+IF(L71&gt;L81,K71,K81))</f>
        <v/>
      </c>
      <c r="N76" s="16"/>
      <c r="O76" s="10"/>
      <c r="P76" s="10"/>
      <c r="Q76" s="10"/>
      <c r="R76" s="8"/>
      <c r="T76">
        <v>72</v>
      </c>
      <c r="U76" s="28" t="s">
        <v>143</v>
      </c>
      <c r="V76" s="10" t="s">
        <v>77</v>
      </c>
      <c r="W76" s="29" t="s">
        <v>142</v>
      </c>
    </row>
    <row r="77" spans="4:23" ht="13" thickBot="1">
      <c r="D77">
        <v>34</v>
      </c>
      <c r="E77" s="9">
        <f t="shared" si="1"/>
        <v>34</v>
      </c>
      <c r="F77" s="9"/>
      <c r="G77" s="9">
        <f>E77</f>
        <v>34</v>
      </c>
      <c r="H77" s="11"/>
      <c r="I77" s="10"/>
      <c r="J77" s="10"/>
      <c r="K77" s="10"/>
      <c r="L77" s="14"/>
      <c r="M77" s="10"/>
      <c r="N77" s="10"/>
      <c r="O77" s="10"/>
      <c r="P77" s="10"/>
      <c r="Q77" s="10"/>
      <c r="R77" s="8"/>
      <c r="T77">
        <v>73</v>
      </c>
      <c r="U77" s="28" t="s">
        <v>145</v>
      </c>
      <c r="V77" s="10" t="s">
        <v>77</v>
      </c>
      <c r="W77" s="29" t="s">
        <v>146</v>
      </c>
    </row>
    <row r="78" spans="4:23" ht="13" thickBot="1">
      <c r="E78" s="10">
        <f t="shared" si="1"/>
        <v>0</v>
      </c>
      <c r="F78" s="10"/>
      <c r="G78" s="10"/>
      <c r="H78" s="13" t="s">
        <v>28</v>
      </c>
      <c r="I78" s="9" t="str">
        <f>IF(OR(H77="",H79=""),"",+IF(H77&gt;H79,E77,E79))</f>
        <v/>
      </c>
      <c r="J78" s="17"/>
      <c r="K78" s="10"/>
      <c r="L78" s="14"/>
      <c r="M78" s="10"/>
      <c r="N78" s="10"/>
      <c r="O78" s="10"/>
      <c r="P78" s="10"/>
      <c r="Q78" s="10"/>
      <c r="R78" s="8"/>
      <c r="T78">
        <v>74</v>
      </c>
      <c r="U78" s="28" t="s">
        <v>147</v>
      </c>
      <c r="V78" s="10" t="s">
        <v>77</v>
      </c>
      <c r="W78" s="29" t="s">
        <v>148</v>
      </c>
    </row>
    <row r="79" spans="4:23" ht="13" thickBot="1">
      <c r="D79">
        <v>35</v>
      </c>
      <c r="E79" s="9">
        <f t="shared" si="1"/>
        <v>35</v>
      </c>
      <c r="F79" s="9"/>
      <c r="G79" s="9">
        <f>E79</f>
        <v>35</v>
      </c>
      <c r="H79" s="16"/>
      <c r="I79" s="10"/>
      <c r="J79" s="13"/>
      <c r="K79" s="10"/>
      <c r="L79" s="14"/>
      <c r="M79" s="10"/>
      <c r="N79" s="10"/>
      <c r="O79" s="10"/>
      <c r="P79" s="10"/>
      <c r="Q79" s="10"/>
      <c r="R79" s="8"/>
      <c r="T79">
        <v>75</v>
      </c>
      <c r="U79" s="28" t="s">
        <v>149</v>
      </c>
      <c r="V79" s="10" t="s">
        <v>77</v>
      </c>
      <c r="W79" s="29" t="s">
        <v>150</v>
      </c>
    </row>
    <row r="80" spans="4:23">
      <c r="E80" s="10">
        <f t="shared" si="1"/>
        <v>0</v>
      </c>
      <c r="F80" s="10"/>
      <c r="G80" s="10"/>
      <c r="H80" s="10"/>
      <c r="I80" s="10"/>
      <c r="J80" s="14"/>
      <c r="K80" s="10"/>
      <c r="L80" s="14"/>
      <c r="M80" s="10"/>
      <c r="N80" s="10"/>
      <c r="O80" s="10"/>
      <c r="P80" s="10"/>
      <c r="Q80" s="10"/>
      <c r="R80" s="8"/>
      <c r="T80">
        <v>76</v>
      </c>
      <c r="U80" s="28" t="s">
        <v>151</v>
      </c>
      <c r="V80" s="10" t="s">
        <v>77</v>
      </c>
      <c r="W80" s="29" t="s">
        <v>152</v>
      </c>
    </row>
    <row r="81" spans="4:18" ht="13" thickBot="1">
      <c r="D81">
        <v>36</v>
      </c>
      <c r="E81" s="10">
        <f t="shared" si="1"/>
        <v>36</v>
      </c>
      <c r="F81" s="11"/>
      <c r="G81" s="10"/>
      <c r="H81" s="10"/>
      <c r="I81" s="10"/>
      <c r="J81" s="14" t="s">
        <v>53</v>
      </c>
      <c r="K81" s="18" t="str">
        <f>IF(OR(I78="",I83=""),"",+IF(J78&gt;J83,I78,I83))</f>
        <v/>
      </c>
      <c r="L81" s="16"/>
      <c r="M81" s="10"/>
      <c r="N81" s="10"/>
      <c r="O81" s="10"/>
      <c r="P81" s="10"/>
      <c r="Q81" s="10"/>
      <c r="R81" s="8"/>
    </row>
    <row r="82" spans="4:18" ht="13" thickBot="1">
      <c r="E82" s="12">
        <f t="shared" si="1"/>
        <v>0</v>
      </c>
      <c r="F82" s="13" t="s">
        <v>6</v>
      </c>
      <c r="G82" s="9" t="str">
        <f>IF(OR(F81="",F83=""),"",+IF(F81&gt;F83,E81,E83))</f>
        <v/>
      </c>
      <c r="H82" s="17"/>
      <c r="I82" s="10"/>
      <c r="J82" s="14"/>
      <c r="K82" s="10"/>
      <c r="L82" s="10"/>
      <c r="M82" s="10"/>
      <c r="N82" s="10"/>
      <c r="O82" s="10"/>
      <c r="P82" s="10"/>
      <c r="Q82" s="10"/>
      <c r="R82" s="8"/>
    </row>
    <row r="83" spans="4:18" ht="13" thickBot="1">
      <c r="D83">
        <v>37</v>
      </c>
      <c r="E83" s="21">
        <f t="shared" si="1"/>
        <v>37</v>
      </c>
      <c r="F83" s="16"/>
      <c r="G83" s="10"/>
      <c r="H83" s="13"/>
      <c r="I83" s="9" t="str">
        <f>IF(OR(H82="",H85=""),"",+IF(H82&gt;H85,G82,G85))</f>
        <v/>
      </c>
      <c r="J83" s="16"/>
      <c r="K83" s="10"/>
      <c r="L83" s="10"/>
      <c r="M83" s="10"/>
      <c r="N83" s="10"/>
      <c r="O83" s="10"/>
      <c r="P83" s="10"/>
      <c r="Q83" s="10"/>
      <c r="R83" s="8"/>
    </row>
    <row r="84" spans="4:18">
      <c r="E84" s="10">
        <f t="shared" si="1"/>
        <v>0</v>
      </c>
      <c r="F84" s="10"/>
      <c r="G84" s="10"/>
      <c r="H84" s="14" t="s">
        <v>29</v>
      </c>
      <c r="I84" s="10"/>
      <c r="J84" s="10"/>
      <c r="K84" s="10"/>
      <c r="L84" s="10"/>
      <c r="M84" s="10"/>
      <c r="N84" s="10"/>
      <c r="O84" s="10"/>
      <c r="P84" s="10"/>
      <c r="Q84" s="10"/>
      <c r="R84" s="8"/>
    </row>
    <row r="85" spans="4:18" ht="13" thickBot="1">
      <c r="D85">
        <v>38</v>
      </c>
      <c r="E85" s="9">
        <f t="shared" si="1"/>
        <v>38</v>
      </c>
      <c r="F85" s="9"/>
      <c r="G85" s="9">
        <f>E85</f>
        <v>38</v>
      </c>
      <c r="H85" s="16"/>
      <c r="I85" s="10"/>
      <c r="J85" s="10"/>
      <c r="K85" s="10"/>
      <c r="L85" s="10"/>
      <c r="M85" s="10"/>
      <c r="N85" s="10"/>
      <c r="O85" s="10"/>
      <c r="P85" s="10"/>
      <c r="Q85" s="10"/>
      <c r="R85" s="8"/>
    </row>
    <row r="86" spans="4:18" ht="13" thickBot="1">
      <c r="E86">
        <f t="shared" si="1"/>
        <v>0</v>
      </c>
      <c r="Q86" t="s">
        <v>76</v>
      </c>
      <c r="R86" s="27"/>
    </row>
    <row r="87" spans="4:18">
      <c r="E87">
        <f t="shared" si="1"/>
        <v>0</v>
      </c>
      <c r="R87" s="8"/>
    </row>
    <row r="88" spans="4:18" ht="13" thickBot="1">
      <c r="D88">
        <v>39</v>
      </c>
      <c r="E88" s="9">
        <f t="shared" si="1"/>
        <v>39</v>
      </c>
      <c r="F88" s="9"/>
      <c r="G88" s="9">
        <f>E88</f>
        <v>39</v>
      </c>
      <c r="H88" s="11"/>
      <c r="I88" s="10"/>
      <c r="J88" s="10"/>
      <c r="K88" s="10"/>
      <c r="L88" s="10"/>
      <c r="M88" s="10"/>
      <c r="N88" s="10"/>
      <c r="O88" s="10"/>
      <c r="P88" s="10"/>
      <c r="Q88" s="10"/>
      <c r="R88" s="8"/>
    </row>
    <row r="89" spans="4:18">
      <c r="E89" s="12">
        <f t="shared" si="1"/>
        <v>0</v>
      </c>
      <c r="F89" s="10"/>
      <c r="G89" s="10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8"/>
    </row>
    <row r="90" spans="4:18" ht="13" thickBot="1">
      <c r="E90" s="10">
        <f t="shared" si="1"/>
        <v>0</v>
      </c>
      <c r="F90" s="10"/>
      <c r="G90" s="10"/>
      <c r="H90" s="14" t="s">
        <v>30</v>
      </c>
      <c r="I90" s="9" t="str">
        <f>IF(OR(H88="",H92=""),"",+IF(H88&gt;H92,E88,G92))</f>
        <v/>
      </c>
      <c r="J90" s="11"/>
      <c r="K90" s="10"/>
      <c r="L90" s="10"/>
      <c r="M90" s="10"/>
      <c r="N90" s="10"/>
      <c r="O90" s="10"/>
      <c r="P90" s="10"/>
      <c r="Q90" s="10"/>
      <c r="R90" s="8"/>
    </row>
    <row r="91" spans="4:18" ht="13" thickBot="1">
      <c r="D91">
        <v>40</v>
      </c>
      <c r="E91" s="10">
        <f t="shared" si="1"/>
        <v>40</v>
      </c>
      <c r="F91" s="11"/>
      <c r="G91" s="10"/>
      <c r="H91" s="14"/>
      <c r="I91" s="10"/>
      <c r="J91" s="13"/>
      <c r="K91" s="10"/>
      <c r="L91" s="10"/>
      <c r="M91" s="10"/>
      <c r="N91" s="10"/>
      <c r="O91" s="10"/>
      <c r="P91" s="10"/>
      <c r="Q91" s="10"/>
      <c r="R91" s="8"/>
    </row>
    <row r="92" spans="4:18" ht="13" thickBot="1">
      <c r="E92" s="12">
        <f t="shared" si="1"/>
        <v>0</v>
      </c>
      <c r="F92" s="13" t="s">
        <v>7</v>
      </c>
      <c r="G92" s="9" t="str">
        <f>IF(OR(F91="",F93=""),"",+IF(F91&gt;F93,E91,E93))</f>
        <v/>
      </c>
      <c r="H92" s="16"/>
      <c r="I92" s="10"/>
      <c r="J92" s="14"/>
      <c r="K92" s="10"/>
      <c r="L92" s="10"/>
      <c r="M92" s="10"/>
      <c r="N92" s="10"/>
      <c r="O92" s="10"/>
      <c r="P92" s="10"/>
      <c r="Q92" s="10"/>
      <c r="R92" s="8"/>
    </row>
    <row r="93" spans="4:18" ht="13" thickBot="1">
      <c r="D93">
        <v>41</v>
      </c>
      <c r="E93" s="10">
        <f t="shared" si="1"/>
        <v>41</v>
      </c>
      <c r="F93" s="16"/>
      <c r="G93" s="10"/>
      <c r="H93" s="10"/>
      <c r="I93" s="10"/>
      <c r="J93" s="14" t="s">
        <v>54</v>
      </c>
      <c r="K93" s="9" t="str">
        <f>IF(OR(J90="",J96=""),"",+IF(J90&gt;J96,I90,I96))</f>
        <v/>
      </c>
      <c r="L93" s="17"/>
      <c r="M93" s="10"/>
      <c r="N93" s="10"/>
      <c r="O93" s="10"/>
      <c r="P93" s="10"/>
      <c r="Q93" s="10"/>
      <c r="R93" s="8"/>
    </row>
    <row r="94" spans="4:18">
      <c r="E94" s="12">
        <f t="shared" si="1"/>
        <v>0</v>
      </c>
      <c r="F94" s="10"/>
      <c r="G94" s="10"/>
      <c r="H94" s="10"/>
      <c r="I94" s="10"/>
      <c r="J94" s="14"/>
      <c r="K94" s="10"/>
      <c r="L94" s="10"/>
      <c r="M94" s="19"/>
      <c r="N94" s="10"/>
      <c r="O94" s="10"/>
      <c r="P94" s="10"/>
      <c r="Q94" s="10"/>
      <c r="R94" s="8"/>
    </row>
    <row r="95" spans="4:18" ht="13" thickBot="1">
      <c r="D95">
        <v>42</v>
      </c>
      <c r="E95" s="9">
        <f t="shared" si="1"/>
        <v>42</v>
      </c>
      <c r="F95" s="9"/>
      <c r="G95" s="9">
        <f>E95</f>
        <v>42</v>
      </c>
      <c r="H95" s="11"/>
      <c r="I95" s="10"/>
      <c r="J95" s="14"/>
      <c r="K95" s="10"/>
      <c r="L95" s="10"/>
      <c r="M95" s="19"/>
      <c r="N95" s="10"/>
      <c r="O95" s="10"/>
      <c r="P95" s="10"/>
      <c r="Q95" s="10"/>
      <c r="R95" s="8"/>
    </row>
    <row r="96" spans="4:18" ht="13" thickBot="1">
      <c r="E96" s="10">
        <f t="shared" si="1"/>
        <v>0</v>
      </c>
      <c r="F96" s="10"/>
      <c r="G96" s="10"/>
      <c r="H96" s="13" t="s">
        <v>31</v>
      </c>
      <c r="I96" s="9" t="str">
        <f>IF(OR(H95="",H97=""),"",+IF(H95&gt;H97,E95,E97))</f>
        <v/>
      </c>
      <c r="J96" s="16"/>
      <c r="K96" s="10"/>
      <c r="L96" s="10"/>
      <c r="M96" s="19"/>
      <c r="N96" s="10"/>
      <c r="O96" s="10"/>
      <c r="P96" s="10"/>
      <c r="Q96" s="10"/>
      <c r="R96" s="8"/>
    </row>
    <row r="97" spans="4:18" ht="13" thickBot="1">
      <c r="D97">
        <v>43</v>
      </c>
      <c r="E97" s="9">
        <f t="shared" si="1"/>
        <v>43</v>
      </c>
      <c r="F97" s="9"/>
      <c r="G97" s="9">
        <f>E97</f>
        <v>43</v>
      </c>
      <c r="H97" s="11"/>
      <c r="I97" s="10"/>
      <c r="J97" s="10"/>
      <c r="K97" s="10"/>
      <c r="L97" s="10"/>
      <c r="M97" s="19"/>
      <c r="N97" s="10"/>
      <c r="O97" s="10"/>
      <c r="P97" s="10"/>
      <c r="Q97" s="10"/>
      <c r="R97" s="8"/>
    </row>
    <row r="98" spans="4:18" ht="13" thickBot="1">
      <c r="E98" s="10">
        <f t="shared" si="1"/>
        <v>0</v>
      </c>
      <c r="F98" s="10"/>
      <c r="G98" s="10"/>
      <c r="H98" s="10"/>
      <c r="I98" s="10"/>
      <c r="J98" s="10"/>
      <c r="K98" s="10"/>
      <c r="L98" s="14" t="s">
        <v>66</v>
      </c>
      <c r="M98" s="9" t="str">
        <f>IF(OR(L93="",L102=""),"",+IF(L93&gt;L102,K93,K102))</f>
        <v/>
      </c>
      <c r="N98" s="17"/>
      <c r="O98" s="10"/>
      <c r="P98" s="10"/>
      <c r="Q98" s="10"/>
      <c r="R98" s="8"/>
    </row>
    <row r="99" spans="4:18" ht="13" thickBot="1">
      <c r="D99">
        <v>44</v>
      </c>
      <c r="E99" s="9">
        <f t="shared" si="1"/>
        <v>44</v>
      </c>
      <c r="F99" s="9"/>
      <c r="G99" s="9">
        <f>E99</f>
        <v>44</v>
      </c>
      <c r="H99" s="11"/>
      <c r="I99" s="10"/>
      <c r="J99" s="10"/>
      <c r="K99" s="10"/>
      <c r="L99" s="10"/>
      <c r="M99" s="19"/>
      <c r="N99" s="13"/>
      <c r="O99" s="10"/>
      <c r="P99" s="10"/>
      <c r="Q99" s="10"/>
      <c r="R99" s="8"/>
    </row>
    <row r="100" spans="4:18" ht="13" thickBot="1">
      <c r="E100" s="10">
        <f t="shared" si="1"/>
        <v>0</v>
      </c>
      <c r="F100" s="10"/>
      <c r="G100" s="12"/>
      <c r="H100" s="13" t="s">
        <v>32</v>
      </c>
      <c r="I100" s="9" t="str">
        <f>IF(OR(H99="",H101=""),"",+IF(H99&gt;H101,E99,E101))</f>
        <v/>
      </c>
      <c r="J100" s="17"/>
      <c r="K100" s="10"/>
      <c r="L100" s="10"/>
      <c r="M100" s="19"/>
      <c r="N100" s="14"/>
      <c r="O100" s="10"/>
      <c r="P100" s="10"/>
      <c r="Q100" s="10"/>
      <c r="R100" s="8"/>
    </row>
    <row r="101" spans="4:18" ht="13" thickBot="1">
      <c r="D101">
        <v>45</v>
      </c>
      <c r="E101" s="9">
        <f t="shared" si="1"/>
        <v>45</v>
      </c>
      <c r="F101" s="9"/>
      <c r="G101" s="9">
        <f>E101</f>
        <v>45</v>
      </c>
      <c r="H101" s="16"/>
      <c r="I101" s="10"/>
      <c r="J101" s="14"/>
      <c r="K101" s="10"/>
      <c r="L101" s="10"/>
      <c r="M101" s="19"/>
      <c r="N101" s="14"/>
      <c r="O101" s="10"/>
      <c r="P101" s="10"/>
      <c r="Q101" s="10"/>
      <c r="R101" s="8"/>
    </row>
    <row r="102" spans="4:18" ht="13" thickBot="1">
      <c r="E102" s="10">
        <f t="shared" si="1"/>
        <v>0</v>
      </c>
      <c r="F102" s="10"/>
      <c r="G102" s="12"/>
      <c r="H102" s="10"/>
      <c r="I102" s="10"/>
      <c r="J102" s="14" t="s">
        <v>55</v>
      </c>
      <c r="K102" s="9" t="str">
        <f>IF(OR(J100="",J104=""),"",+IF(J100&gt;J104,I100,I104))</f>
        <v/>
      </c>
      <c r="L102" s="16"/>
      <c r="M102" s="19"/>
      <c r="N102" s="14"/>
      <c r="O102" s="10"/>
      <c r="P102" s="10"/>
      <c r="Q102" s="10"/>
      <c r="R102" s="8"/>
    </row>
    <row r="103" spans="4:18" ht="13" thickBot="1">
      <c r="D103">
        <v>46</v>
      </c>
      <c r="E103" s="9">
        <f t="shared" si="1"/>
        <v>46</v>
      </c>
      <c r="F103" s="9"/>
      <c r="G103" s="9">
        <f>E103</f>
        <v>46</v>
      </c>
      <c r="H103" s="11"/>
      <c r="I103" s="10"/>
      <c r="J103" s="14"/>
      <c r="K103" s="10"/>
      <c r="L103" s="10"/>
      <c r="M103" s="10"/>
      <c r="N103" s="14"/>
      <c r="O103" s="10"/>
      <c r="P103" s="10"/>
      <c r="Q103" s="10"/>
      <c r="R103" s="8"/>
    </row>
    <row r="104" spans="4:18" ht="13" thickBot="1">
      <c r="E104" s="10">
        <f t="shared" si="1"/>
        <v>0</v>
      </c>
      <c r="F104" s="10"/>
      <c r="G104" s="12"/>
      <c r="H104" s="13" t="s">
        <v>33</v>
      </c>
      <c r="I104" s="9" t="str">
        <f>IF(OR(H103="",H105=""),"",+IF(H103&gt;H105,E103,E105))</f>
        <v/>
      </c>
      <c r="J104" s="16"/>
      <c r="K104" s="10"/>
      <c r="L104" s="10"/>
      <c r="M104" s="10"/>
      <c r="N104" s="14"/>
      <c r="O104" s="10"/>
      <c r="P104" s="10"/>
      <c r="Q104" s="10"/>
      <c r="R104" s="8"/>
    </row>
    <row r="105" spans="4:18" ht="13" thickBot="1">
      <c r="D105">
        <v>47</v>
      </c>
      <c r="E105" s="9">
        <f t="shared" si="1"/>
        <v>47</v>
      </c>
      <c r="F105" s="9"/>
      <c r="G105" s="9">
        <f>E105</f>
        <v>47</v>
      </c>
      <c r="H105" s="16"/>
      <c r="I105" s="10"/>
      <c r="J105" s="10"/>
      <c r="K105" s="10"/>
      <c r="L105" s="10"/>
      <c r="M105" s="10"/>
      <c r="N105" s="14"/>
      <c r="O105" s="10"/>
      <c r="P105" s="10"/>
      <c r="Q105" s="10"/>
      <c r="R105" s="8"/>
    </row>
    <row r="106" spans="4:18">
      <c r="E106" s="10">
        <f t="shared" si="1"/>
        <v>0</v>
      </c>
      <c r="F106" s="10"/>
      <c r="G106" s="10"/>
      <c r="H106" s="10"/>
      <c r="I106" s="10"/>
      <c r="J106" s="10"/>
      <c r="K106" s="10"/>
      <c r="L106" s="10"/>
      <c r="M106" s="10"/>
      <c r="N106" s="14"/>
      <c r="O106" s="10"/>
      <c r="P106" s="10"/>
      <c r="Q106" s="10"/>
      <c r="R106" s="8"/>
    </row>
    <row r="107" spans="4:18" ht="13" thickBot="1">
      <c r="D107">
        <v>48</v>
      </c>
      <c r="E107" s="10">
        <f t="shared" si="1"/>
        <v>48</v>
      </c>
      <c r="F107" s="9"/>
      <c r="G107" s="9">
        <f>E107</f>
        <v>48</v>
      </c>
      <c r="H107" s="11"/>
      <c r="I107" s="10"/>
      <c r="J107" s="10"/>
      <c r="K107" s="10"/>
      <c r="L107" s="10"/>
      <c r="M107" s="10"/>
      <c r="N107" s="14" t="s">
        <v>72</v>
      </c>
      <c r="O107" s="9" t="str">
        <f>IF(OR(N98="",N117=""),"",+IF(N98&gt;N117,M98,M117))</f>
        <v/>
      </c>
      <c r="P107" s="17"/>
      <c r="Q107" s="10"/>
      <c r="R107" s="8"/>
    </row>
    <row r="108" spans="4:18">
      <c r="E108" s="12">
        <f t="shared" si="1"/>
        <v>0</v>
      </c>
      <c r="F108" s="10"/>
      <c r="G108" s="10"/>
      <c r="H108" s="13"/>
      <c r="I108" s="10"/>
      <c r="J108" s="10"/>
      <c r="K108" s="10"/>
      <c r="L108" s="10"/>
      <c r="M108" s="10"/>
      <c r="N108" s="14"/>
      <c r="O108" s="10"/>
      <c r="P108" s="14"/>
      <c r="Q108" s="10"/>
      <c r="R108" s="8"/>
    </row>
    <row r="109" spans="4:18" ht="13" thickBot="1">
      <c r="E109" s="10">
        <f t="shared" si="1"/>
        <v>0</v>
      </c>
      <c r="F109" s="10"/>
      <c r="G109" s="10"/>
      <c r="H109" s="14" t="s">
        <v>34</v>
      </c>
      <c r="I109" s="9" t="str">
        <f>IF(OR(H107="",H111=""),"",+IF(H107&gt;H111,G107,G111))</f>
        <v/>
      </c>
      <c r="J109" s="11"/>
      <c r="K109" s="10"/>
      <c r="L109" s="10"/>
      <c r="M109" s="10"/>
      <c r="N109" s="14"/>
      <c r="O109" s="10"/>
      <c r="P109" s="14"/>
      <c r="Q109" s="10"/>
      <c r="R109" s="8"/>
    </row>
    <row r="110" spans="4:18" ht="13" thickBot="1">
      <c r="D110">
        <v>49</v>
      </c>
      <c r="E110" s="10">
        <f t="shared" si="1"/>
        <v>49</v>
      </c>
      <c r="F110" s="11"/>
      <c r="G110" s="10"/>
      <c r="H110" s="14"/>
      <c r="I110" s="10"/>
      <c r="J110" s="13"/>
      <c r="K110" s="10"/>
      <c r="L110" s="10"/>
      <c r="M110" s="10"/>
      <c r="N110" s="14"/>
      <c r="O110" s="10"/>
      <c r="P110" s="14"/>
      <c r="Q110" s="10"/>
      <c r="R110" s="8"/>
    </row>
    <row r="111" spans="4:18" ht="13" thickBot="1">
      <c r="E111" s="12">
        <f t="shared" si="1"/>
        <v>0</v>
      </c>
      <c r="F111" s="13" t="s">
        <v>8</v>
      </c>
      <c r="G111" s="9" t="str">
        <f>IF(OR(F110="",F112=""),"",+IF(F110&gt;F112,E110,E112))</f>
        <v/>
      </c>
      <c r="H111" s="16"/>
      <c r="I111" s="10"/>
      <c r="J111" s="14"/>
      <c r="K111" s="10"/>
      <c r="L111" s="10"/>
      <c r="M111" s="10"/>
      <c r="N111" s="14"/>
      <c r="O111" s="10"/>
      <c r="P111" s="14"/>
      <c r="Q111" s="10"/>
      <c r="R111" s="8"/>
    </row>
    <row r="112" spans="4:18" ht="13" thickBot="1">
      <c r="D112">
        <v>50</v>
      </c>
      <c r="E112" s="10">
        <f t="shared" si="1"/>
        <v>50</v>
      </c>
      <c r="F112" s="16"/>
      <c r="G112" s="10"/>
      <c r="H112" s="10"/>
      <c r="I112" s="10"/>
      <c r="J112" s="14" t="s">
        <v>56</v>
      </c>
      <c r="K112" s="9" t="str">
        <f>IF(OR(J109="",J115=""),"",+IF(J109&gt;J115,I109,I115))</f>
        <v/>
      </c>
      <c r="L112" s="11"/>
      <c r="M112" s="10"/>
      <c r="N112" s="14"/>
      <c r="O112" s="10"/>
      <c r="P112" s="14"/>
      <c r="Q112" s="10"/>
      <c r="R112" s="8"/>
    </row>
    <row r="113" spans="4:18">
      <c r="E113" s="12">
        <f t="shared" si="1"/>
        <v>0</v>
      </c>
      <c r="F113" s="10"/>
      <c r="G113" s="10"/>
      <c r="H113" s="10"/>
      <c r="I113" s="10"/>
      <c r="J113" s="14"/>
      <c r="K113" s="12"/>
      <c r="L113" s="13"/>
      <c r="M113" s="10"/>
      <c r="N113" s="14"/>
      <c r="O113" s="10"/>
      <c r="P113" s="14"/>
      <c r="Q113" s="10"/>
      <c r="R113" s="8"/>
    </row>
    <row r="114" spans="4:18" ht="13" thickBot="1">
      <c r="D114">
        <v>51</v>
      </c>
      <c r="E114" s="9">
        <f t="shared" si="1"/>
        <v>51</v>
      </c>
      <c r="F114" s="9"/>
      <c r="G114" s="9">
        <f>E114</f>
        <v>51</v>
      </c>
      <c r="H114" s="11"/>
      <c r="I114" s="10"/>
      <c r="J114" s="14"/>
      <c r="K114" s="10"/>
      <c r="L114" s="14"/>
      <c r="M114" s="10"/>
      <c r="N114" s="14"/>
      <c r="O114" s="10"/>
      <c r="P114" s="14"/>
      <c r="Q114" s="10"/>
      <c r="R114" s="8"/>
    </row>
    <row r="115" spans="4:18" ht="13" thickBot="1">
      <c r="E115" s="10">
        <f t="shared" si="1"/>
        <v>0</v>
      </c>
      <c r="F115" s="10"/>
      <c r="G115" s="10"/>
      <c r="H115" s="13" t="s">
        <v>35</v>
      </c>
      <c r="I115" s="9" t="str">
        <f>IF(OR(H114="",H116=""),"",+IF(H114&gt;H116,E114,E116))</f>
        <v/>
      </c>
      <c r="J115" s="16"/>
      <c r="K115" s="10"/>
      <c r="L115" s="14"/>
      <c r="M115" s="10"/>
      <c r="N115" s="14"/>
      <c r="O115" s="10"/>
      <c r="P115" s="14"/>
      <c r="Q115" s="10"/>
      <c r="R115" s="8"/>
    </row>
    <row r="116" spans="4:18" ht="13" thickBot="1">
      <c r="D116">
        <v>52</v>
      </c>
      <c r="E116" s="9">
        <f t="shared" si="1"/>
        <v>52</v>
      </c>
      <c r="F116" s="9"/>
      <c r="G116" s="9">
        <f>E116</f>
        <v>52</v>
      </c>
      <c r="H116" s="16"/>
      <c r="I116" s="10"/>
      <c r="J116" s="10"/>
      <c r="K116" s="10"/>
      <c r="L116" s="14"/>
      <c r="M116" s="10"/>
      <c r="N116" s="14"/>
      <c r="O116" s="10"/>
      <c r="P116" s="14"/>
      <c r="Q116" s="10"/>
      <c r="R116" s="8"/>
    </row>
    <row r="117" spans="4:18" ht="13" thickBot="1">
      <c r="E117" s="10">
        <f t="shared" si="1"/>
        <v>0</v>
      </c>
      <c r="F117" s="10"/>
      <c r="G117" s="10"/>
      <c r="H117" s="10"/>
      <c r="I117" s="10"/>
      <c r="J117" s="10"/>
      <c r="K117" s="10"/>
      <c r="L117" s="14" t="s">
        <v>67</v>
      </c>
      <c r="M117" s="9" t="str">
        <f>IF(OR(L112="",L122=""),"",+IF(L112&gt;L122,K112,K122))</f>
        <v/>
      </c>
      <c r="N117" s="16"/>
      <c r="O117" s="10"/>
      <c r="P117" s="14"/>
      <c r="Q117" s="10"/>
      <c r="R117" s="8"/>
    </row>
    <row r="118" spans="4:18" ht="13" thickBot="1">
      <c r="D118">
        <v>53</v>
      </c>
      <c r="E118" s="9">
        <f t="shared" si="1"/>
        <v>53</v>
      </c>
      <c r="F118" s="9"/>
      <c r="G118" s="9">
        <f>E118</f>
        <v>53</v>
      </c>
      <c r="H118" s="11"/>
      <c r="I118" s="10"/>
      <c r="J118" s="10"/>
      <c r="K118" s="10"/>
      <c r="L118" s="14"/>
      <c r="M118" s="10"/>
      <c r="N118" s="10"/>
      <c r="O118" s="10"/>
      <c r="P118" s="14"/>
      <c r="Q118" s="10"/>
      <c r="R118" s="8"/>
    </row>
    <row r="119" spans="4:18" ht="13" thickBot="1">
      <c r="E119" s="10">
        <f t="shared" si="1"/>
        <v>0</v>
      </c>
      <c r="F119" s="10"/>
      <c r="G119" s="10"/>
      <c r="H119" s="13" t="s">
        <v>36</v>
      </c>
      <c r="I119" s="9" t="str">
        <f>IF(OR(H118="",H120=""),"",+IF(H118&gt;H120,E118,E120))</f>
        <v/>
      </c>
      <c r="J119" s="17"/>
      <c r="K119" s="10"/>
      <c r="L119" s="14"/>
      <c r="M119" s="10"/>
      <c r="N119" s="10"/>
      <c r="O119" s="10"/>
      <c r="P119" s="14"/>
      <c r="Q119" s="10"/>
      <c r="R119" s="8"/>
    </row>
    <row r="120" spans="4:18" ht="13" thickBot="1">
      <c r="D120">
        <v>54</v>
      </c>
      <c r="E120" s="9">
        <f t="shared" si="1"/>
        <v>54</v>
      </c>
      <c r="F120" s="9"/>
      <c r="G120" s="9">
        <f>E120</f>
        <v>54</v>
      </c>
      <c r="H120" s="16"/>
      <c r="I120" s="10"/>
      <c r="J120" s="13"/>
      <c r="K120" s="10"/>
      <c r="L120" s="14"/>
      <c r="M120" s="10"/>
      <c r="N120" s="10"/>
      <c r="O120" s="10"/>
      <c r="P120" s="14"/>
      <c r="Q120" s="10"/>
      <c r="R120" s="8"/>
    </row>
    <row r="121" spans="4:18">
      <c r="E121" s="10">
        <f t="shared" si="1"/>
        <v>0</v>
      </c>
      <c r="F121" s="10"/>
      <c r="G121" s="10"/>
      <c r="H121" s="10"/>
      <c r="I121" s="10"/>
      <c r="J121" s="14"/>
      <c r="K121" s="10"/>
      <c r="L121" s="14"/>
      <c r="M121" s="10"/>
      <c r="N121" s="10"/>
      <c r="O121" s="10"/>
      <c r="P121" s="14"/>
      <c r="Q121" s="10"/>
      <c r="R121" s="8"/>
    </row>
    <row r="122" spans="4:18" ht="13" thickBot="1">
      <c r="D122">
        <v>55</v>
      </c>
      <c r="E122" s="10">
        <f t="shared" si="1"/>
        <v>55</v>
      </c>
      <c r="F122" s="11"/>
      <c r="G122" s="10"/>
      <c r="H122" s="10"/>
      <c r="I122" s="10"/>
      <c r="J122" s="14" t="s">
        <v>57</v>
      </c>
      <c r="K122" s="18" t="str">
        <f>IF(OR(I119="",I124=""),"",+IF(J119&gt;J124,I119,I124))</f>
        <v/>
      </c>
      <c r="L122" s="16"/>
      <c r="M122" s="10"/>
      <c r="N122" s="10"/>
      <c r="O122" s="10"/>
      <c r="P122" s="14"/>
      <c r="Q122" s="10"/>
      <c r="R122" s="8"/>
    </row>
    <row r="123" spans="4:18" ht="13" thickBot="1">
      <c r="E123" s="12">
        <f t="shared" si="1"/>
        <v>0</v>
      </c>
      <c r="F123" s="13" t="s">
        <v>9</v>
      </c>
      <c r="G123" s="9" t="str">
        <f>IF(OR(F122="",F124=""),"",+IF(F122&gt;F124,E122,E124))</f>
        <v/>
      </c>
      <c r="H123" s="17"/>
      <c r="I123" s="10"/>
      <c r="J123" s="14"/>
      <c r="K123" s="10"/>
      <c r="L123" s="10"/>
      <c r="M123" s="10"/>
      <c r="N123" s="10"/>
      <c r="O123" s="10"/>
      <c r="P123" s="14"/>
      <c r="Q123" s="10"/>
      <c r="R123" s="8"/>
    </row>
    <row r="124" spans="4:18" ht="13" thickBot="1">
      <c r="D124">
        <v>56</v>
      </c>
      <c r="E124" s="9">
        <f t="shared" si="1"/>
        <v>56</v>
      </c>
      <c r="F124" s="16"/>
      <c r="G124" s="10"/>
      <c r="H124" s="13"/>
      <c r="I124" s="9" t="str">
        <f>IF(OR(H123="",H126=""),"",+IF(H123&gt;H126,G123,G126))</f>
        <v/>
      </c>
      <c r="J124" s="16"/>
      <c r="K124" s="10"/>
      <c r="L124" s="10"/>
      <c r="M124" s="10"/>
      <c r="N124" s="10"/>
      <c r="O124" s="10"/>
      <c r="P124" s="14"/>
      <c r="Q124" s="10"/>
      <c r="R124" s="8"/>
    </row>
    <row r="125" spans="4:18">
      <c r="E125" s="10">
        <f t="shared" si="1"/>
        <v>0</v>
      </c>
      <c r="F125" s="10"/>
      <c r="G125" s="10"/>
      <c r="H125" s="14" t="s">
        <v>37</v>
      </c>
      <c r="I125" s="10"/>
      <c r="J125" s="10"/>
      <c r="K125" s="10"/>
      <c r="L125" s="10"/>
      <c r="M125" s="10"/>
      <c r="N125" s="10"/>
      <c r="O125" s="10"/>
      <c r="P125" s="14"/>
      <c r="Q125" s="10"/>
      <c r="R125" s="8"/>
    </row>
    <row r="126" spans="4:18" ht="13" thickBot="1">
      <c r="D126">
        <v>57</v>
      </c>
      <c r="E126" s="9">
        <f t="shared" si="1"/>
        <v>57</v>
      </c>
      <c r="F126" s="9"/>
      <c r="G126" s="9">
        <f>E126</f>
        <v>57</v>
      </c>
      <c r="H126" s="16"/>
      <c r="I126" s="10"/>
      <c r="J126" s="10"/>
      <c r="K126" s="10"/>
      <c r="L126" s="10"/>
      <c r="M126" s="10"/>
      <c r="N126" s="10"/>
      <c r="O126" s="10"/>
      <c r="P126" s="14"/>
      <c r="Q126" s="10"/>
      <c r="R126" s="8"/>
    </row>
    <row r="127" spans="4:18" ht="13" thickBot="1">
      <c r="E127" s="10">
        <f t="shared" si="1"/>
        <v>0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4" t="s">
        <v>74</v>
      </c>
      <c r="Q127" s="9" t="str">
        <f>IF(OR(P107="",P148=""),"",+IF(P107&gt;P148,O107,O148))</f>
        <v/>
      </c>
      <c r="R127" s="8"/>
    </row>
    <row r="128" spans="4:18" ht="13" thickBot="1">
      <c r="D128">
        <v>58</v>
      </c>
      <c r="E128" s="10">
        <f t="shared" si="1"/>
        <v>58</v>
      </c>
      <c r="F128" s="9"/>
      <c r="G128" s="9">
        <f>E128</f>
        <v>58</v>
      </c>
      <c r="H128" s="11"/>
      <c r="I128" s="10"/>
      <c r="J128" s="10"/>
      <c r="K128" s="10"/>
      <c r="L128" s="10"/>
      <c r="M128" s="10"/>
      <c r="N128" s="10"/>
      <c r="O128" s="10"/>
      <c r="P128" s="14"/>
      <c r="Q128" s="10"/>
    </row>
    <row r="129" spans="4:17">
      <c r="E129" s="12">
        <f t="shared" si="1"/>
        <v>0</v>
      </c>
      <c r="F129" s="10"/>
      <c r="G129" s="10"/>
      <c r="H129" s="13"/>
      <c r="I129" s="10"/>
      <c r="J129" s="10"/>
      <c r="K129" s="10"/>
      <c r="L129" s="10"/>
      <c r="M129" s="10"/>
      <c r="N129" s="10"/>
      <c r="O129" s="10"/>
      <c r="P129" s="14"/>
      <c r="Q129" s="10"/>
    </row>
    <row r="130" spans="4:17" ht="13" thickBot="1">
      <c r="E130" s="10">
        <f t="shared" si="1"/>
        <v>0</v>
      </c>
      <c r="F130" s="10"/>
      <c r="G130" s="10"/>
      <c r="H130" s="14" t="s">
        <v>38</v>
      </c>
      <c r="I130" s="9" t="str">
        <f>IF(OR(H128="",H132=""),"",+IF(H128&gt;H132,G128,G132))</f>
        <v/>
      </c>
      <c r="J130" s="11"/>
      <c r="K130" s="10"/>
      <c r="L130" s="10"/>
      <c r="M130" s="10"/>
      <c r="N130" s="10"/>
      <c r="O130" s="10"/>
      <c r="P130" s="14"/>
      <c r="Q130" s="10"/>
    </row>
    <row r="131" spans="4:17" ht="13" thickBot="1">
      <c r="D131">
        <v>59</v>
      </c>
      <c r="E131" s="10">
        <f t="shared" si="1"/>
        <v>59</v>
      </c>
      <c r="F131" s="11"/>
      <c r="G131" s="10"/>
      <c r="H131" s="14"/>
      <c r="I131" s="10"/>
      <c r="J131" s="13"/>
      <c r="K131" s="10"/>
      <c r="L131" s="10"/>
      <c r="M131" s="10"/>
      <c r="N131" s="10"/>
      <c r="O131" s="10"/>
      <c r="P131" s="14"/>
      <c r="Q131" s="10"/>
    </row>
    <row r="132" spans="4:17" ht="13" thickBot="1">
      <c r="E132" s="12">
        <f t="shared" si="1"/>
        <v>0</v>
      </c>
      <c r="F132" s="13" t="s">
        <v>10</v>
      </c>
      <c r="G132" s="9" t="str">
        <f>IF(OR(F131="",F133=""),"",+IF(F131&gt;F133,E131,E133))</f>
        <v/>
      </c>
      <c r="H132" s="16"/>
      <c r="I132" s="10"/>
      <c r="J132" s="14"/>
      <c r="K132" s="10"/>
      <c r="L132" s="10"/>
      <c r="M132" s="10"/>
      <c r="N132" s="10"/>
      <c r="O132" s="10"/>
      <c r="P132" s="14"/>
      <c r="Q132" s="10"/>
    </row>
    <row r="133" spans="4:17" ht="13" thickBot="1">
      <c r="D133">
        <v>60</v>
      </c>
      <c r="E133" s="10">
        <f t="shared" si="1"/>
        <v>60</v>
      </c>
      <c r="F133" s="16"/>
      <c r="G133" s="10"/>
      <c r="H133" s="10"/>
      <c r="I133" s="10"/>
      <c r="J133" s="14" t="s">
        <v>58</v>
      </c>
      <c r="K133" s="9" t="str">
        <f>IF(OR(J130="",J136=""),"",+IF(J130&gt;J136,I130,I136))</f>
        <v/>
      </c>
      <c r="L133" s="11"/>
      <c r="M133" s="10"/>
      <c r="N133" s="10"/>
      <c r="O133" s="10"/>
      <c r="P133" s="14"/>
      <c r="Q133" s="10"/>
    </row>
    <row r="134" spans="4:17">
      <c r="E134" s="12">
        <f t="shared" si="1"/>
        <v>0</v>
      </c>
      <c r="F134" s="10"/>
      <c r="G134" s="10"/>
      <c r="H134" s="10"/>
      <c r="I134" s="10"/>
      <c r="J134" s="14"/>
      <c r="K134" s="12"/>
      <c r="L134" s="13"/>
      <c r="M134" s="10"/>
      <c r="N134" s="10"/>
      <c r="O134" s="10"/>
      <c r="P134" s="14"/>
      <c r="Q134" s="10"/>
    </row>
    <row r="135" spans="4:17" ht="13" thickBot="1">
      <c r="D135">
        <v>61</v>
      </c>
      <c r="E135" s="9">
        <f t="shared" si="1"/>
        <v>61</v>
      </c>
      <c r="F135" s="9"/>
      <c r="G135" s="9">
        <f>E135</f>
        <v>61</v>
      </c>
      <c r="H135" s="11"/>
      <c r="I135" s="10"/>
      <c r="J135" s="14"/>
      <c r="K135" s="10"/>
      <c r="L135" s="14"/>
      <c r="M135" s="10"/>
      <c r="N135" s="10"/>
      <c r="O135" s="10"/>
      <c r="P135" s="14"/>
      <c r="Q135" s="10"/>
    </row>
    <row r="136" spans="4:17" ht="13" thickBot="1">
      <c r="E136" s="10">
        <f t="shared" ref="E136:E168" si="2">D136</f>
        <v>0</v>
      </c>
      <c r="F136" s="10"/>
      <c r="G136" s="10"/>
      <c r="H136" s="13" t="s">
        <v>39</v>
      </c>
      <c r="I136" s="9" t="str">
        <f>IF(OR(H135="",H137=""),"",+IF(H135&gt;H137,E135,E137))</f>
        <v/>
      </c>
      <c r="J136" s="16"/>
      <c r="K136" s="10"/>
      <c r="L136" s="14"/>
      <c r="M136" s="10"/>
      <c r="N136" s="10"/>
      <c r="O136" s="10"/>
      <c r="P136" s="14"/>
      <c r="Q136" s="10"/>
    </row>
    <row r="137" spans="4:17" ht="13" thickBot="1">
      <c r="D137">
        <v>62</v>
      </c>
      <c r="E137" s="9">
        <f t="shared" si="2"/>
        <v>62</v>
      </c>
      <c r="F137" s="9"/>
      <c r="G137" s="9">
        <f>E137</f>
        <v>62</v>
      </c>
      <c r="H137" s="16"/>
      <c r="I137" s="10"/>
      <c r="J137" s="10"/>
      <c r="K137" s="10"/>
      <c r="L137" s="14"/>
      <c r="M137" s="10"/>
      <c r="N137" s="10"/>
      <c r="O137" s="10"/>
      <c r="P137" s="14"/>
      <c r="Q137" s="10"/>
    </row>
    <row r="138" spans="4:17" ht="13" thickBot="1">
      <c r="E138" s="10">
        <f t="shared" si="2"/>
        <v>0</v>
      </c>
      <c r="F138" s="10"/>
      <c r="G138" s="10"/>
      <c r="H138" s="10"/>
      <c r="I138" s="10"/>
      <c r="J138" s="10"/>
      <c r="K138" s="10"/>
      <c r="L138" s="14" t="s">
        <v>68</v>
      </c>
      <c r="M138" s="9" t="str">
        <f>IF(OR(L133="",L143=""),"",+IF(L133&gt;L143,K133,K143))</f>
        <v/>
      </c>
      <c r="N138" s="11"/>
      <c r="O138" s="10"/>
      <c r="P138" s="14"/>
      <c r="Q138" s="10"/>
    </row>
    <row r="139" spans="4:17" ht="13" thickBot="1">
      <c r="D139">
        <v>63</v>
      </c>
      <c r="E139" s="9">
        <f t="shared" si="2"/>
        <v>63</v>
      </c>
      <c r="F139" s="9"/>
      <c r="G139" s="9">
        <f>E139</f>
        <v>63</v>
      </c>
      <c r="H139" s="11"/>
      <c r="I139" s="10"/>
      <c r="J139" s="10"/>
      <c r="K139" s="10"/>
      <c r="L139" s="14"/>
      <c r="M139" s="10"/>
      <c r="N139" s="13"/>
      <c r="O139" s="10"/>
      <c r="P139" s="14"/>
      <c r="Q139" s="10"/>
    </row>
    <row r="140" spans="4:17" ht="13" thickBot="1">
      <c r="E140" s="10">
        <f t="shared" si="2"/>
        <v>0</v>
      </c>
      <c r="F140" s="10"/>
      <c r="G140" s="10"/>
      <c r="H140" s="13" t="s">
        <v>40</v>
      </c>
      <c r="I140" s="9" t="str">
        <f>IF(OR(H139="",H141=""),"",+IF(H139&gt;H141,E139,E141))</f>
        <v/>
      </c>
      <c r="J140" s="17"/>
      <c r="K140" s="10"/>
      <c r="L140" s="14"/>
      <c r="M140" s="10"/>
      <c r="N140" s="14"/>
      <c r="O140" s="10"/>
      <c r="P140" s="14"/>
      <c r="Q140" s="10"/>
    </row>
    <row r="141" spans="4:17" ht="13" thickBot="1">
      <c r="D141">
        <v>64</v>
      </c>
      <c r="E141" s="9">
        <f t="shared" si="2"/>
        <v>64</v>
      </c>
      <c r="F141" s="9"/>
      <c r="G141" s="9">
        <f>E141</f>
        <v>64</v>
      </c>
      <c r="H141" s="16"/>
      <c r="I141" s="10"/>
      <c r="J141" s="13"/>
      <c r="K141" s="10"/>
      <c r="L141" s="14"/>
      <c r="M141" s="10"/>
      <c r="N141" s="14"/>
      <c r="O141" s="10"/>
      <c r="P141" s="14"/>
      <c r="Q141" s="10"/>
    </row>
    <row r="142" spans="4:17">
      <c r="E142" s="10">
        <f t="shared" si="2"/>
        <v>0</v>
      </c>
      <c r="F142" s="10"/>
      <c r="G142" s="10"/>
      <c r="H142" s="10"/>
      <c r="I142" s="10"/>
      <c r="J142" s="14"/>
      <c r="K142" s="10"/>
      <c r="L142" s="14"/>
      <c r="M142" s="10"/>
      <c r="N142" s="14"/>
      <c r="O142" s="10"/>
      <c r="P142" s="14"/>
      <c r="Q142" s="10"/>
    </row>
    <row r="143" spans="4:17" ht="13" thickBot="1">
      <c r="D143">
        <v>65</v>
      </c>
      <c r="E143" s="10">
        <f t="shared" si="2"/>
        <v>65</v>
      </c>
      <c r="F143" s="11"/>
      <c r="G143" s="10"/>
      <c r="H143" s="10"/>
      <c r="I143" s="10"/>
      <c r="J143" s="14" t="s">
        <v>59</v>
      </c>
      <c r="K143" s="18" t="str">
        <f>IF(OR(I140="",I145=""),"",+IF(J140&gt;J145,I140,I145))</f>
        <v/>
      </c>
      <c r="L143" s="16"/>
      <c r="M143" s="10"/>
      <c r="N143" s="14"/>
      <c r="O143" s="10"/>
      <c r="P143" s="14"/>
      <c r="Q143" s="10"/>
    </row>
    <row r="144" spans="4:17" ht="13" thickBot="1">
      <c r="E144" s="12">
        <f t="shared" si="2"/>
        <v>0</v>
      </c>
      <c r="F144" s="13" t="s">
        <v>11</v>
      </c>
      <c r="G144" s="9" t="str">
        <f>IF(OR(F143="",F145=""),"",+IF(F143&gt;F145,E143,E145))</f>
        <v/>
      </c>
      <c r="H144" s="17"/>
      <c r="I144" s="10"/>
      <c r="J144" s="14"/>
      <c r="K144" s="10"/>
      <c r="L144" s="10"/>
      <c r="M144" s="10"/>
      <c r="N144" s="14"/>
      <c r="O144" s="10"/>
      <c r="P144" s="14"/>
      <c r="Q144" s="10"/>
    </row>
    <row r="145" spans="4:17" ht="13" thickBot="1">
      <c r="D145">
        <v>66</v>
      </c>
      <c r="E145" s="9">
        <f t="shared" si="2"/>
        <v>66</v>
      </c>
      <c r="F145" s="16"/>
      <c r="G145" s="10"/>
      <c r="H145" s="13" t="s">
        <v>41</v>
      </c>
      <c r="I145" s="9" t="str">
        <f>IF(OR(H144="",H147=""),"",+IF(H144&gt;H147,G144,G147))</f>
        <v/>
      </c>
      <c r="J145" s="16"/>
      <c r="K145" s="10"/>
      <c r="L145" s="10"/>
      <c r="M145" s="10"/>
      <c r="N145" s="14"/>
      <c r="O145" s="10"/>
      <c r="P145" s="14"/>
      <c r="Q145" s="10"/>
    </row>
    <row r="146" spans="4:17">
      <c r="E146" s="10">
        <f t="shared" si="2"/>
        <v>0</v>
      </c>
      <c r="F146" s="10"/>
      <c r="G146" s="10"/>
      <c r="H146" s="14"/>
      <c r="I146" s="10"/>
      <c r="J146" s="10"/>
      <c r="K146" s="10"/>
      <c r="L146" s="10"/>
      <c r="M146" s="10"/>
      <c r="N146" s="14"/>
      <c r="O146" s="10"/>
      <c r="P146" s="14"/>
      <c r="Q146" s="10"/>
    </row>
    <row r="147" spans="4:17" ht="13" thickBot="1">
      <c r="D147">
        <v>67</v>
      </c>
      <c r="E147" s="9">
        <f t="shared" si="2"/>
        <v>67</v>
      </c>
      <c r="F147" s="9"/>
      <c r="G147" s="9">
        <f>E147</f>
        <v>67</v>
      </c>
      <c r="H147" s="16"/>
      <c r="I147" s="10"/>
      <c r="J147" s="10"/>
      <c r="K147" s="10"/>
      <c r="L147" s="10"/>
      <c r="M147" s="10"/>
      <c r="N147" s="14"/>
      <c r="O147" s="10"/>
      <c r="P147" s="14"/>
      <c r="Q147" s="10"/>
    </row>
    <row r="148" spans="4:17" ht="13" thickBot="1">
      <c r="E148" s="10">
        <f t="shared" si="2"/>
        <v>0</v>
      </c>
      <c r="F148" s="10"/>
      <c r="G148" s="10"/>
      <c r="H148" s="10"/>
      <c r="I148" s="10"/>
      <c r="J148" s="10"/>
      <c r="K148" s="10"/>
      <c r="L148" s="10"/>
      <c r="M148" s="10"/>
      <c r="N148" s="14" t="s">
        <v>73</v>
      </c>
      <c r="O148" s="9" t="str">
        <f>IF(OR(N138="",N159=""),"",+IF(N138&gt;N159,M138,M159))</f>
        <v/>
      </c>
      <c r="P148" s="16"/>
      <c r="Q148" s="10"/>
    </row>
    <row r="149" spans="4:17" ht="13" thickBot="1">
      <c r="D149">
        <v>68</v>
      </c>
      <c r="E149" s="10">
        <f t="shared" si="2"/>
        <v>68</v>
      </c>
      <c r="F149" s="9"/>
      <c r="G149" s="9">
        <f>E149</f>
        <v>68</v>
      </c>
      <c r="H149" s="11"/>
      <c r="I149" s="10"/>
      <c r="J149" s="10"/>
      <c r="K149" s="10"/>
      <c r="L149" s="10"/>
      <c r="M149" s="10"/>
      <c r="N149" s="14"/>
      <c r="O149" s="10"/>
      <c r="P149" s="10"/>
      <c r="Q149" s="10"/>
    </row>
    <row r="150" spans="4:17">
      <c r="E150" s="12">
        <f t="shared" si="2"/>
        <v>0</v>
      </c>
      <c r="F150" s="10"/>
      <c r="G150" s="10"/>
      <c r="H150" s="13"/>
      <c r="I150" s="10"/>
      <c r="J150" s="10"/>
      <c r="K150" s="10"/>
      <c r="L150" s="10"/>
      <c r="M150" s="10"/>
      <c r="N150" s="14"/>
      <c r="O150" s="10"/>
      <c r="P150" s="10"/>
      <c r="Q150" s="10"/>
    </row>
    <row r="151" spans="4:17" ht="13" thickBot="1">
      <c r="E151" s="10">
        <f t="shared" si="2"/>
        <v>0</v>
      </c>
      <c r="F151" s="10"/>
      <c r="G151" s="10"/>
      <c r="H151" s="14" t="s">
        <v>42</v>
      </c>
      <c r="I151" s="9" t="str">
        <f>IF(OR(H149="",H153=""),"",+IF(H149&gt;H153,G149,G153))</f>
        <v/>
      </c>
      <c r="J151" s="11"/>
      <c r="K151" s="10"/>
      <c r="L151" s="10"/>
      <c r="M151" s="10"/>
      <c r="N151" s="14"/>
      <c r="O151" s="10"/>
      <c r="P151" s="10"/>
      <c r="Q151" s="10"/>
    </row>
    <row r="152" spans="4:17" ht="13" thickBot="1">
      <c r="D152">
        <v>69</v>
      </c>
      <c r="E152" s="10">
        <f t="shared" si="2"/>
        <v>69</v>
      </c>
      <c r="F152" s="11"/>
      <c r="G152" s="10"/>
      <c r="H152" s="14"/>
      <c r="I152" s="10"/>
      <c r="J152" s="13"/>
      <c r="K152" s="10"/>
      <c r="L152" s="10"/>
      <c r="M152" s="10"/>
      <c r="N152" s="14"/>
      <c r="O152" s="10"/>
      <c r="P152" s="10"/>
      <c r="Q152" s="10"/>
    </row>
    <row r="153" spans="4:17" ht="13" thickBot="1">
      <c r="E153" s="12">
        <f t="shared" si="2"/>
        <v>0</v>
      </c>
      <c r="F153" s="13" t="s">
        <v>12</v>
      </c>
      <c r="G153" s="9" t="str">
        <f>IF(OR(F152="",F154=""),"",+IF(F152&gt;F154,E152,E154))</f>
        <v/>
      </c>
      <c r="H153" s="16"/>
      <c r="I153" s="10"/>
      <c r="J153" s="14"/>
      <c r="K153" s="10"/>
      <c r="L153" s="10"/>
      <c r="M153" s="10"/>
      <c r="N153" s="14"/>
      <c r="O153" s="10"/>
      <c r="P153" s="10"/>
      <c r="Q153" s="10"/>
    </row>
    <row r="154" spans="4:17" ht="13" thickBot="1">
      <c r="D154">
        <v>70</v>
      </c>
      <c r="E154" s="10">
        <f t="shared" si="2"/>
        <v>70</v>
      </c>
      <c r="F154" s="16"/>
      <c r="G154" s="10"/>
      <c r="H154" s="10"/>
      <c r="I154" s="10"/>
      <c r="J154" s="14" t="s">
        <v>60</v>
      </c>
      <c r="K154" s="9" t="str">
        <f>IF(OR(J151="",J157=""),"",+IF(J151&gt;J157,I151,I157))</f>
        <v/>
      </c>
      <c r="L154" s="11"/>
      <c r="M154" s="10"/>
      <c r="N154" s="14"/>
      <c r="O154" s="10"/>
      <c r="P154" s="10"/>
      <c r="Q154" s="10"/>
    </row>
    <row r="155" spans="4:17">
      <c r="E155" s="12">
        <f t="shared" si="2"/>
        <v>0</v>
      </c>
      <c r="F155" s="10"/>
      <c r="G155" s="10"/>
      <c r="H155" s="10"/>
      <c r="I155" s="10"/>
      <c r="J155" s="14"/>
      <c r="K155" s="12"/>
      <c r="L155" s="13"/>
      <c r="M155" s="10"/>
      <c r="N155" s="14"/>
      <c r="O155" s="10"/>
      <c r="P155" s="10"/>
      <c r="Q155" s="10"/>
    </row>
    <row r="156" spans="4:17" ht="13" thickBot="1">
      <c r="D156">
        <v>71</v>
      </c>
      <c r="E156" s="9">
        <f t="shared" si="2"/>
        <v>71</v>
      </c>
      <c r="F156" s="9"/>
      <c r="G156" s="9">
        <f>E156</f>
        <v>71</v>
      </c>
      <c r="H156" s="11"/>
      <c r="I156" s="10"/>
      <c r="J156" s="14"/>
      <c r="K156" s="10"/>
      <c r="L156" s="14"/>
      <c r="M156" s="10"/>
      <c r="N156" s="14"/>
      <c r="O156" s="10"/>
      <c r="P156" s="10"/>
      <c r="Q156" s="10"/>
    </row>
    <row r="157" spans="4:17" ht="13" thickBot="1">
      <c r="E157" s="10">
        <f t="shared" si="2"/>
        <v>0</v>
      </c>
      <c r="F157" s="10"/>
      <c r="G157" s="10"/>
      <c r="H157" s="13" t="s">
        <v>43</v>
      </c>
      <c r="I157" s="9" t="str">
        <f>IF(OR(H156="",H158=""),"",+IF(H156&gt;H158,E156,E158))</f>
        <v/>
      </c>
      <c r="J157" s="16"/>
      <c r="K157" s="10"/>
      <c r="L157" s="14"/>
      <c r="M157" s="10"/>
      <c r="N157" s="14"/>
      <c r="O157" s="10"/>
      <c r="P157" s="10"/>
      <c r="Q157" s="10"/>
    </row>
    <row r="158" spans="4:17" ht="13" thickBot="1">
      <c r="D158">
        <v>72</v>
      </c>
      <c r="E158" s="9">
        <f t="shared" si="2"/>
        <v>72</v>
      </c>
      <c r="F158" s="9"/>
      <c r="G158" s="9">
        <f>E158</f>
        <v>72</v>
      </c>
      <c r="H158" s="16"/>
      <c r="I158" s="10"/>
      <c r="J158" s="10"/>
      <c r="K158" s="10"/>
      <c r="L158" s="14"/>
      <c r="M158" s="10"/>
      <c r="N158" s="14"/>
      <c r="O158" s="10"/>
      <c r="P158" s="10"/>
      <c r="Q158" s="10"/>
    </row>
    <row r="159" spans="4:17" ht="13" thickBot="1">
      <c r="E159" s="10">
        <f t="shared" si="2"/>
        <v>0</v>
      </c>
      <c r="F159" s="10"/>
      <c r="G159" s="10"/>
      <c r="H159" s="10"/>
      <c r="I159" s="10"/>
      <c r="J159" s="10"/>
      <c r="K159" s="10"/>
      <c r="L159" s="14" t="s">
        <v>69</v>
      </c>
      <c r="M159" s="9" t="str">
        <f>IF(OR(L154="",L164=""),"",+IF(L154&gt;L164,K154,K164))</f>
        <v/>
      </c>
      <c r="N159" s="16"/>
      <c r="O159" s="10"/>
      <c r="P159" s="10"/>
      <c r="Q159" s="10"/>
    </row>
    <row r="160" spans="4:17" ht="13" thickBot="1">
      <c r="D160">
        <v>73</v>
      </c>
      <c r="E160" s="9">
        <f t="shared" si="2"/>
        <v>73</v>
      </c>
      <c r="F160" s="9"/>
      <c r="G160" s="9">
        <f>E160</f>
        <v>73</v>
      </c>
      <c r="H160" s="11"/>
      <c r="I160" s="10"/>
      <c r="J160" s="10"/>
      <c r="K160" s="10"/>
      <c r="L160" s="14"/>
      <c r="M160" s="10"/>
      <c r="N160" s="10"/>
      <c r="O160" s="10"/>
      <c r="P160" s="10"/>
      <c r="Q160" s="10"/>
    </row>
    <row r="161" spans="4:17" ht="13" thickBot="1">
      <c r="E161" s="10">
        <f t="shared" si="2"/>
        <v>0</v>
      </c>
      <c r="F161" s="10"/>
      <c r="G161" s="10"/>
      <c r="H161" s="13" t="s">
        <v>44</v>
      </c>
      <c r="I161" s="9" t="str">
        <f>IF(OR(H160="",H162=""),"",+IF(H160&gt;H162,E160,E162))</f>
        <v/>
      </c>
      <c r="J161" s="17"/>
      <c r="K161" s="10"/>
      <c r="L161" s="14"/>
      <c r="M161" s="10"/>
      <c r="N161" s="10"/>
      <c r="O161" s="10"/>
      <c r="P161" s="10"/>
      <c r="Q161" s="10"/>
    </row>
    <row r="162" spans="4:17" ht="13" thickBot="1">
      <c r="D162">
        <v>74</v>
      </c>
      <c r="E162" s="9">
        <f t="shared" si="2"/>
        <v>74</v>
      </c>
      <c r="F162" s="9"/>
      <c r="G162" s="9">
        <f>E162</f>
        <v>74</v>
      </c>
      <c r="H162" s="16"/>
      <c r="I162" s="10"/>
      <c r="J162" s="13"/>
      <c r="K162" s="10"/>
      <c r="L162" s="14"/>
      <c r="M162" s="10"/>
      <c r="N162" s="10"/>
      <c r="O162" s="10"/>
      <c r="P162" s="10"/>
      <c r="Q162" s="10"/>
    </row>
    <row r="163" spans="4:17">
      <c r="E163" s="10">
        <f t="shared" si="2"/>
        <v>0</v>
      </c>
      <c r="F163" s="10"/>
      <c r="G163" s="10"/>
      <c r="H163" s="10"/>
      <c r="I163" s="10"/>
      <c r="J163" s="14"/>
      <c r="K163" s="10"/>
      <c r="L163" s="14"/>
      <c r="M163" s="10"/>
      <c r="N163" s="10"/>
      <c r="O163" s="10"/>
      <c r="P163" s="10"/>
      <c r="Q163" s="10"/>
    </row>
    <row r="164" spans="4:17" ht="13" thickBot="1">
      <c r="D164">
        <v>75</v>
      </c>
      <c r="E164" s="10">
        <f t="shared" si="2"/>
        <v>75</v>
      </c>
      <c r="F164" s="11"/>
      <c r="G164" s="10"/>
      <c r="H164" s="10"/>
      <c r="I164" s="10"/>
      <c r="J164" s="14" t="s">
        <v>61</v>
      </c>
      <c r="K164" s="18" t="str">
        <f>IF(OR(I161="",I166=""),"",+IF(J161&gt;J166,I161,I166))</f>
        <v/>
      </c>
      <c r="L164" s="16"/>
      <c r="M164" s="10"/>
      <c r="N164" s="10"/>
      <c r="O164" s="10"/>
      <c r="P164" s="10"/>
      <c r="Q164" s="10"/>
    </row>
    <row r="165" spans="4:17" ht="13" thickBot="1">
      <c r="E165" s="12">
        <f t="shared" si="2"/>
        <v>0</v>
      </c>
      <c r="F165" s="13" t="s">
        <v>13</v>
      </c>
      <c r="G165" s="9" t="str">
        <f>IF(OR(F164="",F166=""),"",+IF(F164&gt;F166,E164,E166))</f>
        <v/>
      </c>
      <c r="H165" s="17"/>
      <c r="I165" s="10"/>
      <c r="J165" s="14"/>
      <c r="K165" s="10"/>
      <c r="L165" s="10"/>
      <c r="M165" s="10"/>
      <c r="N165" s="10"/>
      <c r="O165" s="10"/>
      <c r="P165" s="10"/>
      <c r="Q165" s="10"/>
    </row>
    <row r="166" spans="4:17" ht="13" thickBot="1">
      <c r="D166">
        <v>76</v>
      </c>
      <c r="E166" s="9">
        <f t="shared" si="2"/>
        <v>76</v>
      </c>
      <c r="F166" s="16"/>
      <c r="G166" s="10"/>
      <c r="H166" s="13"/>
      <c r="I166" s="9" t="str">
        <f>IF(OR(H165="",H168=""),"",+IF(H165&gt;H168,G165,G168))</f>
        <v/>
      </c>
      <c r="J166" s="16"/>
      <c r="K166" s="10"/>
      <c r="L166" s="10"/>
      <c r="M166" s="10"/>
      <c r="N166" s="10"/>
      <c r="O166" s="10"/>
      <c r="P166" s="10"/>
      <c r="Q166" s="10"/>
    </row>
    <row r="167" spans="4:17">
      <c r="E167" s="10">
        <f t="shared" si="2"/>
        <v>0</v>
      </c>
      <c r="F167" s="10"/>
      <c r="G167" s="10"/>
      <c r="H167" s="14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</row>
    <row r="168" spans="4:17" ht="13" thickBot="1">
      <c r="D168">
        <v>77</v>
      </c>
      <c r="E168" s="9">
        <f t="shared" si="2"/>
        <v>77</v>
      </c>
      <c r="F168" s="9"/>
      <c r="G168" s="9">
        <f>E168</f>
        <v>77</v>
      </c>
      <c r="H168" s="16"/>
      <c r="I168" s="10"/>
      <c r="J168" s="10"/>
      <c r="K168" s="10"/>
      <c r="L168" s="10"/>
      <c r="M168" s="10"/>
      <c r="N168" s="10"/>
      <c r="O168" s="10"/>
      <c r="P168" s="10"/>
      <c r="Q168" s="10"/>
    </row>
  </sheetData>
  <mergeCells count="9">
    <mergeCell ref="AC42:AD42"/>
    <mergeCell ref="AC25:AD25"/>
    <mergeCell ref="AB6:AG6"/>
    <mergeCell ref="AA7:AG7"/>
    <mergeCell ref="AB23:AG23"/>
    <mergeCell ref="AA24:AG24"/>
    <mergeCell ref="AB40:AG40"/>
    <mergeCell ref="AA41:AG41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scale="31" orientation="portrait" horizontalDpi="150" verticalDpi="15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48"/>
  <dimension ref="D4:AH166"/>
  <sheetViews>
    <sheetView showGridLines="0" topLeftCell="I1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5" max="15" width="12.87890625" customWidth="1"/>
    <col min="16" max="16" width="3.64453125" customWidth="1"/>
    <col min="21" max="21" width="8.64453125" style="28" bestFit="1" customWidth="1"/>
    <col min="22" max="22" width="2.41015625" customWidth="1"/>
    <col min="23" max="23" width="8.64453125" style="29" bestFit="1" customWidth="1"/>
    <col min="27" max="27" width="7.52734375" bestFit="1" customWidth="1"/>
    <col min="28" max="28" width="6.52734375" bestFit="1" customWidth="1"/>
    <col min="29" max="29" width="2.3515625" bestFit="1" customWidth="1"/>
    <col min="30" max="30" width="3.11718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D5" t="s">
        <v>0</v>
      </c>
      <c r="T5">
        <v>1</v>
      </c>
      <c r="U5" s="28">
        <f>E10</f>
        <v>2</v>
      </c>
      <c r="V5" t="s">
        <v>77</v>
      </c>
      <c r="W5" s="29">
        <f>E12</f>
        <v>3</v>
      </c>
      <c r="Z5" s="30"/>
      <c r="AA5" s="31"/>
      <c r="AB5" s="31"/>
      <c r="AC5" s="31"/>
      <c r="AD5" s="49"/>
      <c r="AE5" s="51"/>
      <c r="AF5" s="31"/>
      <c r="AG5" s="56"/>
      <c r="AH5" s="32"/>
    </row>
    <row r="6" spans="4:34">
      <c r="T6">
        <v>2</v>
      </c>
      <c r="U6" s="28">
        <f>E29</f>
        <v>11</v>
      </c>
      <c r="V6" t="s">
        <v>77</v>
      </c>
      <c r="W6" s="29">
        <f>E31</f>
        <v>12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36"/>
    </row>
    <row r="7" spans="4:34" ht="13" thickBot="1">
      <c r="D7">
        <v>1</v>
      </c>
      <c r="E7" s="9">
        <f>D7</f>
        <v>1</v>
      </c>
      <c r="F7" s="9"/>
      <c r="G7" s="9">
        <f>E7</f>
        <v>1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E41</f>
        <v>17</v>
      </c>
      <c r="V7" t="s">
        <v>77</v>
      </c>
      <c r="W7" s="29">
        <f>E43</f>
        <v>18</v>
      </c>
      <c r="Z7" s="34"/>
      <c r="AA7" s="102"/>
      <c r="AB7" s="103"/>
      <c r="AC7" s="103"/>
      <c r="AD7" s="103"/>
      <c r="AE7" s="103"/>
      <c r="AF7" s="103"/>
      <c r="AG7" s="104"/>
      <c r="AH7" s="36"/>
    </row>
    <row r="8" spans="4:34">
      <c r="E8" s="12">
        <f t="shared" ref="E8:E71" si="0">D8</f>
        <v>0</v>
      </c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E50</f>
        <v>21</v>
      </c>
      <c r="V8" t="s">
        <v>77</v>
      </c>
      <c r="W8" s="29">
        <f>E52</f>
        <v>22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36"/>
    </row>
    <row r="9" spans="4:34" ht="13" thickBot="1">
      <c r="E9" s="10">
        <f t="shared" si="0"/>
        <v>0</v>
      </c>
      <c r="F9" s="10"/>
      <c r="G9" s="10"/>
      <c r="H9" s="14" t="s">
        <v>13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E69</f>
        <v>30</v>
      </c>
      <c r="V9" t="s">
        <v>77</v>
      </c>
      <c r="W9" s="29">
        <f>E71</f>
        <v>31</v>
      </c>
      <c r="Z9" s="34"/>
      <c r="AA9" s="40"/>
      <c r="AB9" s="40"/>
      <c r="AC9" s="38" t="s">
        <v>159</v>
      </c>
      <c r="AD9" s="48"/>
      <c r="AE9" s="53" t="e">
        <f>LOOKUP(AD9,T$5:T$80,U$5:U$80)</f>
        <v>#N/A</v>
      </c>
      <c r="AF9" s="37" t="s">
        <v>157</v>
      </c>
      <c r="AG9" s="53" t="e">
        <f>LOOKUP(AD9,T$5:T$80,W$5:W$80)</f>
        <v>#N/A</v>
      </c>
      <c r="AH9" s="36"/>
    </row>
    <row r="10" spans="4:34" ht="13" thickBot="1">
      <c r="D10">
        <v>2</v>
      </c>
      <c r="E10" s="10">
        <f t="shared" si="0"/>
        <v>2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E81</f>
        <v>36</v>
      </c>
      <c r="V10" t="s">
        <v>77</v>
      </c>
      <c r="W10" s="29">
        <f>E83</f>
        <v>37</v>
      </c>
      <c r="Z10" s="34"/>
      <c r="AA10" s="40"/>
      <c r="AB10" s="40"/>
      <c r="AC10" s="38" t="s">
        <v>159</v>
      </c>
      <c r="AD10" s="48"/>
      <c r="AE10" s="53" t="e">
        <f>LOOKUP(AD10,T$5:T$80,U$5:U$80)</f>
        <v>#N/A</v>
      </c>
      <c r="AF10" s="37" t="s">
        <v>157</v>
      </c>
      <c r="AG10" s="53" t="e">
        <f>LOOKUP(AD10,T$5:T$80,W$5:W$80)</f>
        <v>#N/A</v>
      </c>
      <c r="AH10" s="36"/>
    </row>
    <row r="11" spans="4:34" ht="13" thickBot="1">
      <c r="E11" s="12">
        <f t="shared" si="0"/>
        <v>0</v>
      </c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E91</f>
        <v>40</v>
      </c>
      <c r="V11" t="s">
        <v>77</v>
      </c>
      <c r="W11" s="29">
        <f>E93</f>
        <v>41</v>
      </c>
      <c r="Z11" s="34"/>
      <c r="AA11" s="40"/>
      <c r="AB11" s="40"/>
      <c r="AC11" s="38" t="s">
        <v>159</v>
      </c>
      <c r="AD11" s="48"/>
      <c r="AE11" s="53" t="e">
        <f>LOOKUP(AD11,T$5:T$80,U$5:U$80)</f>
        <v>#N/A</v>
      </c>
      <c r="AF11" s="37" t="s">
        <v>157</v>
      </c>
      <c r="AG11" s="53" t="e">
        <f>LOOKUP(AD11,T$5:T$80,W$5:W$80)</f>
        <v>#N/A</v>
      </c>
      <c r="AH11" s="36"/>
    </row>
    <row r="12" spans="4:34" ht="13" thickBot="1">
      <c r="D12">
        <v>3</v>
      </c>
      <c r="E12" s="10">
        <f t="shared" si="0"/>
        <v>3</v>
      </c>
      <c r="F12" s="16"/>
      <c r="G12" s="10"/>
      <c r="H12" s="10"/>
      <c r="I12" s="10"/>
      <c r="J12" s="14" t="s">
        <v>45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E110</f>
        <v>49</v>
      </c>
      <c r="V12" t="s">
        <v>77</v>
      </c>
      <c r="W12" s="29">
        <f>E112</f>
        <v>50</v>
      </c>
      <c r="Z12" s="34"/>
      <c r="AA12" s="40"/>
      <c r="AB12" s="40"/>
      <c r="AC12" s="38" t="s">
        <v>159</v>
      </c>
      <c r="AD12" s="48"/>
      <c r="AE12" s="53" t="e">
        <f>LOOKUP(AD12,T$5:T$80,U$5:U$80)</f>
        <v>#N/A</v>
      </c>
      <c r="AF12" s="37" t="s">
        <v>157</v>
      </c>
      <c r="AG12" s="53" t="e">
        <f>LOOKUP(AD12,T$5:T$80,W$5:W$80)</f>
        <v>#N/A</v>
      </c>
      <c r="AH12" s="36"/>
    </row>
    <row r="13" spans="4:34">
      <c r="E13" s="12">
        <f t="shared" si="0"/>
        <v>0</v>
      </c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E122</f>
        <v>55</v>
      </c>
      <c r="V13" t="s">
        <v>77</v>
      </c>
      <c r="W13" s="29">
        <f>E124</f>
        <v>56</v>
      </c>
      <c r="Z13" s="34"/>
      <c r="AA13" s="41"/>
      <c r="AB13" s="33"/>
      <c r="AC13" s="33"/>
      <c r="AD13" s="50"/>
      <c r="AE13" s="54"/>
      <c r="AF13" s="33"/>
      <c r="AG13" s="58"/>
      <c r="AH13" s="36"/>
    </row>
    <row r="14" spans="4:34" ht="13" thickBot="1">
      <c r="D14">
        <v>4</v>
      </c>
      <c r="E14" s="9">
        <f t="shared" si="0"/>
        <v>4</v>
      </c>
      <c r="F14" s="9"/>
      <c r="G14" s="9">
        <f>E14</f>
        <v>4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E131</f>
        <v>59</v>
      </c>
      <c r="V14" t="s">
        <v>77</v>
      </c>
      <c r="W14" s="29">
        <f>E133</f>
        <v>60</v>
      </c>
      <c r="Z14" s="34"/>
      <c r="AA14" s="40"/>
      <c r="AB14" s="40"/>
      <c r="AC14" s="38" t="s">
        <v>159</v>
      </c>
      <c r="AD14" s="48"/>
      <c r="AE14" s="53" t="e">
        <f>LOOKUP(AD14,T$5:T$80,U$5:U$80)</f>
        <v>#N/A</v>
      </c>
      <c r="AF14" s="37" t="s">
        <v>157</v>
      </c>
      <c r="AG14" s="53" t="e">
        <f>LOOKUP(AD14,T$5:T$80,W$5:W$80)</f>
        <v>#N/A</v>
      </c>
      <c r="AH14" s="36"/>
    </row>
    <row r="15" spans="4:34" ht="13" thickBot="1">
      <c r="E15" s="10">
        <f t="shared" si="0"/>
        <v>0</v>
      </c>
      <c r="F15" s="10"/>
      <c r="G15" s="10"/>
      <c r="H15" s="13" t="s">
        <v>14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E150</f>
        <v>68</v>
      </c>
      <c r="V15" t="s">
        <v>77</v>
      </c>
      <c r="W15" s="29">
        <f>E152</f>
        <v>69</v>
      </c>
      <c r="Z15" s="34"/>
      <c r="AA15" s="40"/>
      <c r="AB15" s="40"/>
      <c r="AC15" s="38" t="s">
        <v>159</v>
      </c>
      <c r="AD15" s="48"/>
      <c r="AE15" s="53" t="e">
        <f>LOOKUP(AD15,T$5:T$80,U$5:U$80)</f>
        <v>#N/A</v>
      </c>
      <c r="AF15" s="37" t="s">
        <v>157</v>
      </c>
      <c r="AG15" s="53" t="e">
        <f>LOOKUP(AD15,T$5:T$80,W$5:W$80)</f>
        <v>#N/A</v>
      </c>
      <c r="AH15" s="36"/>
    </row>
    <row r="16" spans="4:34" ht="13" thickBot="1">
      <c r="D16">
        <v>5</v>
      </c>
      <c r="E16" s="9">
        <f t="shared" si="0"/>
        <v>5</v>
      </c>
      <c r="F16" s="9"/>
      <c r="G16" s="9">
        <f>E16</f>
        <v>5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E162</f>
        <v>74</v>
      </c>
      <c r="V16" t="s">
        <v>77</v>
      </c>
      <c r="W16" s="29">
        <f>E164</f>
        <v>75</v>
      </c>
      <c r="Z16" s="34"/>
      <c r="AA16" s="40"/>
      <c r="AB16" s="40"/>
      <c r="AC16" s="38" t="s">
        <v>159</v>
      </c>
      <c r="AD16" s="48"/>
      <c r="AE16" s="53" t="e">
        <f>LOOKUP(AD16,T$5:T$80,U$5:U$80)</f>
        <v>#N/A</v>
      </c>
      <c r="AF16" s="37" t="s">
        <v>157</v>
      </c>
      <c r="AG16" s="53" t="e">
        <f>LOOKUP(AD16,T$5:T$80,W$5:W$80)</f>
        <v>#N/A</v>
      </c>
      <c r="AH16" s="36"/>
    </row>
    <row r="17" spans="4:34" ht="13" thickBot="1">
      <c r="E17" s="10">
        <f t="shared" si="0"/>
        <v>0</v>
      </c>
      <c r="F17" s="10"/>
      <c r="G17" s="10"/>
      <c r="H17" s="10"/>
      <c r="I17" s="10"/>
      <c r="J17" s="10"/>
      <c r="K17" s="10"/>
      <c r="L17" s="14" t="s">
        <v>61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E7</f>
        <v>1</v>
      </c>
      <c r="V17" t="s">
        <v>77</v>
      </c>
      <c r="W17" s="29" t="s">
        <v>78</v>
      </c>
      <c r="Z17" s="34"/>
      <c r="AA17" s="40"/>
      <c r="AB17" s="40"/>
      <c r="AC17" s="38" t="s">
        <v>159</v>
      </c>
      <c r="AD17" s="48"/>
      <c r="AE17" s="53" t="e">
        <f>LOOKUP(AD17,T$5:T$80,U$5:U$80)</f>
        <v>#N/A</v>
      </c>
      <c r="AF17" s="37" t="s">
        <v>157</v>
      </c>
      <c r="AG17" s="53" t="e">
        <f>LOOKUP(AD17,T$5:T$80,W$5:W$80)</f>
        <v>#N/A</v>
      </c>
      <c r="AH17" s="36"/>
    </row>
    <row r="18" spans="4:34" ht="13" thickBot="1">
      <c r="D18">
        <v>6</v>
      </c>
      <c r="E18" s="9">
        <f t="shared" si="0"/>
        <v>6</v>
      </c>
      <c r="F18" s="9"/>
      <c r="G18" s="9">
        <f>E18</f>
        <v>6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E14</f>
        <v>4</v>
      </c>
      <c r="V18" t="s">
        <v>77</v>
      </c>
      <c r="W18" s="29">
        <f>E16</f>
        <v>5</v>
      </c>
      <c r="Z18" s="34"/>
      <c r="AA18" s="41"/>
      <c r="AB18" s="33"/>
      <c r="AC18" s="33"/>
      <c r="AD18" s="50"/>
      <c r="AE18" s="54"/>
      <c r="AF18" s="33"/>
      <c r="AG18" s="58"/>
      <c r="AH18" s="36"/>
    </row>
    <row r="19" spans="4:34" ht="13" thickBot="1">
      <c r="E19" s="10">
        <f t="shared" si="0"/>
        <v>0</v>
      </c>
      <c r="F19" s="10"/>
      <c r="G19" s="12"/>
      <c r="H19" s="13" t="s">
        <v>15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E18</f>
        <v>6</v>
      </c>
      <c r="V19" t="s">
        <v>77</v>
      </c>
      <c r="W19" s="29">
        <f>E20</f>
        <v>7</v>
      </c>
      <c r="Z19" s="34"/>
      <c r="AA19" s="40"/>
      <c r="AB19" s="40"/>
      <c r="AC19" s="38" t="s">
        <v>159</v>
      </c>
      <c r="AD19" s="48"/>
      <c r="AE19" s="53" t="e">
        <f>LOOKUP(AD19,T$5:T$80,U$5:U$80)</f>
        <v>#N/A</v>
      </c>
      <c r="AF19" s="37" t="s">
        <v>157</v>
      </c>
      <c r="AG19" s="53" t="e">
        <f>LOOKUP(AD19,T$5:T$80,W$5:W$80)</f>
        <v>#N/A</v>
      </c>
      <c r="AH19" s="36"/>
    </row>
    <row r="20" spans="4:34" ht="13" thickBot="1">
      <c r="D20">
        <v>7</v>
      </c>
      <c r="E20" s="9">
        <f t="shared" si="0"/>
        <v>7</v>
      </c>
      <c r="F20" s="9"/>
      <c r="G20" s="9">
        <f>E20</f>
        <v>7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E22</f>
        <v>8</v>
      </c>
      <c r="V20" t="s">
        <v>77</v>
      </c>
      <c r="W20" s="29">
        <f>E24</f>
        <v>9</v>
      </c>
      <c r="Z20" s="34"/>
      <c r="AA20" s="40"/>
      <c r="AB20" s="40"/>
      <c r="AC20" s="38" t="s">
        <v>159</v>
      </c>
      <c r="AD20" s="48"/>
      <c r="AE20" s="53" t="e">
        <f>LOOKUP(AD20,T$5:T$80,U$5:U$80)</f>
        <v>#N/A</v>
      </c>
      <c r="AF20" s="37" t="s">
        <v>157</v>
      </c>
      <c r="AG20" s="53" t="e">
        <f>LOOKUP(AD20,T$5:T$80,W$5:W$80)</f>
        <v>#N/A</v>
      </c>
      <c r="AH20" s="36"/>
    </row>
    <row r="21" spans="4:34" ht="13" thickBot="1">
      <c r="E21" s="10">
        <f t="shared" si="0"/>
        <v>0</v>
      </c>
      <c r="F21" s="10"/>
      <c r="G21" s="12"/>
      <c r="H21" s="10"/>
      <c r="I21" s="10"/>
      <c r="J21" s="14" t="s">
        <v>46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E26</f>
        <v>10</v>
      </c>
      <c r="V21" t="s">
        <v>77</v>
      </c>
      <c r="W21" s="29" t="s">
        <v>160</v>
      </c>
      <c r="Z21" s="34"/>
      <c r="AA21" s="40"/>
      <c r="AB21" s="40"/>
      <c r="AC21" s="38" t="s">
        <v>159</v>
      </c>
      <c r="AD21" s="48"/>
      <c r="AE21" s="53" t="e">
        <f>LOOKUP(AD21,T$5:T$80,U$5:U$80)</f>
        <v>#N/A</v>
      </c>
      <c r="AF21" s="37" t="s">
        <v>157</v>
      </c>
      <c r="AG21" s="53" t="e">
        <f>LOOKUP(AD21,T$5:T$80,W$5:W$80)</f>
        <v>#N/A</v>
      </c>
      <c r="AH21" s="36"/>
    </row>
    <row r="22" spans="4:34" ht="13" thickBot="1">
      <c r="D22">
        <v>8</v>
      </c>
      <c r="E22" s="9">
        <f t="shared" si="0"/>
        <v>8</v>
      </c>
      <c r="F22" s="9"/>
      <c r="G22" s="9">
        <f>E22</f>
        <v>8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E33</f>
        <v>13</v>
      </c>
      <c r="V22" t="s">
        <v>77</v>
      </c>
      <c r="W22" s="29">
        <f>E35</f>
        <v>14</v>
      </c>
      <c r="Z22" s="34"/>
      <c r="AA22" s="33"/>
      <c r="AB22" s="33"/>
      <c r="AC22" s="33"/>
      <c r="AD22" s="50"/>
      <c r="AE22" s="64"/>
      <c r="AF22" s="33"/>
      <c r="AG22" s="59"/>
      <c r="AH22" s="36"/>
    </row>
    <row r="23" spans="4:34" ht="13" thickBot="1">
      <c r="E23" s="10">
        <f t="shared" si="0"/>
        <v>0</v>
      </c>
      <c r="F23" s="10"/>
      <c r="G23" s="12"/>
      <c r="H23" s="13" t="s">
        <v>16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E37</f>
        <v>15</v>
      </c>
      <c r="V23" t="s">
        <v>77</v>
      </c>
      <c r="W23" s="29">
        <f>E39</f>
        <v>16</v>
      </c>
      <c r="Z23" s="34"/>
      <c r="AA23" s="35" t="s">
        <v>153</v>
      </c>
      <c r="AB23" s="100"/>
      <c r="AC23" s="100"/>
      <c r="AD23" s="100"/>
      <c r="AE23" s="100"/>
      <c r="AF23" s="100"/>
      <c r="AG23" s="101"/>
      <c r="AH23" s="36"/>
    </row>
    <row r="24" spans="4:34" ht="13" thickBot="1">
      <c r="D24">
        <v>9</v>
      </c>
      <c r="E24" s="9">
        <f t="shared" si="0"/>
        <v>9</v>
      </c>
      <c r="F24" s="9"/>
      <c r="G24" s="9">
        <f>E24</f>
        <v>9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 t="s">
        <v>161</v>
      </c>
      <c r="V24" t="s">
        <v>77</v>
      </c>
      <c r="W24" s="29">
        <f>E45</f>
        <v>19</v>
      </c>
      <c r="Z24" s="34"/>
      <c r="AA24" s="102"/>
      <c r="AB24" s="103"/>
      <c r="AC24" s="103"/>
      <c r="AD24" s="103"/>
      <c r="AE24" s="103"/>
      <c r="AF24" s="103"/>
      <c r="AG24" s="104"/>
      <c r="AH24" s="36"/>
    </row>
    <row r="25" spans="4:34">
      <c r="E25" s="10">
        <f t="shared" si="0"/>
        <v>0</v>
      </c>
      <c r="F25" s="10"/>
      <c r="G25" s="10"/>
      <c r="H25" s="10"/>
      <c r="I25" s="10"/>
      <c r="J25" s="10"/>
      <c r="K25" s="10"/>
      <c r="L25" s="10"/>
      <c r="M25" s="10"/>
      <c r="N25" s="14"/>
      <c r="O25" s="10"/>
      <c r="P25" s="10"/>
      <c r="Q25" s="10"/>
      <c r="T25">
        <v>21</v>
      </c>
      <c r="U25" s="28">
        <f>E47</f>
        <v>20</v>
      </c>
      <c r="V25" t="s">
        <v>77</v>
      </c>
      <c r="W25" s="29" t="s">
        <v>81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  <c r="AH25" s="36"/>
    </row>
    <row r="26" spans="4:34" ht="13" thickBot="1">
      <c r="D26">
        <v>10</v>
      </c>
      <c r="E26" s="10">
        <f t="shared" si="0"/>
        <v>10</v>
      </c>
      <c r="F26" s="9"/>
      <c r="G26" s="9">
        <f>E26</f>
        <v>10</v>
      </c>
      <c r="H26" s="11"/>
      <c r="I26" s="10"/>
      <c r="J26" s="10"/>
      <c r="K26" s="10"/>
      <c r="L26" s="10"/>
      <c r="M26" s="10"/>
      <c r="N26" s="14" t="s">
        <v>69</v>
      </c>
      <c r="O26" s="9" t="str">
        <f>IF(OR(N17="",N36=""),"",+IF(N17&gt;N36,M17,M36))</f>
        <v/>
      </c>
      <c r="P26" s="17"/>
      <c r="Q26" s="10"/>
      <c r="T26">
        <v>22</v>
      </c>
      <c r="U26" s="28">
        <f>E54</f>
        <v>23</v>
      </c>
      <c r="V26" t="s">
        <v>77</v>
      </c>
      <c r="W26" s="29">
        <f>E56</f>
        <v>24</v>
      </c>
      <c r="Z26" s="34"/>
      <c r="AA26" s="40"/>
      <c r="AB26" s="40"/>
      <c r="AC26" s="38" t="s">
        <v>159</v>
      </c>
      <c r="AD26" s="48"/>
      <c r="AE26" s="53" t="e">
        <f>LOOKUP(AD26,T$5:T$80,U$5:U$80)</f>
        <v>#N/A</v>
      </c>
      <c r="AF26" s="37" t="s">
        <v>157</v>
      </c>
      <c r="AG26" s="53" t="e">
        <f>LOOKUP(AD26,T$5:T$80,W$5:W$80)</f>
        <v>#N/A</v>
      </c>
      <c r="AH26" s="36"/>
    </row>
    <row r="27" spans="4:34">
      <c r="E27" s="12">
        <f t="shared" si="0"/>
        <v>0</v>
      </c>
      <c r="F27" s="10"/>
      <c r="G27" s="10"/>
      <c r="H27" s="13"/>
      <c r="I27" s="10"/>
      <c r="J27" s="10"/>
      <c r="K27" s="10"/>
      <c r="L27" s="10"/>
      <c r="M27" s="10"/>
      <c r="N27" s="14"/>
      <c r="O27" s="10"/>
      <c r="P27" s="14"/>
      <c r="Q27" s="10"/>
      <c r="T27">
        <v>23</v>
      </c>
      <c r="U27" s="28">
        <f>E58</f>
        <v>25</v>
      </c>
      <c r="V27" t="s">
        <v>77</v>
      </c>
      <c r="W27" s="29">
        <f>E60</f>
        <v>26</v>
      </c>
      <c r="Z27" s="34"/>
      <c r="AA27" s="40"/>
      <c r="AB27" s="40"/>
      <c r="AC27" s="38" t="s">
        <v>159</v>
      </c>
      <c r="AD27" s="48"/>
      <c r="AE27" s="53" t="e">
        <f>LOOKUP(AD27,T$5:T$80,U$5:U$80)</f>
        <v>#N/A</v>
      </c>
      <c r="AF27" s="37" t="s">
        <v>157</v>
      </c>
      <c r="AG27" s="53" t="e">
        <f>LOOKUP(AD27,T$5:T$80,W$5:W$80)</f>
        <v>#N/A</v>
      </c>
      <c r="AH27" s="36"/>
    </row>
    <row r="28" spans="4:34" ht="13" thickBot="1">
      <c r="E28" s="10">
        <f t="shared" si="0"/>
        <v>0</v>
      </c>
      <c r="F28" s="10"/>
      <c r="G28" s="10"/>
      <c r="H28" s="14" t="s">
        <v>17</v>
      </c>
      <c r="I28" s="9" t="str">
        <f>IF(OR(H26="",H30=""),"",+IF(H26&gt;H30,G26,G30))</f>
        <v/>
      </c>
      <c r="J28" s="11"/>
      <c r="K28" s="10"/>
      <c r="L28" s="10"/>
      <c r="M28" s="10"/>
      <c r="N28" s="14"/>
      <c r="O28" s="10"/>
      <c r="P28" s="14"/>
      <c r="Q28" s="10"/>
      <c r="T28">
        <v>24</v>
      </c>
      <c r="U28" s="28">
        <f>E62</f>
        <v>27</v>
      </c>
      <c r="V28" t="s">
        <v>77</v>
      </c>
      <c r="W28" s="29">
        <f>E64</f>
        <v>28</v>
      </c>
      <c r="Z28" s="34"/>
      <c r="AA28" s="40"/>
      <c r="AB28" s="40"/>
      <c r="AC28" s="38" t="s">
        <v>159</v>
      </c>
      <c r="AD28" s="48"/>
      <c r="AE28" s="53" t="e">
        <f>LOOKUP(AD28,T$5:T$80,U$5:U$80)</f>
        <v>#N/A</v>
      </c>
      <c r="AF28" s="37" t="s">
        <v>157</v>
      </c>
      <c r="AG28" s="53" t="e">
        <f>LOOKUP(AD28,T$5:T$80,W$5:W$80)</f>
        <v>#N/A</v>
      </c>
      <c r="AH28" s="36"/>
    </row>
    <row r="29" spans="4:34" ht="13" thickBot="1">
      <c r="D29">
        <v>11</v>
      </c>
      <c r="E29" s="10">
        <f t="shared" si="0"/>
        <v>11</v>
      </c>
      <c r="F29" s="11"/>
      <c r="G29" s="10"/>
      <c r="H29" s="14"/>
      <c r="I29" s="10"/>
      <c r="J29" s="13"/>
      <c r="K29" s="10"/>
      <c r="L29" s="10"/>
      <c r="M29" s="10"/>
      <c r="N29" s="14"/>
      <c r="O29" s="10"/>
      <c r="P29" s="14"/>
      <c r="Q29" s="10"/>
      <c r="T29">
        <v>25</v>
      </c>
      <c r="U29" s="28">
        <f>E66</f>
        <v>29</v>
      </c>
      <c r="V29" t="s">
        <v>77</v>
      </c>
      <c r="W29" s="29" t="s">
        <v>162</v>
      </c>
      <c r="Z29" s="34"/>
      <c r="AA29" s="40"/>
      <c r="AB29" s="40"/>
      <c r="AC29" s="38" t="s">
        <v>159</v>
      </c>
      <c r="AD29" s="48"/>
      <c r="AE29" s="53" t="e">
        <f>LOOKUP(AD29,T$5:T$80,U$5:U$80)</f>
        <v>#N/A</v>
      </c>
      <c r="AF29" s="37" t="s">
        <v>157</v>
      </c>
      <c r="AG29" s="53" t="e">
        <f>LOOKUP(AD29,T$5:T$80,W$5:W$80)</f>
        <v>#N/A</v>
      </c>
      <c r="AH29" s="36"/>
    </row>
    <row r="30" spans="4:34" ht="13" thickBot="1">
      <c r="E30" s="12">
        <f t="shared" si="0"/>
        <v>0</v>
      </c>
      <c r="F30" s="13" t="s">
        <v>2</v>
      </c>
      <c r="G30" s="9" t="str">
        <f>IF(OR(F29="",F31=""),"",+IF(F29&gt;F31,E29,E31))</f>
        <v/>
      </c>
      <c r="H30" s="16"/>
      <c r="I30" s="10"/>
      <c r="J30" s="14"/>
      <c r="K30" s="10"/>
      <c r="L30" s="10"/>
      <c r="M30" s="10"/>
      <c r="N30" s="14"/>
      <c r="O30" s="10"/>
      <c r="P30" s="14"/>
      <c r="Q30" s="10"/>
      <c r="T30">
        <v>26</v>
      </c>
      <c r="U30" s="28">
        <f>E73</f>
        <v>32</v>
      </c>
      <c r="V30" t="s">
        <v>77</v>
      </c>
      <c r="W30" s="29">
        <f>E75</f>
        <v>33</v>
      </c>
      <c r="Z30" s="34"/>
      <c r="AA30" s="41"/>
      <c r="AB30" s="33"/>
      <c r="AC30" s="33"/>
      <c r="AD30" s="50"/>
      <c r="AE30" s="54"/>
      <c r="AF30" s="33"/>
      <c r="AG30" s="58"/>
      <c r="AH30" s="36"/>
    </row>
    <row r="31" spans="4:34" ht="13" thickBot="1">
      <c r="D31">
        <v>12</v>
      </c>
      <c r="E31" s="10">
        <f t="shared" si="0"/>
        <v>12</v>
      </c>
      <c r="F31" s="16"/>
      <c r="G31" s="10"/>
      <c r="H31" s="10"/>
      <c r="I31" s="10"/>
      <c r="J31" s="14" t="s">
        <v>47</v>
      </c>
      <c r="K31" s="9" t="str">
        <f>IF(OR(J28="",J34=""),"",+IF(J28&gt;J34,I28,I34))</f>
        <v/>
      </c>
      <c r="L31" s="11"/>
      <c r="M31" s="10"/>
      <c r="N31" s="14"/>
      <c r="O31" s="10"/>
      <c r="P31" s="14"/>
      <c r="Q31" s="10"/>
      <c r="T31">
        <v>27</v>
      </c>
      <c r="U31" s="28">
        <f>E77</f>
        <v>34</v>
      </c>
      <c r="V31" t="s">
        <v>77</v>
      </c>
      <c r="W31" s="29">
        <f>E79</f>
        <v>35</v>
      </c>
      <c r="Z31" s="34"/>
      <c r="AA31" s="40"/>
      <c r="AB31" s="40"/>
      <c r="AC31" s="38" t="s">
        <v>159</v>
      </c>
      <c r="AD31" s="48"/>
      <c r="AE31" s="53" t="e">
        <f>LOOKUP(AD31,T$5:T$80,U$5:U$80)</f>
        <v>#N/A</v>
      </c>
      <c r="AF31" s="37" t="s">
        <v>157</v>
      </c>
      <c r="AG31" s="53" t="e">
        <f>LOOKUP(AD31,T$5:T$80,W$5:W$80)</f>
        <v>#N/A</v>
      </c>
      <c r="AH31" s="36"/>
    </row>
    <row r="32" spans="4:34">
      <c r="E32" s="12">
        <f t="shared" si="0"/>
        <v>0</v>
      </c>
      <c r="F32" s="10"/>
      <c r="G32" s="10"/>
      <c r="H32" s="10"/>
      <c r="I32" s="10"/>
      <c r="J32" s="14"/>
      <c r="K32" s="12"/>
      <c r="L32" s="13"/>
      <c r="M32" s="10"/>
      <c r="N32" s="14"/>
      <c r="O32" s="10"/>
      <c r="P32" s="14"/>
      <c r="Q32" s="10"/>
      <c r="T32">
        <v>28</v>
      </c>
      <c r="U32" s="28" t="s">
        <v>163</v>
      </c>
      <c r="V32" t="s">
        <v>77</v>
      </c>
      <c r="W32" s="29">
        <f>E85</f>
        <v>38</v>
      </c>
      <c r="Z32" s="34"/>
      <c r="AA32" s="40"/>
      <c r="AB32" s="40"/>
      <c r="AC32" s="38" t="s">
        <v>159</v>
      </c>
      <c r="AD32" s="48"/>
      <c r="AE32" s="53" t="e">
        <f>LOOKUP(AD32,T$5:T$80,U$5:U$80)</f>
        <v>#N/A</v>
      </c>
      <c r="AF32" s="37" t="s">
        <v>157</v>
      </c>
      <c r="AG32" s="53" t="e">
        <f>LOOKUP(AD32,T$5:T$80,W$5:W$80)</f>
        <v>#N/A</v>
      </c>
      <c r="AH32" s="36"/>
    </row>
    <row r="33" spans="4:34" ht="13" thickBot="1">
      <c r="D33">
        <v>13</v>
      </c>
      <c r="E33" s="9">
        <f t="shared" si="0"/>
        <v>13</v>
      </c>
      <c r="F33" s="9"/>
      <c r="G33" s="9">
        <f>E33</f>
        <v>13</v>
      </c>
      <c r="H33" s="11"/>
      <c r="I33" s="10"/>
      <c r="J33" s="14"/>
      <c r="K33" s="10"/>
      <c r="L33" s="14"/>
      <c r="M33" s="10"/>
      <c r="N33" s="14"/>
      <c r="O33" s="10"/>
      <c r="P33" s="14"/>
      <c r="Q33" s="10"/>
      <c r="T33">
        <v>29</v>
      </c>
      <c r="U33" s="28">
        <f xml:space="preserve"> E88</f>
        <v>39</v>
      </c>
      <c r="V33" t="s">
        <v>77</v>
      </c>
      <c r="W33" s="29" t="s">
        <v>84</v>
      </c>
      <c r="Z33" s="34"/>
      <c r="AA33" s="40"/>
      <c r="AB33" s="40"/>
      <c r="AC33" s="38" t="s">
        <v>159</v>
      </c>
      <c r="AD33" s="48"/>
      <c r="AE33" s="53" t="e">
        <f>LOOKUP(AD33,T$5:T$80,U$5:U$80)</f>
        <v>#N/A</v>
      </c>
      <c r="AF33" s="37" t="s">
        <v>157</v>
      </c>
      <c r="AG33" s="53" t="e">
        <f>LOOKUP(AD33,T$5:T$80,W$5:W$80)</f>
        <v>#N/A</v>
      </c>
      <c r="AH33" s="36"/>
    </row>
    <row r="34" spans="4:34" ht="13" thickBot="1">
      <c r="E34" s="10">
        <f t="shared" si="0"/>
        <v>0</v>
      </c>
      <c r="F34" s="10"/>
      <c r="G34" s="10"/>
      <c r="H34" s="13" t="s">
        <v>18</v>
      </c>
      <c r="I34" s="9" t="str">
        <f>IF(OR(H33="",H35=""),"",+IF(H33&gt;H35,E33,E35))</f>
        <v/>
      </c>
      <c r="J34" s="16"/>
      <c r="K34" s="10"/>
      <c r="L34" s="14"/>
      <c r="M34" s="10"/>
      <c r="N34" s="14"/>
      <c r="O34" s="10"/>
      <c r="P34" s="14"/>
      <c r="Q34" s="10"/>
      <c r="T34">
        <v>30</v>
      </c>
      <c r="U34" s="28">
        <f>E95</f>
        <v>42</v>
      </c>
      <c r="V34" t="s">
        <v>77</v>
      </c>
      <c r="W34" s="29">
        <f>E97</f>
        <v>43</v>
      </c>
      <c r="Z34" s="34"/>
      <c r="AA34" s="40"/>
      <c r="AB34" s="40"/>
      <c r="AC34" s="38" t="s">
        <v>159</v>
      </c>
      <c r="AD34" s="48"/>
      <c r="AE34" s="53" t="e">
        <f>LOOKUP(AD34,T$5:T$80,U$5:U$80)</f>
        <v>#N/A</v>
      </c>
      <c r="AF34" s="37" t="s">
        <v>157</v>
      </c>
      <c r="AG34" s="53" t="e">
        <f>LOOKUP(AD34,T$5:T$80,W$5:W$80)</f>
        <v>#N/A</v>
      </c>
      <c r="AH34" s="36"/>
    </row>
    <row r="35" spans="4:34" ht="13" thickBot="1">
      <c r="D35">
        <v>14</v>
      </c>
      <c r="E35" s="9">
        <f t="shared" si="0"/>
        <v>14</v>
      </c>
      <c r="F35" s="9"/>
      <c r="G35" s="9">
        <f>E35</f>
        <v>14</v>
      </c>
      <c r="H35" s="16"/>
      <c r="I35" s="10"/>
      <c r="J35" s="10"/>
      <c r="K35" s="10"/>
      <c r="L35" s="14"/>
      <c r="M35" s="10"/>
      <c r="N35" s="14"/>
      <c r="O35" s="10"/>
      <c r="P35" s="14"/>
      <c r="Q35" s="10"/>
      <c r="T35">
        <v>31</v>
      </c>
      <c r="U35" s="28">
        <f>E99</f>
        <v>44</v>
      </c>
      <c r="V35" t="s">
        <v>77</v>
      </c>
      <c r="W35" s="29">
        <f>E101</f>
        <v>45</v>
      </c>
      <c r="Z35" s="34"/>
      <c r="AA35" s="41"/>
      <c r="AB35" s="33"/>
      <c r="AC35" s="33"/>
      <c r="AD35" s="50"/>
      <c r="AE35" s="54"/>
      <c r="AF35" s="33"/>
      <c r="AG35" s="58"/>
      <c r="AH35" s="36"/>
    </row>
    <row r="36" spans="4:34" ht="13" thickBot="1">
      <c r="E36" s="10">
        <f t="shared" si="0"/>
        <v>0</v>
      </c>
      <c r="F36" s="10"/>
      <c r="G36" s="10"/>
      <c r="H36" s="10"/>
      <c r="I36" s="10"/>
      <c r="J36" s="10"/>
      <c r="K36" s="10"/>
      <c r="L36" s="14" t="s">
        <v>62</v>
      </c>
      <c r="M36" s="9" t="str">
        <f>IF(OR(L31="",L41=""),"",+IF(L31&gt;L41,K31,K41))</f>
        <v/>
      </c>
      <c r="N36" s="16"/>
      <c r="O36" s="10"/>
      <c r="P36" s="14"/>
      <c r="Q36" s="10"/>
      <c r="T36">
        <v>32</v>
      </c>
      <c r="U36" s="28">
        <f>E103</f>
        <v>46</v>
      </c>
      <c r="V36" t="s">
        <v>77</v>
      </c>
      <c r="W36" s="29">
        <f>E105</f>
        <v>47</v>
      </c>
      <c r="Z36" s="34"/>
      <c r="AA36" s="40"/>
      <c r="AB36" s="40"/>
      <c r="AC36" s="38" t="s">
        <v>159</v>
      </c>
      <c r="AD36" s="48"/>
      <c r="AE36" s="53" t="e">
        <f>LOOKUP(AD36,T$5:T$80,U$5:U$80)</f>
        <v>#N/A</v>
      </c>
      <c r="AF36" s="37" t="s">
        <v>157</v>
      </c>
      <c r="AG36" s="53" t="e">
        <f>LOOKUP(AD36,T$5:T$80,W$5:W$80)</f>
        <v>#N/A</v>
      </c>
      <c r="AH36" s="36"/>
    </row>
    <row r="37" spans="4:34" ht="13" thickBot="1">
      <c r="D37">
        <v>15</v>
      </c>
      <c r="E37" s="9">
        <f t="shared" si="0"/>
        <v>15</v>
      </c>
      <c r="F37" s="9"/>
      <c r="G37" s="9">
        <f>E37</f>
        <v>15</v>
      </c>
      <c r="H37" s="11"/>
      <c r="I37" s="10"/>
      <c r="J37" s="10"/>
      <c r="K37" s="10"/>
      <c r="L37" s="14"/>
      <c r="M37" s="10"/>
      <c r="N37" s="10"/>
      <c r="O37" s="10"/>
      <c r="P37" s="14"/>
      <c r="Q37" s="10"/>
      <c r="T37">
        <v>33</v>
      </c>
      <c r="U37" s="28">
        <f>E107</f>
        <v>48</v>
      </c>
      <c r="V37" t="s">
        <v>77</v>
      </c>
      <c r="W37" s="29" t="s">
        <v>164</v>
      </c>
      <c r="Z37" s="34"/>
      <c r="AA37" s="40"/>
      <c r="AB37" s="40"/>
      <c r="AC37" s="38" t="s">
        <v>159</v>
      </c>
      <c r="AD37" s="48"/>
      <c r="AE37" s="53" t="e">
        <f>LOOKUP(AD37,T$5:T$80,U$5:U$80)</f>
        <v>#N/A</v>
      </c>
      <c r="AF37" s="37" t="s">
        <v>157</v>
      </c>
      <c r="AG37" s="53" t="e">
        <f>LOOKUP(AD37,T$5:T$80,W$5:W$80)</f>
        <v>#N/A</v>
      </c>
      <c r="AH37" s="36"/>
    </row>
    <row r="38" spans="4:34" ht="13" thickBot="1">
      <c r="E38" s="10">
        <f t="shared" si="0"/>
        <v>0</v>
      </c>
      <c r="F38" s="10"/>
      <c r="G38" s="10"/>
      <c r="H38" s="13" t="s">
        <v>19</v>
      </c>
      <c r="I38" s="9" t="str">
        <f>IF(OR(H37="",H39=""),"",+IF(H37&gt;H39,E37,E39))</f>
        <v/>
      </c>
      <c r="J38" s="17"/>
      <c r="K38" s="10"/>
      <c r="L38" s="14"/>
      <c r="M38" s="10"/>
      <c r="N38" s="10"/>
      <c r="O38" s="10"/>
      <c r="P38" s="14"/>
      <c r="Q38" s="10"/>
      <c r="T38">
        <v>34</v>
      </c>
      <c r="U38" s="28">
        <f>E114</f>
        <v>51</v>
      </c>
      <c r="V38" t="s">
        <v>77</v>
      </c>
      <c r="W38" s="29">
        <f>E116</f>
        <v>52</v>
      </c>
      <c r="Z38" s="34"/>
      <c r="AA38" s="40"/>
      <c r="AB38" s="40"/>
      <c r="AC38" s="38" t="s">
        <v>159</v>
      </c>
      <c r="AD38" s="48"/>
      <c r="AE38" s="53" t="e">
        <f>LOOKUP(AD38,T$5:T$80,U$5:U$80)</f>
        <v>#N/A</v>
      </c>
      <c r="AF38" s="37" t="s">
        <v>157</v>
      </c>
      <c r="AG38" s="53" t="e">
        <f>LOOKUP(AD38,T$5:T$80,W$5:W$80)</f>
        <v>#N/A</v>
      </c>
      <c r="AH38" s="36"/>
    </row>
    <row r="39" spans="4:34" ht="13" thickBot="1">
      <c r="D39">
        <v>16</v>
      </c>
      <c r="E39" s="9">
        <f t="shared" si="0"/>
        <v>16</v>
      </c>
      <c r="F39" s="9"/>
      <c r="G39" s="9">
        <f>E39</f>
        <v>16</v>
      </c>
      <c r="H39" s="16"/>
      <c r="I39" s="10"/>
      <c r="J39" s="13"/>
      <c r="K39" s="10"/>
      <c r="L39" s="14"/>
      <c r="M39" s="10"/>
      <c r="N39" s="10"/>
      <c r="O39" s="10"/>
      <c r="P39" s="14"/>
      <c r="Q39" s="10"/>
      <c r="T39">
        <v>35</v>
      </c>
      <c r="U39" s="28">
        <f>E118</f>
        <v>53</v>
      </c>
      <c r="V39" t="s">
        <v>77</v>
      </c>
      <c r="W39" s="29">
        <f>E120</f>
        <v>54</v>
      </c>
      <c r="Z39" s="34"/>
      <c r="AA39" s="33"/>
      <c r="AB39" s="33"/>
      <c r="AC39" s="33"/>
      <c r="AD39" s="50"/>
      <c r="AE39" s="64"/>
      <c r="AF39" s="33"/>
      <c r="AG39" s="59"/>
      <c r="AH39" s="36"/>
    </row>
    <row r="40" spans="4:34">
      <c r="E40" s="10">
        <f t="shared" si="0"/>
        <v>0</v>
      </c>
      <c r="F40" s="10"/>
      <c r="G40" s="10"/>
      <c r="H40" s="10"/>
      <c r="I40" s="10"/>
      <c r="J40" s="14"/>
      <c r="K40" s="10"/>
      <c r="L40" s="14"/>
      <c r="M40" s="10"/>
      <c r="N40" s="10"/>
      <c r="O40" s="10"/>
      <c r="P40" s="14"/>
      <c r="Q40" s="10"/>
      <c r="T40">
        <v>36</v>
      </c>
      <c r="U40" s="28" t="s">
        <v>86</v>
      </c>
      <c r="V40" t="s">
        <v>77</v>
      </c>
      <c r="W40" s="29">
        <f>E126</f>
        <v>57</v>
      </c>
      <c r="Z40" s="34"/>
      <c r="AA40" s="35" t="s">
        <v>153</v>
      </c>
      <c r="AB40" s="100"/>
      <c r="AC40" s="100"/>
      <c r="AD40" s="100"/>
      <c r="AE40" s="100"/>
      <c r="AF40" s="100"/>
      <c r="AG40" s="101"/>
      <c r="AH40" s="36"/>
    </row>
    <row r="41" spans="4:34" ht="13" thickBot="1">
      <c r="D41">
        <v>17</v>
      </c>
      <c r="E41" s="10">
        <f t="shared" si="0"/>
        <v>17</v>
      </c>
      <c r="F41" s="11"/>
      <c r="G41" s="10"/>
      <c r="H41" s="10"/>
      <c r="I41" s="10"/>
      <c r="J41" s="14" t="s">
        <v>48</v>
      </c>
      <c r="K41" s="18" t="str">
        <f>IF(OR(I38="",I43=""),"",+IF(J38&gt;J43,I38,I43))</f>
        <v/>
      </c>
      <c r="L41" s="16"/>
      <c r="M41" s="10"/>
      <c r="N41" s="10"/>
      <c r="O41" s="10"/>
      <c r="P41" s="14"/>
      <c r="Q41" s="10"/>
      <c r="T41">
        <v>37</v>
      </c>
      <c r="U41" s="28">
        <f>E128</f>
        <v>58</v>
      </c>
      <c r="V41" t="s">
        <v>77</v>
      </c>
      <c r="W41" s="29" t="s">
        <v>87</v>
      </c>
      <c r="Z41" s="34"/>
      <c r="AA41" s="102"/>
      <c r="AB41" s="103"/>
      <c r="AC41" s="103"/>
      <c r="AD41" s="103"/>
      <c r="AE41" s="103"/>
      <c r="AF41" s="103"/>
      <c r="AG41" s="104"/>
      <c r="AH41" s="36"/>
    </row>
    <row r="42" spans="4:34" ht="13" thickBot="1">
      <c r="E42" s="12">
        <f t="shared" si="0"/>
        <v>0</v>
      </c>
      <c r="F42" s="13" t="s">
        <v>3</v>
      </c>
      <c r="G42" s="9" t="str">
        <f>IF(OR(F41="",F43=""),"",+IF(F41&gt;F43,E41,E43))</f>
        <v/>
      </c>
      <c r="H42" s="17"/>
      <c r="I42" s="10"/>
      <c r="J42" s="14"/>
      <c r="K42" s="10"/>
      <c r="L42" s="10"/>
      <c r="M42" s="10"/>
      <c r="N42" s="10"/>
      <c r="O42" s="10"/>
      <c r="P42" s="14"/>
      <c r="Q42" s="10"/>
      <c r="T42">
        <v>38</v>
      </c>
      <c r="U42" s="28">
        <f>E135</f>
        <v>61</v>
      </c>
      <c r="V42" t="s">
        <v>77</v>
      </c>
      <c r="W42" s="29">
        <f>E137</f>
        <v>62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  <c r="AH42" s="36"/>
    </row>
    <row r="43" spans="4:34" ht="13" thickBot="1">
      <c r="D43">
        <v>18</v>
      </c>
      <c r="E43" s="9">
        <f t="shared" si="0"/>
        <v>18</v>
      </c>
      <c r="F43" s="16"/>
      <c r="G43" s="10"/>
      <c r="H43" s="13"/>
      <c r="I43" s="9" t="str">
        <f>IF(OR(H42="",H45=""),"",+IF(H42&gt;H45,G42,G45))</f>
        <v/>
      </c>
      <c r="J43" s="16"/>
      <c r="K43" s="10"/>
      <c r="L43" s="10"/>
      <c r="M43" s="10"/>
      <c r="N43" s="10"/>
      <c r="O43" s="10"/>
      <c r="P43" s="14"/>
      <c r="Q43" s="10"/>
      <c r="T43">
        <v>39</v>
      </c>
      <c r="U43" s="28">
        <f>E139</f>
        <v>63</v>
      </c>
      <c r="V43" t="s">
        <v>77</v>
      </c>
      <c r="W43" s="29">
        <f>E141</f>
        <v>64</v>
      </c>
      <c r="Z43" s="34"/>
      <c r="AA43" s="40"/>
      <c r="AB43" s="40"/>
      <c r="AC43" s="38" t="s">
        <v>159</v>
      </c>
      <c r="AD43" s="48"/>
      <c r="AE43" s="53" t="e">
        <f>LOOKUP(AD43,T$5:T$80,U$5:U$80)</f>
        <v>#N/A</v>
      </c>
      <c r="AF43" s="37" t="s">
        <v>157</v>
      </c>
      <c r="AG43" s="53" t="e">
        <f>LOOKUP(AD43,T$5:T$80,W$5:W$80)</f>
        <v>#N/A</v>
      </c>
      <c r="AH43" s="36"/>
    </row>
    <row r="44" spans="4:34">
      <c r="E44" s="10">
        <f t="shared" si="0"/>
        <v>0</v>
      </c>
      <c r="F44" s="10"/>
      <c r="G44" s="10"/>
      <c r="H44" s="14" t="s">
        <v>20</v>
      </c>
      <c r="I44" s="10"/>
      <c r="J44" s="10"/>
      <c r="K44" s="10"/>
      <c r="L44" s="10"/>
      <c r="M44" s="10"/>
      <c r="N44" s="10"/>
      <c r="O44" s="10"/>
      <c r="P44" s="14"/>
      <c r="Q44" s="10"/>
      <c r="T44">
        <v>40</v>
      </c>
      <c r="U44" s="28">
        <f>E143</f>
        <v>65</v>
      </c>
      <c r="V44" t="s">
        <v>77</v>
      </c>
      <c r="W44" s="29">
        <f>E145</f>
        <v>66</v>
      </c>
      <c r="Z44" s="34"/>
      <c r="AA44" s="40"/>
      <c r="AB44" s="40"/>
      <c r="AC44" s="38" t="s">
        <v>159</v>
      </c>
      <c r="AD44" s="48"/>
      <c r="AE44" s="53" t="e">
        <f>LOOKUP(AD44,T$5:T$80,U$5:U$80)</f>
        <v>#N/A</v>
      </c>
      <c r="AF44" s="37" t="s">
        <v>157</v>
      </c>
      <c r="AG44" s="53" t="e">
        <f>LOOKUP(AD44,T$5:T$80,W$5:W$80)</f>
        <v>#N/A</v>
      </c>
      <c r="AH44" s="36"/>
    </row>
    <row r="45" spans="4:34" ht="13" thickBot="1">
      <c r="D45">
        <v>19</v>
      </c>
      <c r="E45" s="9">
        <f t="shared" si="0"/>
        <v>19</v>
      </c>
      <c r="F45" s="9"/>
      <c r="G45" s="9">
        <f>E45</f>
        <v>19</v>
      </c>
      <c r="H45" s="16"/>
      <c r="I45" s="10"/>
      <c r="J45" s="10"/>
      <c r="K45" s="10"/>
      <c r="L45" s="10"/>
      <c r="M45" s="10"/>
      <c r="N45" s="10"/>
      <c r="O45" s="10"/>
      <c r="P45" s="14"/>
      <c r="Q45" s="10"/>
      <c r="T45">
        <v>41</v>
      </c>
      <c r="U45" s="28">
        <f>E147</f>
        <v>67</v>
      </c>
      <c r="V45" t="s">
        <v>77</v>
      </c>
      <c r="W45" s="29" t="s">
        <v>88</v>
      </c>
      <c r="Z45" s="34"/>
      <c r="AA45" s="40"/>
      <c r="AB45" s="40"/>
      <c r="AC45" s="38" t="s">
        <v>159</v>
      </c>
      <c r="AD45" s="48"/>
      <c r="AE45" s="53" t="e">
        <f>LOOKUP(AD45,T$5:T$80,U$5:U$80)</f>
        <v>#N/A</v>
      </c>
      <c r="AF45" s="37" t="s">
        <v>157</v>
      </c>
      <c r="AG45" s="53" t="e">
        <f>LOOKUP(AD45,T$5:T$80,W$5:W$80)</f>
        <v>#N/A</v>
      </c>
      <c r="AH45" s="36"/>
    </row>
    <row r="46" spans="4:34" ht="13" thickBot="1">
      <c r="E46" s="10">
        <f t="shared" si="0"/>
        <v>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4" t="s">
        <v>73</v>
      </c>
      <c r="Q46" s="9" t="str">
        <f>IF(OR(P26="",P66=""),"",+IF(P26&gt;P66,O26,O66))</f>
        <v/>
      </c>
      <c r="T46">
        <v>42</v>
      </c>
      <c r="U46" s="28">
        <f>E154</f>
        <v>70</v>
      </c>
      <c r="V46" t="s">
        <v>77</v>
      </c>
      <c r="W46" s="29">
        <f>E156</f>
        <v>71</v>
      </c>
      <c r="Z46" s="34"/>
      <c r="AA46" s="40"/>
      <c r="AB46" s="40"/>
      <c r="AC46" s="38" t="s">
        <v>159</v>
      </c>
      <c r="AD46" s="48"/>
      <c r="AE46" s="53" t="e">
        <f>LOOKUP(AD46,T$5:T$80,U$5:U$80)</f>
        <v>#N/A</v>
      </c>
      <c r="AF46" s="37" t="s">
        <v>157</v>
      </c>
      <c r="AG46" s="53" t="e">
        <f>LOOKUP(AD46,T$5:T$80,W$5:W$80)</f>
        <v>#N/A</v>
      </c>
      <c r="AH46" s="36"/>
    </row>
    <row r="47" spans="4:34" ht="13" thickBot="1">
      <c r="D47">
        <v>20</v>
      </c>
      <c r="E47" s="9">
        <f t="shared" si="0"/>
        <v>20</v>
      </c>
      <c r="F47" s="9"/>
      <c r="G47" s="9">
        <f>E47</f>
        <v>20</v>
      </c>
      <c r="H47" s="11"/>
      <c r="I47" s="10"/>
      <c r="J47" s="10"/>
      <c r="K47" s="10"/>
      <c r="L47" s="10"/>
      <c r="M47" s="10"/>
      <c r="N47" s="10"/>
      <c r="O47" s="10"/>
      <c r="P47" s="14"/>
      <c r="Q47" s="10"/>
      <c r="R47" s="8"/>
      <c r="T47">
        <v>43</v>
      </c>
      <c r="U47" s="28">
        <f>E158</f>
        <v>72</v>
      </c>
      <c r="V47" t="s">
        <v>77</v>
      </c>
      <c r="W47" s="29">
        <f>E160</f>
        <v>73</v>
      </c>
      <c r="Z47" s="34"/>
      <c r="AA47" s="41"/>
      <c r="AB47" s="33"/>
      <c r="AC47" s="33"/>
      <c r="AD47" s="50"/>
      <c r="AE47" s="54"/>
      <c r="AF47" s="33"/>
      <c r="AG47" s="58"/>
      <c r="AH47" s="36"/>
    </row>
    <row r="48" spans="4:34">
      <c r="E48" s="12">
        <f t="shared" si="0"/>
        <v>0</v>
      </c>
      <c r="F48" s="10"/>
      <c r="G48" s="10"/>
      <c r="H48" s="13"/>
      <c r="I48" s="10"/>
      <c r="J48" s="10"/>
      <c r="K48" s="10"/>
      <c r="L48" s="10"/>
      <c r="M48" s="10"/>
      <c r="N48" s="10"/>
      <c r="O48" s="10"/>
      <c r="P48" s="14"/>
      <c r="Q48" s="10"/>
      <c r="R48" s="8"/>
      <c r="T48">
        <v>44</v>
      </c>
      <c r="U48" s="28" t="s">
        <v>89</v>
      </c>
      <c r="V48" t="s">
        <v>77</v>
      </c>
      <c r="W48" s="29">
        <f>E166</f>
        <v>76</v>
      </c>
      <c r="Z48" s="34"/>
      <c r="AA48" s="40"/>
      <c r="AB48" s="40"/>
      <c r="AC48" s="38" t="s">
        <v>159</v>
      </c>
      <c r="AD48" s="48"/>
      <c r="AE48" s="53" t="e">
        <f>LOOKUP(AD48,T$5:T$80,U$5:U$80)</f>
        <v>#N/A</v>
      </c>
      <c r="AF48" s="37" t="s">
        <v>157</v>
      </c>
      <c r="AG48" s="53" t="e">
        <f>LOOKUP(AD48,T$5:T$80,W$5:W$80)</f>
        <v>#N/A</v>
      </c>
      <c r="AH48" s="36"/>
    </row>
    <row r="49" spans="4:34" ht="13" thickBot="1">
      <c r="E49" s="10">
        <f t="shared" si="0"/>
        <v>0</v>
      </c>
      <c r="F49" s="10"/>
      <c r="G49" s="10"/>
      <c r="H49" s="14" t="s">
        <v>21</v>
      </c>
      <c r="I49" s="9" t="str">
        <f>IF(OR(H47="",H51=""),"",+IF(H47&gt;H51,E47,G51))</f>
        <v/>
      </c>
      <c r="J49" s="11"/>
      <c r="K49" s="10"/>
      <c r="L49" s="10"/>
      <c r="M49" s="10"/>
      <c r="N49" s="10"/>
      <c r="O49" s="10"/>
      <c r="P49" s="14"/>
      <c r="Q49" s="10"/>
      <c r="R49" s="8"/>
      <c r="T49">
        <v>45</v>
      </c>
      <c r="U49" s="28" t="s">
        <v>90</v>
      </c>
      <c r="V49" t="s">
        <v>77</v>
      </c>
      <c r="W49" s="28" t="s">
        <v>91</v>
      </c>
      <c r="Z49" s="34"/>
      <c r="AA49" s="40"/>
      <c r="AB49" s="40"/>
      <c r="AC49" s="38" t="s">
        <v>159</v>
      </c>
      <c r="AD49" s="48"/>
      <c r="AE49" s="53" t="e">
        <f>LOOKUP(AD49,T$5:T$80,U$5:U$80)</f>
        <v>#N/A</v>
      </c>
      <c r="AF49" s="37" t="s">
        <v>157</v>
      </c>
      <c r="AG49" s="53" t="e">
        <f>LOOKUP(AD49,T$5:T$80,W$5:W$80)</f>
        <v>#N/A</v>
      </c>
      <c r="AH49" s="36"/>
    </row>
    <row r="50" spans="4:34" ht="13" thickBot="1">
      <c r="D50">
        <v>21</v>
      </c>
      <c r="E50" s="10">
        <f t="shared" si="0"/>
        <v>21</v>
      </c>
      <c r="F50" s="11"/>
      <c r="G50" s="10"/>
      <c r="H50" s="14"/>
      <c r="I50" s="10"/>
      <c r="J50" s="13"/>
      <c r="K50" s="10"/>
      <c r="L50" s="10"/>
      <c r="M50" s="10"/>
      <c r="N50" s="10"/>
      <c r="O50" s="10"/>
      <c r="P50" s="14"/>
      <c r="Q50" s="10"/>
      <c r="R50" s="8"/>
      <c r="T50">
        <v>46</v>
      </c>
      <c r="U50" s="28" t="s">
        <v>92</v>
      </c>
      <c r="V50" t="s">
        <v>77</v>
      </c>
      <c r="W50" s="28" t="s">
        <v>165</v>
      </c>
      <c r="Z50" s="34"/>
      <c r="AA50" s="40"/>
      <c r="AB50" s="40"/>
      <c r="AC50" s="38" t="s">
        <v>159</v>
      </c>
      <c r="AD50" s="48"/>
      <c r="AE50" s="53" t="e">
        <f>LOOKUP(AD50,T$5:T$80,U$5:U$80)</f>
        <v>#N/A</v>
      </c>
      <c r="AF50" s="37" t="s">
        <v>157</v>
      </c>
      <c r="AG50" s="53" t="e">
        <f>LOOKUP(AD50,T$5:T$80,W$5:W$80)</f>
        <v>#N/A</v>
      </c>
      <c r="AH50" s="36"/>
    </row>
    <row r="51" spans="4:34" ht="13" thickBot="1">
      <c r="E51" s="12">
        <f t="shared" si="0"/>
        <v>0</v>
      </c>
      <c r="F51" s="13" t="s">
        <v>4</v>
      </c>
      <c r="G51" s="9" t="str">
        <f>IF(OR(F50="",F52=""),"",+IF(F50&gt;F52,E50,E52))</f>
        <v/>
      </c>
      <c r="H51" s="16"/>
      <c r="I51" s="10"/>
      <c r="J51" s="14"/>
      <c r="K51" s="10"/>
      <c r="L51" s="10"/>
      <c r="M51" s="10"/>
      <c r="N51" s="10"/>
      <c r="O51" s="10"/>
      <c r="P51" s="14"/>
      <c r="Q51" s="10"/>
      <c r="R51" s="8"/>
      <c r="T51">
        <v>47</v>
      </c>
      <c r="U51" s="28" t="s">
        <v>94</v>
      </c>
      <c r="V51" t="s">
        <v>77</v>
      </c>
      <c r="W51" s="28" t="s">
        <v>95</v>
      </c>
      <c r="Z51" s="34"/>
      <c r="AA51" s="40"/>
      <c r="AB51" s="40"/>
      <c r="AC51" s="38" t="s">
        <v>159</v>
      </c>
      <c r="AD51" s="48"/>
      <c r="AE51" s="53" t="e">
        <f>LOOKUP(AD51,T$5:T$80,U$5:U$80)</f>
        <v>#N/A</v>
      </c>
      <c r="AF51" s="37" t="s">
        <v>157</v>
      </c>
      <c r="AG51" s="53" t="e">
        <f>LOOKUP(AD51,T$5:T$80,W$5:W$80)</f>
        <v>#N/A</v>
      </c>
      <c r="AH51" s="36"/>
    </row>
    <row r="52" spans="4:34" ht="13" thickBot="1">
      <c r="D52">
        <v>22</v>
      </c>
      <c r="E52" s="10">
        <f t="shared" si="0"/>
        <v>22</v>
      </c>
      <c r="F52" s="16"/>
      <c r="G52" s="10"/>
      <c r="H52" s="10"/>
      <c r="I52" s="10"/>
      <c r="J52" s="14" t="s">
        <v>49</v>
      </c>
      <c r="K52" s="9" t="str">
        <f>IF(OR(J49="",J55=""),"",+IF(J49&gt;J55,I49,I55))</f>
        <v/>
      </c>
      <c r="L52" s="17"/>
      <c r="M52" s="10"/>
      <c r="N52" s="10"/>
      <c r="O52" s="10"/>
      <c r="P52" s="14"/>
      <c r="Q52" s="10"/>
      <c r="R52" s="8"/>
      <c r="T52">
        <v>48</v>
      </c>
      <c r="U52" s="28" t="s">
        <v>96</v>
      </c>
      <c r="V52" t="s">
        <v>77</v>
      </c>
      <c r="W52" s="28" t="s">
        <v>97</v>
      </c>
      <c r="Z52" s="34"/>
      <c r="AA52" s="41"/>
      <c r="AB52" s="33"/>
      <c r="AC52" s="33"/>
      <c r="AD52" s="50"/>
      <c r="AE52" s="54"/>
      <c r="AF52" s="33"/>
      <c r="AG52" s="58"/>
      <c r="AH52" s="36"/>
    </row>
    <row r="53" spans="4:34">
      <c r="E53" s="12">
        <f t="shared" si="0"/>
        <v>0</v>
      </c>
      <c r="F53" s="10"/>
      <c r="G53" s="10"/>
      <c r="H53" s="10"/>
      <c r="I53" s="10"/>
      <c r="J53" s="14"/>
      <c r="K53" s="10"/>
      <c r="L53" s="10"/>
      <c r="M53" s="19"/>
      <c r="N53" s="10"/>
      <c r="O53" s="10"/>
      <c r="P53" s="14"/>
      <c r="Q53" s="10"/>
      <c r="R53" s="8"/>
      <c r="T53">
        <v>49</v>
      </c>
      <c r="U53" s="28" t="s">
        <v>98</v>
      </c>
      <c r="V53" t="s">
        <v>77</v>
      </c>
      <c r="W53" s="28" t="s">
        <v>99</v>
      </c>
      <c r="Z53" s="34"/>
      <c r="AA53" s="40"/>
      <c r="AB53" s="40"/>
      <c r="AC53" s="38" t="s">
        <v>159</v>
      </c>
      <c r="AD53" s="48"/>
      <c r="AE53" s="53" t="e">
        <f>LOOKUP(AD53,T$5:T$80,U$5:U$80)</f>
        <v>#N/A</v>
      </c>
      <c r="AF53" s="37" t="s">
        <v>157</v>
      </c>
      <c r="AG53" s="53" t="e">
        <f>LOOKUP(AD53,T$5:T$80,W$5:W$80)</f>
        <v>#N/A</v>
      </c>
      <c r="AH53" s="36"/>
    </row>
    <row r="54" spans="4:34" ht="13" thickBot="1">
      <c r="D54">
        <v>23</v>
      </c>
      <c r="E54" s="9">
        <f t="shared" si="0"/>
        <v>23</v>
      </c>
      <c r="F54" s="9"/>
      <c r="G54" s="9">
        <f>E54</f>
        <v>23</v>
      </c>
      <c r="H54" s="11"/>
      <c r="I54" s="10"/>
      <c r="J54" s="14"/>
      <c r="K54" s="10"/>
      <c r="L54" s="10"/>
      <c r="M54" s="19"/>
      <c r="N54" s="10"/>
      <c r="O54" s="10"/>
      <c r="P54" s="14"/>
      <c r="Q54" s="10"/>
      <c r="R54" s="8"/>
      <c r="T54">
        <v>50</v>
      </c>
      <c r="U54" s="28" t="s">
        <v>100</v>
      </c>
      <c r="V54" t="s">
        <v>77</v>
      </c>
      <c r="W54" s="28" t="s">
        <v>101</v>
      </c>
      <c r="Z54" s="34"/>
      <c r="AA54" s="40"/>
      <c r="AB54" s="40"/>
      <c r="AC54" s="38" t="s">
        <v>159</v>
      </c>
      <c r="AD54" s="48"/>
      <c r="AE54" s="53" t="e">
        <f>LOOKUP(AD54,T$5:T$80,U$5:U$80)</f>
        <v>#N/A</v>
      </c>
      <c r="AF54" s="37" t="s">
        <v>157</v>
      </c>
      <c r="AG54" s="53" t="e">
        <f>LOOKUP(AD54,T$5:T$80,W$5:W$80)</f>
        <v>#N/A</v>
      </c>
      <c r="AH54" s="36"/>
    </row>
    <row r="55" spans="4:34" ht="13" thickBot="1">
      <c r="E55" s="10">
        <f t="shared" si="0"/>
        <v>0</v>
      </c>
      <c r="F55" s="10"/>
      <c r="G55" s="10"/>
      <c r="H55" s="13" t="s">
        <v>22</v>
      </c>
      <c r="I55" s="9" t="str">
        <f>IF(OR(H54="",H56=""),"",+IF(H54&gt;H56,E54,E56))</f>
        <v/>
      </c>
      <c r="J55" s="16"/>
      <c r="K55" s="10"/>
      <c r="L55" s="10"/>
      <c r="M55" s="19"/>
      <c r="N55" s="10"/>
      <c r="O55" s="10"/>
      <c r="P55" s="14"/>
      <c r="Q55" s="10"/>
      <c r="R55" s="8"/>
      <c r="T55">
        <v>51</v>
      </c>
      <c r="U55" s="28" t="s">
        <v>102</v>
      </c>
      <c r="V55" t="s">
        <v>77</v>
      </c>
      <c r="W55" s="28" t="s">
        <v>103</v>
      </c>
      <c r="Z55" s="34"/>
      <c r="AA55" s="40"/>
      <c r="AB55" s="40"/>
      <c r="AC55" s="38" t="s">
        <v>159</v>
      </c>
      <c r="AD55" s="48"/>
      <c r="AE55" s="53" t="e">
        <f>LOOKUP(AD55,T$5:T$80,U$5:U$80)</f>
        <v>#N/A</v>
      </c>
      <c r="AF55" s="37" t="s">
        <v>157</v>
      </c>
      <c r="AG55" s="53" t="e">
        <f>LOOKUP(AD55,T$5:T$80,W$5:W$80)</f>
        <v>#N/A</v>
      </c>
      <c r="AH55" s="36"/>
    </row>
    <row r="56" spans="4:34" ht="13" thickBot="1">
      <c r="D56">
        <v>24</v>
      </c>
      <c r="E56" s="9">
        <f t="shared" si="0"/>
        <v>24</v>
      </c>
      <c r="F56" s="9"/>
      <c r="G56" s="9">
        <f>E56</f>
        <v>24</v>
      </c>
      <c r="H56" s="16"/>
      <c r="I56" s="10"/>
      <c r="J56" s="10"/>
      <c r="K56" s="10"/>
      <c r="L56" s="10"/>
      <c r="M56" s="19"/>
      <c r="N56" s="10"/>
      <c r="O56" s="10"/>
      <c r="P56" s="14"/>
      <c r="Q56" s="10"/>
      <c r="R56" s="8"/>
      <c r="T56">
        <v>52</v>
      </c>
      <c r="U56" s="28" t="s">
        <v>104</v>
      </c>
      <c r="V56" t="s">
        <v>77</v>
      </c>
      <c r="W56" s="28" t="s">
        <v>105</v>
      </c>
      <c r="Z56" s="42"/>
      <c r="AA56" s="43"/>
      <c r="AB56" s="43"/>
      <c r="AC56" s="43"/>
      <c r="AD56" s="61"/>
      <c r="AE56" s="62"/>
      <c r="AF56" s="63"/>
      <c r="AG56" s="60"/>
      <c r="AH56" s="44"/>
    </row>
    <row r="57" spans="4:34" ht="13" thickBot="1">
      <c r="E57" s="10">
        <f t="shared" si="0"/>
        <v>0</v>
      </c>
      <c r="F57" s="10"/>
      <c r="G57" s="10"/>
      <c r="H57" s="10"/>
      <c r="I57" s="10"/>
      <c r="J57" s="10"/>
      <c r="K57" s="10"/>
      <c r="L57" s="14" t="s">
        <v>63</v>
      </c>
      <c r="M57" s="9" t="str">
        <f>IF(OR(L52="",L61=""),"",+IF(L52&gt;L61,K52,K61))</f>
        <v/>
      </c>
      <c r="N57" s="17"/>
      <c r="O57" s="10"/>
      <c r="P57" s="14"/>
      <c r="Q57" s="10"/>
      <c r="R57" s="8"/>
      <c r="T57">
        <v>53</v>
      </c>
      <c r="U57" s="28" t="s">
        <v>106</v>
      </c>
      <c r="V57" t="s">
        <v>77</v>
      </c>
      <c r="W57" s="28" t="s">
        <v>107</v>
      </c>
    </row>
    <row r="58" spans="4:34" ht="13" thickBot="1">
      <c r="D58">
        <v>25</v>
      </c>
      <c r="E58" s="9">
        <f t="shared" si="0"/>
        <v>25</v>
      </c>
      <c r="F58" s="9"/>
      <c r="G58" s="9">
        <f>E58</f>
        <v>25</v>
      </c>
      <c r="H58" s="11"/>
      <c r="I58" s="10"/>
      <c r="J58" s="10"/>
      <c r="K58" s="10"/>
      <c r="L58" s="10"/>
      <c r="M58" s="19"/>
      <c r="N58" s="13"/>
      <c r="O58" s="10"/>
      <c r="P58" s="14"/>
      <c r="Q58" s="10"/>
      <c r="R58" s="8"/>
      <c r="T58">
        <v>54</v>
      </c>
      <c r="U58" s="28" t="s">
        <v>108</v>
      </c>
      <c r="V58" t="s">
        <v>77</v>
      </c>
      <c r="W58" s="28" t="s">
        <v>109</v>
      </c>
    </row>
    <row r="59" spans="4:34" ht="13" thickBot="1">
      <c r="E59" s="10">
        <f t="shared" si="0"/>
        <v>0</v>
      </c>
      <c r="F59" s="10"/>
      <c r="G59" s="12"/>
      <c r="H59" s="13" t="s">
        <v>23</v>
      </c>
      <c r="I59" s="9" t="str">
        <f>IF(OR(H58="",H60=""),"",+IF(H58&gt;H60,E58,E60))</f>
        <v/>
      </c>
      <c r="J59" s="17"/>
      <c r="K59" s="10"/>
      <c r="L59" s="10"/>
      <c r="M59" s="19"/>
      <c r="N59" s="14"/>
      <c r="O59" s="10"/>
      <c r="P59" s="14"/>
      <c r="Q59" s="10"/>
      <c r="R59" s="8"/>
      <c r="T59">
        <v>55</v>
      </c>
      <c r="U59" s="28" t="s">
        <v>110</v>
      </c>
      <c r="V59" t="s">
        <v>77</v>
      </c>
      <c r="W59" s="28" t="s">
        <v>111</v>
      </c>
    </row>
    <row r="60" spans="4:34" ht="13" thickBot="1">
      <c r="D60">
        <v>26</v>
      </c>
      <c r="E60" s="9">
        <f t="shared" si="0"/>
        <v>26</v>
      </c>
      <c r="F60" s="9"/>
      <c r="G60" s="9">
        <f>E60</f>
        <v>26</v>
      </c>
      <c r="H60" s="16"/>
      <c r="I60" s="10"/>
      <c r="J60" s="14"/>
      <c r="K60" s="10"/>
      <c r="L60" s="10"/>
      <c r="M60" s="19"/>
      <c r="N60" s="14"/>
      <c r="O60" s="10"/>
      <c r="P60" s="14"/>
      <c r="Q60" s="10"/>
      <c r="R60" s="8"/>
      <c r="T60">
        <v>56</v>
      </c>
      <c r="U60" s="28" t="s">
        <v>112</v>
      </c>
      <c r="V60" t="s">
        <v>77</v>
      </c>
      <c r="W60" s="28" t="s">
        <v>113</v>
      </c>
    </row>
    <row r="61" spans="4:34" ht="13" thickBot="1">
      <c r="E61" s="10">
        <f t="shared" si="0"/>
        <v>0</v>
      </c>
      <c r="F61" s="10"/>
      <c r="G61" s="12"/>
      <c r="H61" s="10"/>
      <c r="I61" s="10"/>
      <c r="J61" s="14" t="s">
        <v>50</v>
      </c>
      <c r="K61" s="9" t="str">
        <f>IF(OR(J59="",J63=""),"",+IF(J59&gt;J63,I59,I63))</f>
        <v/>
      </c>
      <c r="L61" s="16"/>
      <c r="M61" s="19"/>
      <c r="N61" s="14"/>
      <c r="O61" s="10"/>
      <c r="P61" s="14"/>
      <c r="Q61" s="10"/>
      <c r="R61" s="8"/>
      <c r="T61">
        <v>57</v>
      </c>
      <c r="U61" s="28" t="s">
        <v>114</v>
      </c>
      <c r="V61" t="s">
        <v>77</v>
      </c>
      <c r="W61" s="28" t="s">
        <v>115</v>
      </c>
    </row>
    <row r="62" spans="4:34" ht="13" thickBot="1">
      <c r="D62">
        <v>27</v>
      </c>
      <c r="E62" s="9">
        <f t="shared" si="0"/>
        <v>27</v>
      </c>
      <c r="F62" s="9"/>
      <c r="G62" s="9">
        <f>E62</f>
        <v>27</v>
      </c>
      <c r="H62" s="11"/>
      <c r="I62" s="10"/>
      <c r="J62" s="14"/>
      <c r="K62" s="10"/>
      <c r="L62" s="10"/>
      <c r="M62" s="10"/>
      <c r="N62" s="14"/>
      <c r="O62" s="10"/>
      <c r="P62" s="14"/>
      <c r="Q62" s="10"/>
      <c r="R62" s="8"/>
      <c r="T62">
        <v>58</v>
      </c>
      <c r="U62" s="28" t="s">
        <v>116</v>
      </c>
      <c r="V62" t="s">
        <v>77</v>
      </c>
      <c r="W62" s="28" t="s">
        <v>117</v>
      </c>
    </row>
    <row r="63" spans="4:34" ht="13" thickBot="1">
      <c r="E63" s="10">
        <f t="shared" si="0"/>
        <v>0</v>
      </c>
      <c r="F63" s="10"/>
      <c r="G63" s="12"/>
      <c r="H63" s="13" t="s">
        <v>24</v>
      </c>
      <c r="I63" s="9" t="str">
        <f>IF(OR(H62="",H64=""),"",+IF(H62&gt;H64,E62,E64))</f>
        <v/>
      </c>
      <c r="J63" s="16"/>
      <c r="K63" s="10"/>
      <c r="L63" s="10"/>
      <c r="M63" s="10"/>
      <c r="N63" s="14"/>
      <c r="O63" s="10"/>
      <c r="P63" s="14"/>
      <c r="Q63" s="10"/>
      <c r="R63" s="8"/>
      <c r="T63">
        <v>59</v>
      </c>
      <c r="U63" s="28" t="s">
        <v>118</v>
      </c>
      <c r="V63" t="s">
        <v>77</v>
      </c>
      <c r="W63" s="28" t="s">
        <v>119</v>
      </c>
    </row>
    <row r="64" spans="4:34" ht="13" thickBot="1">
      <c r="D64">
        <v>28</v>
      </c>
      <c r="E64" s="9">
        <f t="shared" si="0"/>
        <v>28</v>
      </c>
      <c r="F64" s="9"/>
      <c r="G64" s="9">
        <f>E64</f>
        <v>28</v>
      </c>
      <c r="H64" s="16"/>
      <c r="I64" s="10"/>
      <c r="J64" s="10"/>
      <c r="K64" s="10"/>
      <c r="L64" s="10"/>
      <c r="M64" s="10"/>
      <c r="N64" s="14"/>
      <c r="O64" s="10"/>
      <c r="P64" s="14"/>
      <c r="Q64" s="10"/>
      <c r="R64" s="8"/>
      <c r="T64">
        <v>60</v>
      </c>
      <c r="U64" s="28" t="s">
        <v>120</v>
      </c>
      <c r="V64" t="s">
        <v>77</v>
      </c>
      <c r="W64" s="28" t="s">
        <v>121</v>
      </c>
    </row>
    <row r="65" spans="4:23">
      <c r="E65" s="10">
        <f t="shared" si="0"/>
        <v>0</v>
      </c>
      <c r="F65" s="10"/>
      <c r="G65" s="10"/>
      <c r="H65" s="10"/>
      <c r="I65" s="10"/>
      <c r="J65" s="10"/>
      <c r="K65" s="10"/>
      <c r="L65" s="10"/>
      <c r="M65" s="10"/>
      <c r="N65" s="14"/>
      <c r="O65" s="10"/>
      <c r="P65" s="14"/>
      <c r="Q65" s="10"/>
      <c r="R65" s="8"/>
      <c r="T65">
        <v>61</v>
      </c>
      <c r="U65" s="28" t="s">
        <v>122</v>
      </c>
      <c r="V65" t="s">
        <v>77</v>
      </c>
      <c r="W65" s="28" t="s">
        <v>123</v>
      </c>
    </row>
    <row r="66" spans="4:23" ht="13" thickBot="1">
      <c r="D66">
        <v>29</v>
      </c>
      <c r="E66" s="10">
        <f t="shared" si="0"/>
        <v>29</v>
      </c>
      <c r="F66" s="9"/>
      <c r="G66" s="9">
        <f>E66</f>
        <v>29</v>
      </c>
      <c r="H66" s="11"/>
      <c r="I66" s="10"/>
      <c r="J66" s="10"/>
      <c r="K66" s="10"/>
      <c r="L66" s="10"/>
      <c r="M66" s="10"/>
      <c r="N66" s="14" t="s">
        <v>70</v>
      </c>
      <c r="O66" s="9" t="str">
        <f>IF(OR(N57="",N76=""),"",+IF(N57&gt;N76,M57,M76))</f>
        <v/>
      </c>
      <c r="P66" s="16"/>
      <c r="Q66" s="10"/>
      <c r="R66" s="8"/>
      <c r="T66">
        <v>62</v>
      </c>
      <c r="U66" s="28" t="s">
        <v>124</v>
      </c>
      <c r="V66" t="s">
        <v>77</v>
      </c>
      <c r="W66" s="28" t="s">
        <v>125</v>
      </c>
    </row>
    <row r="67" spans="4:23">
      <c r="E67" s="12">
        <f t="shared" si="0"/>
        <v>0</v>
      </c>
      <c r="F67" s="10"/>
      <c r="G67" s="10"/>
      <c r="H67" s="13"/>
      <c r="I67" s="10"/>
      <c r="J67" s="10"/>
      <c r="K67" s="10"/>
      <c r="L67" s="10"/>
      <c r="M67" s="10"/>
      <c r="N67" s="14"/>
      <c r="O67" s="10"/>
      <c r="P67" s="10"/>
      <c r="Q67" s="10"/>
      <c r="R67" s="8"/>
      <c r="T67">
        <v>63</v>
      </c>
      <c r="U67" s="28" t="s">
        <v>126</v>
      </c>
      <c r="V67" t="s">
        <v>77</v>
      </c>
      <c r="W67" s="28" t="s">
        <v>127</v>
      </c>
    </row>
    <row r="68" spans="4:23" ht="13" thickBot="1">
      <c r="E68" s="10">
        <f t="shared" si="0"/>
        <v>0</v>
      </c>
      <c r="F68" s="10"/>
      <c r="G68" s="10"/>
      <c r="H68" s="14" t="s">
        <v>25</v>
      </c>
      <c r="I68" s="9" t="str">
        <f>IF(OR(H66="",H70=""),"",+IF(H66&gt;H70,G66,G70))</f>
        <v/>
      </c>
      <c r="J68" s="11"/>
      <c r="K68" s="10"/>
      <c r="L68" s="10"/>
      <c r="M68" s="10"/>
      <c r="N68" s="14"/>
      <c r="O68" s="10"/>
      <c r="P68" s="10"/>
      <c r="Q68" s="10"/>
      <c r="R68" s="8"/>
      <c r="T68">
        <v>64</v>
      </c>
      <c r="U68" s="28" t="s">
        <v>130</v>
      </c>
      <c r="V68" t="s">
        <v>77</v>
      </c>
      <c r="W68" s="28" t="s">
        <v>128</v>
      </c>
    </row>
    <row r="69" spans="4:23" ht="13" thickBot="1">
      <c r="D69">
        <v>30</v>
      </c>
      <c r="E69" s="10">
        <f t="shared" si="0"/>
        <v>30</v>
      </c>
      <c r="F69" s="11"/>
      <c r="G69" s="10"/>
      <c r="H69" s="14"/>
      <c r="I69" s="10"/>
      <c r="J69" s="13"/>
      <c r="K69" s="10"/>
      <c r="L69" s="10"/>
      <c r="M69" s="10"/>
      <c r="N69" s="14"/>
      <c r="O69" s="10"/>
      <c r="P69" s="10"/>
      <c r="Q69" s="10"/>
      <c r="R69" s="8"/>
      <c r="T69">
        <v>65</v>
      </c>
      <c r="U69" s="28" t="s">
        <v>129</v>
      </c>
      <c r="V69" t="s">
        <v>77</v>
      </c>
      <c r="W69" s="28" t="s">
        <v>131</v>
      </c>
    </row>
    <row r="70" spans="4:23" ht="13" thickBot="1">
      <c r="E70" s="12">
        <f t="shared" si="0"/>
        <v>0</v>
      </c>
      <c r="F70" s="13" t="s">
        <v>5</v>
      </c>
      <c r="G70" s="9" t="str">
        <f>IF(OR(F69="",F71=""),"",+IF(F69&gt;F71,E69,E71))</f>
        <v/>
      </c>
      <c r="H70" s="16"/>
      <c r="I70" s="10"/>
      <c r="J70" s="14"/>
      <c r="K70" s="10"/>
      <c r="L70" s="10"/>
      <c r="M70" s="10"/>
      <c r="N70" s="14"/>
      <c r="O70" s="10"/>
      <c r="P70" s="10"/>
      <c r="Q70" s="10"/>
      <c r="R70" s="8"/>
      <c r="T70">
        <v>66</v>
      </c>
      <c r="U70" s="28" t="s">
        <v>132</v>
      </c>
      <c r="V70" t="s">
        <v>77</v>
      </c>
      <c r="W70" s="28" t="s">
        <v>133</v>
      </c>
    </row>
    <row r="71" spans="4:23" ht="13" thickBot="1">
      <c r="D71">
        <v>31</v>
      </c>
      <c r="E71" s="10">
        <f t="shared" si="0"/>
        <v>31</v>
      </c>
      <c r="F71" s="16"/>
      <c r="G71" s="10"/>
      <c r="H71" s="10"/>
      <c r="I71" s="10"/>
      <c r="J71" s="14" t="s">
        <v>51</v>
      </c>
      <c r="K71" s="9" t="str">
        <f>IF(OR(J68="",J74=""),"",+IF(J68&gt;J74,I68,I74))</f>
        <v/>
      </c>
      <c r="L71" s="11"/>
      <c r="M71" s="10"/>
      <c r="N71" s="14"/>
      <c r="O71" s="10"/>
      <c r="P71" s="10"/>
      <c r="Q71" s="10"/>
      <c r="R71" s="8"/>
      <c r="T71">
        <v>67</v>
      </c>
      <c r="U71" s="28" t="s">
        <v>134</v>
      </c>
      <c r="V71" t="s">
        <v>77</v>
      </c>
      <c r="W71" s="28" t="s">
        <v>135</v>
      </c>
    </row>
    <row r="72" spans="4:23">
      <c r="E72" s="12">
        <f t="shared" ref="E72:E135" si="1">D72</f>
        <v>0</v>
      </c>
      <c r="F72" s="10"/>
      <c r="G72" s="10"/>
      <c r="H72" s="10"/>
      <c r="I72" s="10"/>
      <c r="J72" s="14"/>
      <c r="K72" s="12"/>
      <c r="L72" s="13"/>
      <c r="M72" s="10"/>
      <c r="N72" s="14"/>
      <c r="O72" s="10"/>
      <c r="P72" s="10"/>
      <c r="Q72" s="10"/>
      <c r="R72" s="8"/>
      <c r="T72">
        <v>68</v>
      </c>
      <c r="U72" s="28" t="s">
        <v>136</v>
      </c>
      <c r="V72" t="s">
        <v>77</v>
      </c>
      <c r="W72" s="28" t="s">
        <v>137</v>
      </c>
    </row>
    <row r="73" spans="4:23" ht="13" thickBot="1">
      <c r="D73">
        <v>32</v>
      </c>
      <c r="E73" s="9">
        <f t="shared" si="1"/>
        <v>32</v>
      </c>
      <c r="F73" s="9"/>
      <c r="G73" s="9">
        <f>E73</f>
        <v>32</v>
      </c>
      <c r="H73" s="11"/>
      <c r="I73" s="10"/>
      <c r="J73" s="14"/>
      <c r="K73" s="10"/>
      <c r="L73" s="14"/>
      <c r="M73" s="10"/>
      <c r="N73" s="14"/>
      <c r="O73" s="10"/>
      <c r="P73" s="10"/>
      <c r="Q73" s="10"/>
      <c r="R73" s="8"/>
      <c r="T73">
        <v>69</v>
      </c>
      <c r="U73" s="28" t="s">
        <v>138</v>
      </c>
      <c r="V73" t="s">
        <v>77</v>
      </c>
      <c r="W73" s="28" t="s">
        <v>144</v>
      </c>
    </row>
    <row r="74" spans="4:23" ht="13" thickBot="1">
      <c r="E74" s="10">
        <f t="shared" si="1"/>
        <v>0</v>
      </c>
      <c r="F74" s="10"/>
      <c r="G74" s="10"/>
      <c r="H74" s="13" t="s">
        <v>26</v>
      </c>
      <c r="I74" s="9" t="str">
        <f>IF(OR(H73="",H75=""),"",+IF(H73&gt;H75,E73,E75))</f>
        <v/>
      </c>
      <c r="J74" s="16"/>
      <c r="K74" s="10"/>
      <c r="L74" s="14"/>
      <c r="M74" s="10"/>
      <c r="N74" s="14"/>
      <c r="O74" s="10"/>
      <c r="P74" s="10"/>
      <c r="Q74" s="10"/>
      <c r="R74" s="8"/>
      <c r="T74">
        <v>70</v>
      </c>
      <c r="U74" s="28" t="s">
        <v>139</v>
      </c>
      <c r="V74" t="s">
        <v>77</v>
      </c>
      <c r="W74" s="28" t="s">
        <v>140</v>
      </c>
    </row>
    <row r="75" spans="4:23" ht="13" thickBot="1">
      <c r="D75">
        <v>33</v>
      </c>
      <c r="E75" s="9">
        <f t="shared" si="1"/>
        <v>33</v>
      </c>
      <c r="F75" s="9"/>
      <c r="G75" s="9">
        <f>E75</f>
        <v>33</v>
      </c>
      <c r="H75" s="16"/>
      <c r="I75" s="10"/>
      <c r="J75" s="10"/>
      <c r="K75" s="10"/>
      <c r="L75" s="14"/>
      <c r="M75" s="10"/>
      <c r="N75" s="14"/>
      <c r="O75" s="10"/>
      <c r="P75" s="10"/>
      <c r="Q75" s="10"/>
      <c r="R75" s="8"/>
      <c r="T75">
        <v>71</v>
      </c>
      <c r="U75" s="28" t="s">
        <v>141</v>
      </c>
      <c r="V75" t="s">
        <v>77</v>
      </c>
      <c r="W75" s="28" t="s">
        <v>143</v>
      </c>
    </row>
    <row r="76" spans="4:23" ht="13" thickBot="1">
      <c r="E76" s="10">
        <f t="shared" si="1"/>
        <v>0</v>
      </c>
      <c r="F76" s="10"/>
      <c r="G76" s="10"/>
      <c r="H76" s="10"/>
      <c r="I76" s="10"/>
      <c r="J76" s="10"/>
      <c r="K76" s="10"/>
      <c r="L76" s="14" t="s">
        <v>64</v>
      </c>
      <c r="M76" s="9" t="str">
        <f>IF(OR(L71="",L81=""),"",+IF(L71&gt;L81,K71,K81))</f>
        <v/>
      </c>
      <c r="N76" s="16"/>
      <c r="O76" s="10"/>
      <c r="P76" s="10"/>
      <c r="Q76" s="10"/>
      <c r="R76" s="8"/>
      <c r="T76">
        <v>72</v>
      </c>
      <c r="U76" s="28" t="s">
        <v>142</v>
      </c>
      <c r="V76" t="s">
        <v>77</v>
      </c>
      <c r="W76" s="28" t="s">
        <v>145</v>
      </c>
    </row>
    <row r="77" spans="4:23" ht="13" thickBot="1">
      <c r="D77">
        <v>34</v>
      </c>
      <c r="E77" s="9">
        <f t="shared" si="1"/>
        <v>34</v>
      </c>
      <c r="F77" s="9"/>
      <c r="G77" s="9">
        <f>E77</f>
        <v>34</v>
      </c>
      <c r="H77" s="11"/>
      <c r="I77" s="10"/>
      <c r="J77" s="10"/>
      <c r="K77" s="10"/>
      <c r="L77" s="14"/>
      <c r="M77" s="10"/>
      <c r="N77" s="10"/>
      <c r="O77" s="10"/>
      <c r="P77" s="10"/>
      <c r="Q77" s="10"/>
      <c r="R77" s="8"/>
      <c r="T77">
        <v>73</v>
      </c>
      <c r="U77" s="28" t="s">
        <v>146</v>
      </c>
      <c r="V77" t="s">
        <v>77</v>
      </c>
      <c r="W77" s="28" t="s">
        <v>147</v>
      </c>
    </row>
    <row r="78" spans="4:23" ht="13" thickBot="1">
      <c r="E78" s="10">
        <f t="shared" si="1"/>
        <v>0</v>
      </c>
      <c r="F78" s="10"/>
      <c r="G78" s="10"/>
      <c r="H78" s="13" t="s">
        <v>27</v>
      </c>
      <c r="I78" s="9" t="str">
        <f>IF(OR(H77="",H79=""),"",+IF(H77&gt;H79,E77,E79))</f>
        <v/>
      </c>
      <c r="J78" s="17"/>
      <c r="K78" s="10"/>
      <c r="L78" s="14"/>
      <c r="M78" s="10"/>
      <c r="N78" s="10"/>
      <c r="O78" s="10"/>
      <c r="P78" s="10"/>
      <c r="Q78" s="10"/>
      <c r="R78" s="8"/>
      <c r="T78">
        <v>74</v>
      </c>
      <c r="U78" s="28" t="s">
        <v>148</v>
      </c>
      <c r="V78" t="s">
        <v>77</v>
      </c>
      <c r="W78" s="28" t="s">
        <v>150</v>
      </c>
    </row>
    <row r="79" spans="4:23" ht="13" thickBot="1">
      <c r="D79">
        <v>35</v>
      </c>
      <c r="E79" s="9">
        <f t="shared" si="1"/>
        <v>35</v>
      </c>
      <c r="F79" s="9"/>
      <c r="G79" s="9">
        <f>E79</f>
        <v>35</v>
      </c>
      <c r="H79" s="16"/>
      <c r="I79" s="10"/>
      <c r="J79" s="13"/>
      <c r="K79" s="10"/>
      <c r="L79" s="14"/>
      <c r="M79" s="10"/>
      <c r="N79" s="10"/>
      <c r="O79" s="10"/>
      <c r="P79" s="10"/>
      <c r="Q79" s="10"/>
      <c r="R79" s="8"/>
      <c r="T79">
        <v>75</v>
      </c>
      <c r="U79" s="28" t="s">
        <v>150</v>
      </c>
      <c r="V79" t="s">
        <v>77</v>
      </c>
      <c r="W79" s="29" t="s">
        <v>151</v>
      </c>
    </row>
    <row r="80" spans="4:23">
      <c r="E80" s="10">
        <f t="shared" si="1"/>
        <v>0</v>
      </c>
      <c r="F80" s="10"/>
      <c r="G80" s="10"/>
      <c r="H80" s="10"/>
      <c r="I80" s="10"/>
      <c r="J80" s="14"/>
      <c r="K80" s="10"/>
      <c r="L80" s="14"/>
      <c r="M80" s="10"/>
      <c r="N80" s="10"/>
      <c r="O80" s="10"/>
      <c r="P80" s="10"/>
      <c r="Q80" s="10"/>
      <c r="R80" s="8"/>
    </row>
    <row r="81" spans="4:19" ht="13" thickBot="1">
      <c r="D81">
        <v>36</v>
      </c>
      <c r="E81" s="10">
        <f t="shared" si="1"/>
        <v>36</v>
      </c>
      <c r="F81" s="11"/>
      <c r="G81" s="10"/>
      <c r="H81" s="10"/>
      <c r="I81" s="10"/>
      <c r="J81" s="14" t="s">
        <v>52</v>
      </c>
      <c r="K81" s="18" t="str">
        <f>IF(OR(I78="",I83=""),"",+IF(J78&gt;J83,I78,I83))</f>
        <v/>
      </c>
      <c r="L81" s="16"/>
      <c r="M81" s="10"/>
      <c r="N81" s="10"/>
      <c r="O81" s="10"/>
      <c r="P81" s="10"/>
      <c r="Q81" s="10"/>
      <c r="R81" s="8"/>
    </row>
    <row r="82" spans="4:19" ht="13" thickBot="1">
      <c r="E82" s="12">
        <f t="shared" si="1"/>
        <v>0</v>
      </c>
      <c r="F82" s="13" t="s">
        <v>6</v>
      </c>
      <c r="G82" s="9" t="str">
        <f>IF(OR(F81="",F83=""),"",+IF(F81&gt;F83,E81,E83))</f>
        <v/>
      </c>
      <c r="H82" s="17"/>
      <c r="I82" s="10"/>
      <c r="J82" s="14"/>
      <c r="K82" s="10"/>
      <c r="L82" s="10"/>
      <c r="M82" s="10"/>
      <c r="N82" s="10"/>
      <c r="O82" s="10"/>
      <c r="P82" s="10"/>
      <c r="Q82" s="10"/>
      <c r="R82" s="8"/>
    </row>
    <row r="83" spans="4:19" ht="13" thickBot="1">
      <c r="D83">
        <v>37</v>
      </c>
      <c r="E83" s="21">
        <f t="shared" si="1"/>
        <v>37</v>
      </c>
      <c r="F83" s="16"/>
      <c r="G83" s="10"/>
      <c r="H83" s="13" t="s">
        <v>28</v>
      </c>
      <c r="I83" s="9" t="str">
        <f>IF(OR(H82="",H85=""),"",+IF(H82&gt;H85,G82,G85))</f>
        <v/>
      </c>
      <c r="J83" s="16"/>
      <c r="K83" s="10"/>
      <c r="L83" s="10"/>
      <c r="M83" s="10"/>
      <c r="N83" s="10"/>
      <c r="O83" s="10"/>
      <c r="P83" s="10"/>
      <c r="Q83" s="10"/>
      <c r="R83" s="8"/>
    </row>
    <row r="84" spans="4:19">
      <c r="E84" s="10">
        <f t="shared" si="1"/>
        <v>0</v>
      </c>
      <c r="F84" s="10"/>
      <c r="G84" s="10"/>
      <c r="H84" s="14"/>
      <c r="I84" s="10"/>
      <c r="J84" s="10"/>
      <c r="K84" s="10"/>
      <c r="L84" s="10"/>
      <c r="M84" s="10"/>
      <c r="N84" s="10"/>
      <c r="O84" s="10"/>
      <c r="P84" s="10"/>
      <c r="Q84" s="10"/>
      <c r="R84" s="8"/>
    </row>
    <row r="85" spans="4:19" ht="13" thickBot="1">
      <c r="D85">
        <v>38</v>
      </c>
      <c r="E85" s="9">
        <f t="shared" si="1"/>
        <v>38</v>
      </c>
      <c r="F85" s="9"/>
      <c r="G85" s="9">
        <f>E85</f>
        <v>38</v>
      </c>
      <c r="H85" s="16"/>
      <c r="I85" s="10"/>
      <c r="J85" s="10"/>
      <c r="K85" s="10"/>
      <c r="L85" s="10"/>
      <c r="M85" s="10"/>
      <c r="N85" s="10"/>
      <c r="O85" s="10"/>
      <c r="P85" s="10"/>
      <c r="Q85" s="10"/>
      <c r="R85" s="27"/>
      <c r="S85" s="7"/>
    </row>
    <row r="86" spans="4:19">
      <c r="E86">
        <f t="shared" si="1"/>
        <v>0</v>
      </c>
      <c r="Q86" t="s">
        <v>75</v>
      </c>
      <c r="R86" s="8"/>
    </row>
    <row r="87" spans="4:19">
      <c r="E87">
        <f t="shared" si="1"/>
        <v>0</v>
      </c>
      <c r="R87" s="8"/>
    </row>
    <row r="88" spans="4:19" ht="13" thickBot="1">
      <c r="D88">
        <v>39</v>
      </c>
      <c r="E88" s="9">
        <f t="shared" si="1"/>
        <v>39</v>
      </c>
      <c r="F88" s="9"/>
      <c r="G88" s="9">
        <f>E88</f>
        <v>39</v>
      </c>
      <c r="H88" s="11"/>
      <c r="I88" s="10"/>
      <c r="J88" s="10"/>
      <c r="K88" s="10"/>
      <c r="L88" s="10"/>
      <c r="M88" s="10"/>
      <c r="N88" s="10"/>
      <c r="O88" s="10"/>
      <c r="P88" s="10"/>
      <c r="Q88" s="10"/>
      <c r="R88" s="8"/>
    </row>
    <row r="89" spans="4:19">
      <c r="E89" s="12">
        <f t="shared" si="1"/>
        <v>0</v>
      </c>
      <c r="F89" s="10"/>
      <c r="G89" s="10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8"/>
    </row>
    <row r="90" spans="4:19" ht="13" thickBot="1">
      <c r="E90" s="10">
        <f t="shared" si="1"/>
        <v>0</v>
      </c>
      <c r="F90" s="10"/>
      <c r="G90" s="10"/>
      <c r="H90" s="14" t="s">
        <v>29</v>
      </c>
      <c r="I90" s="9" t="str">
        <f>IF(OR(H88="",H92=""),"",+IF(H88&gt;H92,E88,G92))</f>
        <v/>
      </c>
      <c r="J90" s="11"/>
      <c r="K90" s="10"/>
      <c r="L90" s="10"/>
      <c r="M90" s="10"/>
      <c r="N90" s="10"/>
      <c r="O90" s="10"/>
      <c r="P90" s="10"/>
      <c r="Q90" s="10"/>
      <c r="R90" s="8"/>
    </row>
    <row r="91" spans="4:19" ht="13" thickBot="1">
      <c r="D91">
        <v>40</v>
      </c>
      <c r="E91" s="10">
        <f t="shared" si="1"/>
        <v>40</v>
      </c>
      <c r="F91" s="11"/>
      <c r="G91" s="10"/>
      <c r="H91" s="14"/>
      <c r="I91" s="10"/>
      <c r="J91" s="13"/>
      <c r="K91" s="10"/>
      <c r="L91" s="10"/>
      <c r="M91" s="10"/>
      <c r="N91" s="10"/>
      <c r="O91" s="10"/>
      <c r="P91" s="10"/>
      <c r="Q91" s="10"/>
      <c r="R91" s="8"/>
    </row>
    <row r="92" spans="4:19" ht="13" thickBot="1">
      <c r="E92" s="12">
        <f t="shared" si="1"/>
        <v>0</v>
      </c>
      <c r="F92" s="13" t="s">
        <v>7</v>
      </c>
      <c r="G92" s="9" t="str">
        <f>IF(OR(F91="",F93=""),"",+IF(F91&gt;F93,E91,E93))</f>
        <v/>
      </c>
      <c r="H92" s="16"/>
      <c r="I92" s="10"/>
      <c r="J92" s="14"/>
      <c r="K92" s="10"/>
      <c r="L92" s="10"/>
      <c r="M92" s="10"/>
      <c r="N92" s="10"/>
      <c r="O92" s="10"/>
      <c r="P92" s="10"/>
      <c r="Q92" s="10"/>
      <c r="R92" s="8"/>
    </row>
    <row r="93" spans="4:19" ht="13" thickBot="1">
      <c r="D93">
        <v>41</v>
      </c>
      <c r="E93" s="10">
        <f t="shared" si="1"/>
        <v>41</v>
      </c>
      <c r="F93" s="16"/>
      <c r="G93" s="10"/>
      <c r="H93" s="10"/>
      <c r="I93" s="10"/>
      <c r="J93" s="14" t="s">
        <v>53</v>
      </c>
      <c r="K93" s="9" t="str">
        <f>IF(OR(J90="",J96=""),"",+IF(J90&gt;J96,I90,I96))</f>
        <v/>
      </c>
      <c r="L93" s="17"/>
      <c r="M93" s="10"/>
      <c r="N93" s="10"/>
      <c r="O93" s="10"/>
      <c r="P93" s="10"/>
      <c r="Q93" s="10"/>
      <c r="R93" s="8"/>
    </row>
    <row r="94" spans="4:19">
      <c r="E94" s="12">
        <f t="shared" si="1"/>
        <v>0</v>
      </c>
      <c r="F94" s="10"/>
      <c r="G94" s="10"/>
      <c r="H94" s="10"/>
      <c r="I94" s="10"/>
      <c r="J94" s="14"/>
      <c r="K94" s="10"/>
      <c r="L94" s="10"/>
      <c r="M94" s="19"/>
      <c r="N94" s="10"/>
      <c r="O94" s="10"/>
      <c r="P94" s="10"/>
      <c r="Q94" s="10"/>
      <c r="R94" s="8"/>
    </row>
    <row r="95" spans="4:19" ht="13" thickBot="1">
      <c r="D95">
        <v>42</v>
      </c>
      <c r="E95" s="9">
        <f t="shared" si="1"/>
        <v>42</v>
      </c>
      <c r="F95" s="9"/>
      <c r="G95" s="9">
        <f>E95</f>
        <v>42</v>
      </c>
      <c r="H95" s="11"/>
      <c r="I95" s="10"/>
      <c r="J95" s="14"/>
      <c r="K95" s="10"/>
      <c r="L95" s="10"/>
      <c r="M95" s="19"/>
      <c r="N95" s="10"/>
      <c r="O95" s="10"/>
      <c r="P95" s="10"/>
      <c r="Q95" s="10"/>
      <c r="R95" s="8"/>
    </row>
    <row r="96" spans="4:19" ht="13" thickBot="1">
      <c r="E96" s="10">
        <f t="shared" si="1"/>
        <v>0</v>
      </c>
      <c r="F96" s="10"/>
      <c r="G96" s="10"/>
      <c r="H96" s="13" t="s">
        <v>30</v>
      </c>
      <c r="I96" s="9" t="str">
        <f>IF(OR(H95="",H97=""),"",+IF(H95&gt;H97,E95,E97))</f>
        <v/>
      </c>
      <c r="J96" s="16"/>
      <c r="K96" s="10"/>
      <c r="L96" s="10"/>
      <c r="M96" s="19"/>
      <c r="N96" s="10"/>
      <c r="O96" s="10"/>
      <c r="P96" s="10"/>
      <c r="Q96" s="10"/>
      <c r="R96" s="8"/>
    </row>
    <row r="97" spans="4:18" ht="13" thickBot="1">
      <c r="D97">
        <v>43</v>
      </c>
      <c r="E97" s="9">
        <f t="shared" si="1"/>
        <v>43</v>
      </c>
      <c r="F97" s="9"/>
      <c r="G97" s="9">
        <f>E97</f>
        <v>43</v>
      </c>
      <c r="H97" s="16"/>
      <c r="I97" s="10"/>
      <c r="J97" s="10"/>
      <c r="K97" s="10"/>
      <c r="L97" s="10"/>
      <c r="M97" s="19"/>
      <c r="N97" s="10"/>
      <c r="O97" s="10"/>
      <c r="P97" s="10"/>
      <c r="Q97" s="10"/>
      <c r="R97" s="8"/>
    </row>
    <row r="98" spans="4:18" ht="13" thickBot="1">
      <c r="E98" s="10">
        <f t="shared" si="1"/>
        <v>0</v>
      </c>
      <c r="F98" s="10"/>
      <c r="G98" s="10"/>
      <c r="H98" s="10"/>
      <c r="I98" s="10"/>
      <c r="J98" s="10"/>
      <c r="K98" s="10"/>
      <c r="L98" s="14" t="s">
        <v>65</v>
      </c>
      <c r="M98" s="9" t="str">
        <f>IF(OR(L93="",L102=""),"",+IF(L93&gt;L102,K93,K102))</f>
        <v/>
      </c>
      <c r="N98" s="17"/>
      <c r="O98" s="10"/>
      <c r="P98" s="10"/>
      <c r="Q98" s="10"/>
      <c r="R98" s="8"/>
    </row>
    <row r="99" spans="4:18" ht="13" thickBot="1">
      <c r="D99">
        <v>44</v>
      </c>
      <c r="E99" s="9">
        <f t="shared" si="1"/>
        <v>44</v>
      </c>
      <c r="F99" s="9"/>
      <c r="G99" s="9">
        <f>E99</f>
        <v>44</v>
      </c>
      <c r="H99" s="11"/>
      <c r="I99" s="10"/>
      <c r="J99" s="10"/>
      <c r="K99" s="10"/>
      <c r="L99" s="10"/>
      <c r="M99" s="19"/>
      <c r="N99" s="13"/>
      <c r="O99" s="10"/>
      <c r="P99" s="10"/>
      <c r="Q99" s="10"/>
      <c r="R99" s="8"/>
    </row>
    <row r="100" spans="4:18" ht="13" thickBot="1">
      <c r="E100" s="10">
        <f t="shared" si="1"/>
        <v>0</v>
      </c>
      <c r="F100" s="10"/>
      <c r="G100" s="12"/>
      <c r="H100" s="13" t="s">
        <v>31</v>
      </c>
      <c r="I100" s="9" t="str">
        <f>IF(OR(H99="",H101=""),"",+IF(H99&gt;H101,E99,E101))</f>
        <v/>
      </c>
      <c r="J100" s="17"/>
      <c r="K100" s="10"/>
      <c r="L100" s="10"/>
      <c r="M100" s="19"/>
      <c r="N100" s="14"/>
      <c r="O100" s="10"/>
      <c r="P100" s="10"/>
      <c r="Q100" s="10"/>
      <c r="R100" s="8"/>
    </row>
    <row r="101" spans="4:18" ht="13" thickBot="1">
      <c r="D101">
        <v>45</v>
      </c>
      <c r="E101" s="9">
        <f t="shared" si="1"/>
        <v>45</v>
      </c>
      <c r="F101" s="9"/>
      <c r="G101" s="9">
        <f>E101</f>
        <v>45</v>
      </c>
      <c r="H101" s="16"/>
      <c r="I101" s="10"/>
      <c r="J101" s="14"/>
      <c r="K101" s="10"/>
      <c r="L101" s="10"/>
      <c r="M101" s="19"/>
      <c r="N101" s="14"/>
      <c r="O101" s="10"/>
      <c r="P101" s="10"/>
      <c r="Q101" s="10"/>
      <c r="R101" s="8"/>
    </row>
    <row r="102" spans="4:18" ht="13" thickBot="1">
      <c r="E102" s="10">
        <f t="shared" si="1"/>
        <v>0</v>
      </c>
      <c r="F102" s="10"/>
      <c r="G102" s="12"/>
      <c r="H102" s="10"/>
      <c r="I102" s="10"/>
      <c r="J102" s="14" t="s">
        <v>54</v>
      </c>
      <c r="K102" s="9" t="str">
        <f>IF(OR(J100="",J104=""),"",+IF(J100&gt;J104,I100,I104))</f>
        <v/>
      </c>
      <c r="L102" s="16"/>
      <c r="M102" s="19"/>
      <c r="N102" s="14"/>
      <c r="O102" s="10"/>
      <c r="P102" s="10"/>
      <c r="Q102" s="10"/>
      <c r="R102" s="8"/>
    </row>
    <row r="103" spans="4:18" ht="13" thickBot="1">
      <c r="D103">
        <v>46</v>
      </c>
      <c r="E103" s="9">
        <f t="shared" si="1"/>
        <v>46</v>
      </c>
      <c r="F103" s="9"/>
      <c r="G103" s="9">
        <f>E103</f>
        <v>46</v>
      </c>
      <c r="H103" s="11"/>
      <c r="I103" s="10"/>
      <c r="J103" s="14"/>
      <c r="K103" s="10"/>
      <c r="L103" s="10"/>
      <c r="M103" s="10"/>
      <c r="N103" s="14"/>
      <c r="O103" s="10"/>
      <c r="P103" s="10"/>
      <c r="Q103" s="10"/>
      <c r="R103" s="8"/>
    </row>
    <row r="104" spans="4:18" ht="13" thickBot="1">
      <c r="E104" s="10">
        <f t="shared" si="1"/>
        <v>0</v>
      </c>
      <c r="F104" s="10"/>
      <c r="G104" s="12"/>
      <c r="H104" s="13" t="s">
        <v>32</v>
      </c>
      <c r="I104" s="9" t="str">
        <f>IF(OR(H103="",H105=""),"",+IF(H103&gt;H105,E103,E105))</f>
        <v/>
      </c>
      <c r="J104" s="16"/>
      <c r="K104" s="10"/>
      <c r="L104" s="10"/>
      <c r="M104" s="10"/>
      <c r="N104" s="14"/>
      <c r="O104" s="10"/>
      <c r="P104" s="10"/>
      <c r="Q104" s="10"/>
      <c r="R104" s="8"/>
    </row>
    <row r="105" spans="4:18" ht="13" thickBot="1">
      <c r="D105">
        <v>47</v>
      </c>
      <c r="E105" s="9">
        <f t="shared" si="1"/>
        <v>47</v>
      </c>
      <c r="F105" s="9"/>
      <c r="G105" s="9">
        <f>E105</f>
        <v>47</v>
      </c>
      <c r="H105" s="16"/>
      <c r="I105" s="10"/>
      <c r="J105" s="10"/>
      <c r="K105" s="10"/>
      <c r="L105" s="10"/>
      <c r="M105" s="10"/>
      <c r="N105" s="14"/>
      <c r="O105" s="10"/>
      <c r="P105" s="10"/>
      <c r="Q105" s="10"/>
      <c r="R105" s="8"/>
    </row>
    <row r="106" spans="4:18">
      <c r="E106" s="10">
        <f t="shared" si="1"/>
        <v>0</v>
      </c>
      <c r="F106" s="10"/>
      <c r="G106" s="10"/>
      <c r="H106" s="10"/>
      <c r="I106" s="10"/>
      <c r="J106" s="10"/>
      <c r="K106" s="10"/>
      <c r="L106" s="10"/>
      <c r="M106" s="10"/>
      <c r="N106" s="14"/>
      <c r="O106" s="10"/>
      <c r="P106" s="10"/>
      <c r="Q106" s="10"/>
      <c r="R106" s="8"/>
    </row>
    <row r="107" spans="4:18" ht="13" thickBot="1">
      <c r="D107">
        <v>48</v>
      </c>
      <c r="E107" s="10">
        <f t="shared" si="1"/>
        <v>48</v>
      </c>
      <c r="F107" s="9"/>
      <c r="G107" s="9">
        <f>E107</f>
        <v>48</v>
      </c>
      <c r="H107" s="11"/>
      <c r="I107" s="10"/>
      <c r="J107" s="10"/>
      <c r="K107" s="10"/>
      <c r="L107" s="10"/>
      <c r="M107" s="10"/>
      <c r="N107" s="14" t="s">
        <v>71</v>
      </c>
      <c r="O107" s="9" t="str">
        <f>IF(OR(N98="",N117=""),"",+IF(N98&gt;N117,M98,M117))</f>
        <v/>
      </c>
      <c r="P107" s="17"/>
      <c r="Q107" s="10"/>
      <c r="R107" s="8"/>
    </row>
    <row r="108" spans="4:18">
      <c r="E108" s="12">
        <f t="shared" si="1"/>
        <v>0</v>
      </c>
      <c r="F108" s="10"/>
      <c r="G108" s="10"/>
      <c r="H108" s="13"/>
      <c r="I108" s="10"/>
      <c r="J108" s="10"/>
      <c r="K108" s="10"/>
      <c r="L108" s="10"/>
      <c r="M108" s="10"/>
      <c r="N108" s="14"/>
      <c r="O108" s="10"/>
      <c r="P108" s="14"/>
      <c r="Q108" s="10"/>
      <c r="R108" s="8"/>
    </row>
    <row r="109" spans="4:18" ht="13" thickBot="1">
      <c r="E109" s="10">
        <f t="shared" si="1"/>
        <v>0</v>
      </c>
      <c r="F109" s="10"/>
      <c r="G109" s="10"/>
      <c r="H109" s="14" t="s">
        <v>33</v>
      </c>
      <c r="I109" s="9" t="str">
        <f>IF(OR(H107="",H111=""),"",+IF(H107&gt;H111,G107,G111))</f>
        <v/>
      </c>
      <c r="J109" s="11"/>
      <c r="K109" s="10"/>
      <c r="L109" s="10"/>
      <c r="M109" s="10"/>
      <c r="N109" s="14"/>
      <c r="O109" s="10"/>
      <c r="P109" s="14"/>
      <c r="Q109" s="10"/>
      <c r="R109" s="8"/>
    </row>
    <row r="110" spans="4:18" ht="13" thickBot="1">
      <c r="D110">
        <v>49</v>
      </c>
      <c r="E110" s="10">
        <f t="shared" si="1"/>
        <v>49</v>
      </c>
      <c r="F110" s="11"/>
      <c r="G110" s="10"/>
      <c r="H110" s="14"/>
      <c r="I110" s="10"/>
      <c r="J110" s="13"/>
      <c r="K110" s="10"/>
      <c r="L110" s="10"/>
      <c r="M110" s="10"/>
      <c r="N110" s="14"/>
      <c r="O110" s="10"/>
      <c r="P110" s="14"/>
      <c r="Q110" s="10"/>
      <c r="R110" s="8"/>
    </row>
    <row r="111" spans="4:18" ht="13" thickBot="1">
      <c r="E111" s="12">
        <f t="shared" si="1"/>
        <v>0</v>
      </c>
      <c r="F111" s="13" t="s">
        <v>8</v>
      </c>
      <c r="G111" s="9" t="str">
        <f>IF(OR(F110="",F112=""),"",+IF(F110&gt;F112,E110,E112))</f>
        <v/>
      </c>
      <c r="H111" s="16"/>
      <c r="I111" s="10"/>
      <c r="J111" s="14"/>
      <c r="K111" s="10"/>
      <c r="L111" s="10"/>
      <c r="M111" s="10"/>
      <c r="N111" s="14"/>
      <c r="O111" s="10"/>
      <c r="P111" s="14"/>
      <c r="Q111" s="10"/>
      <c r="R111" s="8"/>
    </row>
    <row r="112" spans="4:18" ht="13" thickBot="1">
      <c r="D112">
        <v>50</v>
      </c>
      <c r="E112" s="10">
        <f t="shared" si="1"/>
        <v>50</v>
      </c>
      <c r="F112" s="16"/>
      <c r="G112" s="10"/>
      <c r="H112" s="10"/>
      <c r="I112" s="10"/>
      <c r="J112" s="14" t="s">
        <v>55</v>
      </c>
      <c r="K112" s="9" t="str">
        <f>IF(OR(J109="",J115=""),"",+IF(J109&gt;J115,I109,I115))</f>
        <v/>
      </c>
      <c r="L112" s="11"/>
      <c r="M112" s="10"/>
      <c r="N112" s="14"/>
      <c r="O112" s="10"/>
      <c r="P112" s="14"/>
      <c r="Q112" s="10"/>
      <c r="R112" s="8"/>
    </row>
    <row r="113" spans="4:18">
      <c r="E113" s="12">
        <f t="shared" si="1"/>
        <v>0</v>
      </c>
      <c r="F113" s="10"/>
      <c r="G113" s="10"/>
      <c r="H113" s="10"/>
      <c r="I113" s="10"/>
      <c r="J113" s="14"/>
      <c r="K113" s="12"/>
      <c r="L113" s="13"/>
      <c r="M113" s="10"/>
      <c r="N113" s="14"/>
      <c r="O113" s="10"/>
      <c r="P113" s="14"/>
      <c r="Q113" s="10"/>
      <c r="R113" s="8"/>
    </row>
    <row r="114" spans="4:18" ht="13" thickBot="1">
      <c r="D114">
        <v>51</v>
      </c>
      <c r="E114" s="9">
        <f t="shared" si="1"/>
        <v>51</v>
      </c>
      <c r="F114" s="9"/>
      <c r="G114" s="9">
        <f>E114</f>
        <v>51</v>
      </c>
      <c r="H114" s="11"/>
      <c r="I114" s="10"/>
      <c r="J114" s="14"/>
      <c r="K114" s="10"/>
      <c r="L114" s="14"/>
      <c r="M114" s="10"/>
      <c r="N114" s="14"/>
      <c r="O114" s="10"/>
      <c r="P114" s="14"/>
      <c r="Q114" s="10"/>
      <c r="R114" s="8"/>
    </row>
    <row r="115" spans="4:18" ht="13" thickBot="1">
      <c r="E115" s="10">
        <f t="shared" si="1"/>
        <v>0</v>
      </c>
      <c r="F115" s="10"/>
      <c r="G115" s="10"/>
      <c r="H115" s="13" t="s">
        <v>34</v>
      </c>
      <c r="I115" s="9" t="str">
        <f>IF(OR(H114="",H116=""),"",+IF(H114&gt;H116,E114,E116))</f>
        <v/>
      </c>
      <c r="J115" s="16"/>
      <c r="K115" s="10"/>
      <c r="L115" s="14"/>
      <c r="M115" s="10"/>
      <c r="N115" s="14"/>
      <c r="O115" s="10"/>
      <c r="P115" s="14"/>
      <c r="Q115" s="10"/>
      <c r="R115" s="8"/>
    </row>
    <row r="116" spans="4:18" ht="13" thickBot="1">
      <c r="D116">
        <v>52</v>
      </c>
      <c r="E116" s="9">
        <f t="shared" si="1"/>
        <v>52</v>
      </c>
      <c r="F116" s="9"/>
      <c r="G116" s="9">
        <f>E116</f>
        <v>52</v>
      </c>
      <c r="H116" s="16"/>
      <c r="I116" s="10"/>
      <c r="J116" s="10"/>
      <c r="K116" s="10"/>
      <c r="L116" s="14"/>
      <c r="M116" s="10"/>
      <c r="N116" s="14"/>
      <c r="O116" s="10"/>
      <c r="P116" s="14"/>
      <c r="Q116" s="10"/>
      <c r="R116" s="8"/>
    </row>
    <row r="117" spans="4:18" ht="13" thickBot="1">
      <c r="E117" s="10">
        <f t="shared" si="1"/>
        <v>0</v>
      </c>
      <c r="F117" s="10"/>
      <c r="G117" s="10"/>
      <c r="H117" s="10"/>
      <c r="I117" s="10"/>
      <c r="J117" s="10"/>
      <c r="K117" s="10"/>
      <c r="L117" s="14" t="s">
        <v>66</v>
      </c>
      <c r="M117" s="9" t="str">
        <f>IF(OR(L112="",L122=""),"",+IF(L112&gt;L122,K112,K122))</f>
        <v/>
      </c>
      <c r="N117" s="16"/>
      <c r="O117" s="10"/>
      <c r="P117" s="14"/>
      <c r="Q117" s="10"/>
      <c r="R117" s="8"/>
    </row>
    <row r="118" spans="4:18" ht="13" thickBot="1">
      <c r="D118">
        <v>53</v>
      </c>
      <c r="E118" s="9">
        <f t="shared" si="1"/>
        <v>53</v>
      </c>
      <c r="F118" s="9"/>
      <c r="G118" s="9">
        <f>E118</f>
        <v>53</v>
      </c>
      <c r="H118" s="11"/>
      <c r="I118" s="10"/>
      <c r="J118" s="10"/>
      <c r="K118" s="10"/>
      <c r="L118" s="14"/>
      <c r="M118" s="10"/>
      <c r="N118" s="10"/>
      <c r="O118" s="10"/>
      <c r="P118" s="14"/>
      <c r="Q118" s="10"/>
      <c r="R118" s="8"/>
    </row>
    <row r="119" spans="4:18" ht="13" thickBot="1">
      <c r="E119" s="10">
        <f t="shared" si="1"/>
        <v>0</v>
      </c>
      <c r="F119" s="10"/>
      <c r="G119" s="10"/>
      <c r="H119" s="13" t="s">
        <v>35</v>
      </c>
      <c r="I119" s="9" t="str">
        <f>IF(OR(H118="",H120=""),"",+IF(H118&gt;H120,E118,E120))</f>
        <v/>
      </c>
      <c r="J119" s="17"/>
      <c r="K119" s="10"/>
      <c r="L119" s="14"/>
      <c r="M119" s="10"/>
      <c r="N119" s="10"/>
      <c r="O119" s="10"/>
      <c r="P119" s="14"/>
      <c r="Q119" s="10"/>
      <c r="R119" s="8"/>
    </row>
    <row r="120" spans="4:18" ht="13" thickBot="1">
      <c r="D120">
        <v>54</v>
      </c>
      <c r="E120" s="9">
        <f t="shared" si="1"/>
        <v>54</v>
      </c>
      <c r="F120" s="9"/>
      <c r="G120" s="9">
        <f>E120</f>
        <v>54</v>
      </c>
      <c r="H120" s="16"/>
      <c r="I120" s="10"/>
      <c r="J120" s="13"/>
      <c r="K120" s="10"/>
      <c r="L120" s="14"/>
      <c r="M120" s="10"/>
      <c r="N120" s="10"/>
      <c r="O120" s="10"/>
      <c r="P120" s="14"/>
      <c r="Q120" s="10"/>
      <c r="R120" s="8"/>
    </row>
    <row r="121" spans="4:18">
      <c r="E121" s="10">
        <f t="shared" si="1"/>
        <v>0</v>
      </c>
      <c r="F121" s="10"/>
      <c r="G121" s="10"/>
      <c r="H121" s="10"/>
      <c r="I121" s="10"/>
      <c r="J121" s="14" t="s">
        <v>56</v>
      </c>
      <c r="K121" s="10"/>
      <c r="L121" s="14"/>
      <c r="M121" s="10"/>
      <c r="N121" s="10"/>
      <c r="O121" s="10"/>
      <c r="P121" s="14"/>
      <c r="Q121" s="10"/>
      <c r="R121" s="8"/>
    </row>
    <row r="122" spans="4:18" ht="13" thickBot="1">
      <c r="D122">
        <v>55</v>
      </c>
      <c r="E122" s="10">
        <f t="shared" si="1"/>
        <v>55</v>
      </c>
      <c r="F122" s="11"/>
      <c r="G122" s="10"/>
      <c r="H122" s="10"/>
      <c r="I122" s="10"/>
      <c r="J122" s="14"/>
      <c r="K122" s="18" t="str">
        <f>IF(OR(I119="",I124=""),"",+IF(J119&gt;J124,I119,I124))</f>
        <v/>
      </c>
      <c r="L122" s="16"/>
      <c r="M122" s="10"/>
      <c r="N122" s="10"/>
      <c r="O122" s="10"/>
      <c r="P122" s="14"/>
      <c r="Q122" s="10"/>
      <c r="R122" s="8"/>
    </row>
    <row r="123" spans="4:18" ht="13" thickBot="1">
      <c r="E123" s="12">
        <f t="shared" si="1"/>
        <v>0</v>
      </c>
      <c r="F123" s="13" t="s">
        <v>9</v>
      </c>
      <c r="G123" s="9" t="str">
        <f>IF(OR(F122="",F124=""),"",+IF(F122&gt;F124,E122,E124))</f>
        <v/>
      </c>
      <c r="H123" s="17"/>
      <c r="I123" s="10"/>
      <c r="J123" s="14"/>
      <c r="K123" s="10"/>
      <c r="L123" s="10"/>
      <c r="M123" s="10"/>
      <c r="N123" s="10"/>
      <c r="O123" s="10"/>
      <c r="P123" s="14"/>
      <c r="Q123" s="10"/>
      <c r="R123" s="8"/>
    </row>
    <row r="124" spans="4:18" ht="13" thickBot="1">
      <c r="D124">
        <v>56</v>
      </c>
      <c r="E124" s="9">
        <f t="shared" si="1"/>
        <v>56</v>
      </c>
      <c r="F124" s="16"/>
      <c r="G124" s="10"/>
      <c r="H124" s="13" t="s">
        <v>36</v>
      </c>
      <c r="I124" s="9" t="str">
        <f>IF(OR(H123="",H126=""),"",+IF(H123&gt;H126,G123,G126))</f>
        <v/>
      </c>
      <c r="J124" s="16"/>
      <c r="K124" s="10"/>
      <c r="L124" s="10"/>
      <c r="M124" s="10"/>
      <c r="N124" s="10"/>
      <c r="O124" s="10"/>
      <c r="P124" s="14"/>
      <c r="Q124" s="10"/>
      <c r="R124" s="8"/>
    </row>
    <row r="125" spans="4:18">
      <c r="E125" s="10">
        <f t="shared" si="1"/>
        <v>0</v>
      </c>
      <c r="F125" s="10"/>
      <c r="G125" s="10"/>
      <c r="H125" s="14"/>
      <c r="I125" s="10"/>
      <c r="J125" s="10"/>
      <c r="K125" s="10"/>
      <c r="L125" s="10"/>
      <c r="M125" s="10"/>
      <c r="N125" s="10"/>
      <c r="O125" s="10"/>
      <c r="P125" s="14"/>
      <c r="Q125" s="10"/>
      <c r="R125" s="8"/>
    </row>
    <row r="126" spans="4:18" ht="13" thickBot="1">
      <c r="D126">
        <v>57</v>
      </c>
      <c r="E126" s="9">
        <f t="shared" si="1"/>
        <v>57</v>
      </c>
      <c r="F126" s="9"/>
      <c r="G126" s="9">
        <f>E126</f>
        <v>57</v>
      </c>
      <c r="H126" s="16"/>
      <c r="I126" s="10"/>
      <c r="J126" s="10"/>
      <c r="K126" s="10"/>
      <c r="L126" s="10"/>
      <c r="M126" s="10"/>
      <c r="N126" s="10"/>
      <c r="O126" s="10"/>
      <c r="P126" s="14"/>
      <c r="Q126" s="10"/>
      <c r="R126" s="8"/>
    </row>
    <row r="127" spans="4:18" ht="13" thickBot="1">
      <c r="E127" s="10">
        <f t="shared" si="1"/>
        <v>0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4" t="s">
        <v>74</v>
      </c>
      <c r="Q127" s="9" t="str">
        <f>IF(OR(P107="",P147=""),"",+IF(P107&gt;P147,O107,O147))</f>
        <v/>
      </c>
      <c r="R127" s="8"/>
    </row>
    <row r="128" spans="4:18" ht="13" thickBot="1">
      <c r="D128">
        <v>58</v>
      </c>
      <c r="E128" s="9">
        <f t="shared" si="1"/>
        <v>58</v>
      </c>
      <c r="F128" s="9"/>
      <c r="G128" s="9">
        <f>E128</f>
        <v>58</v>
      </c>
      <c r="H128" s="11"/>
      <c r="I128" s="10"/>
      <c r="J128" s="10"/>
      <c r="K128" s="10"/>
      <c r="L128" s="10"/>
      <c r="M128" s="10"/>
      <c r="N128" s="10"/>
      <c r="O128" s="10"/>
      <c r="P128" s="14"/>
      <c r="Q128" s="10"/>
    </row>
    <row r="129" spans="4:17">
      <c r="E129" s="12">
        <f t="shared" si="1"/>
        <v>0</v>
      </c>
      <c r="F129" s="10"/>
      <c r="G129" s="10"/>
      <c r="H129" s="13"/>
      <c r="I129" s="10"/>
      <c r="J129" s="10"/>
      <c r="K129" s="10"/>
      <c r="L129" s="10"/>
      <c r="M129" s="10"/>
      <c r="N129" s="10"/>
      <c r="O129" s="10"/>
      <c r="P129" s="14"/>
      <c r="Q129" s="10"/>
    </row>
    <row r="130" spans="4:17" ht="13" thickBot="1">
      <c r="E130" s="10">
        <f t="shared" si="1"/>
        <v>0</v>
      </c>
      <c r="F130" s="10"/>
      <c r="G130" s="10"/>
      <c r="H130" s="14" t="s">
        <v>37</v>
      </c>
      <c r="I130" s="9" t="str">
        <f>IF(OR(H128="",H132=""),"",+IF(H128&gt;H132,E128,G132))</f>
        <v/>
      </c>
      <c r="J130" s="11"/>
      <c r="K130" s="10"/>
      <c r="L130" s="10"/>
      <c r="M130" s="10"/>
      <c r="N130" s="10"/>
      <c r="O130" s="10"/>
      <c r="P130" s="14"/>
      <c r="Q130" s="10"/>
    </row>
    <row r="131" spans="4:17" ht="13" thickBot="1">
      <c r="D131">
        <v>59</v>
      </c>
      <c r="E131" s="10">
        <f t="shared" si="1"/>
        <v>59</v>
      </c>
      <c r="F131" s="11"/>
      <c r="G131" s="10"/>
      <c r="H131" s="14"/>
      <c r="I131" s="10"/>
      <c r="J131" s="13"/>
      <c r="K131" s="10"/>
      <c r="L131" s="10"/>
      <c r="M131" s="10"/>
      <c r="N131" s="10"/>
      <c r="O131" s="10"/>
      <c r="P131" s="14"/>
      <c r="Q131" s="10"/>
    </row>
    <row r="132" spans="4:17" ht="13" thickBot="1">
      <c r="E132" s="12">
        <f t="shared" si="1"/>
        <v>0</v>
      </c>
      <c r="F132" s="13" t="s">
        <v>10</v>
      </c>
      <c r="G132" s="9" t="str">
        <f>IF(OR(F131="",F133=""),"",+IF(F131&gt;F133,E131,E133))</f>
        <v/>
      </c>
      <c r="H132" s="16"/>
      <c r="I132" s="10"/>
      <c r="J132" s="14"/>
      <c r="K132" s="10"/>
      <c r="L132" s="10"/>
      <c r="M132" s="10"/>
      <c r="N132" s="10"/>
      <c r="O132" s="10"/>
      <c r="P132" s="14"/>
      <c r="Q132" s="10"/>
    </row>
    <row r="133" spans="4:17" ht="13" thickBot="1">
      <c r="D133">
        <v>60</v>
      </c>
      <c r="E133" s="10">
        <f t="shared" si="1"/>
        <v>60</v>
      </c>
      <c r="F133" s="16"/>
      <c r="G133" s="10"/>
      <c r="H133" s="10"/>
      <c r="I133" s="10"/>
      <c r="J133" s="14" t="s">
        <v>57</v>
      </c>
      <c r="K133" s="9" t="str">
        <f>IF(OR(J130="",J136=""),"",+IF(J130&gt;J136,I130,I136))</f>
        <v/>
      </c>
      <c r="L133" s="17"/>
      <c r="M133" s="10"/>
      <c r="N133" s="10"/>
      <c r="O133" s="10"/>
      <c r="P133" s="14"/>
      <c r="Q133" s="10"/>
    </row>
    <row r="134" spans="4:17">
      <c r="E134" s="12">
        <f t="shared" si="1"/>
        <v>0</v>
      </c>
      <c r="F134" s="10"/>
      <c r="G134" s="10"/>
      <c r="H134" s="10"/>
      <c r="I134" s="10"/>
      <c r="J134" s="14"/>
      <c r="K134" s="10"/>
      <c r="L134" s="10"/>
      <c r="M134" s="19"/>
      <c r="N134" s="10"/>
      <c r="O134" s="10"/>
      <c r="P134" s="14"/>
      <c r="Q134" s="10"/>
    </row>
    <row r="135" spans="4:17" ht="13" thickBot="1">
      <c r="D135">
        <v>61</v>
      </c>
      <c r="E135" s="9">
        <f t="shared" si="1"/>
        <v>61</v>
      </c>
      <c r="F135" s="9"/>
      <c r="G135" s="9">
        <f>E135</f>
        <v>61</v>
      </c>
      <c r="H135" s="11"/>
      <c r="I135" s="10"/>
      <c r="J135" s="14"/>
      <c r="K135" s="10"/>
      <c r="L135" s="10"/>
      <c r="M135" s="19"/>
      <c r="N135" s="10"/>
      <c r="O135" s="10"/>
      <c r="P135" s="14"/>
      <c r="Q135" s="10"/>
    </row>
    <row r="136" spans="4:17" ht="13" thickBot="1">
      <c r="E136" s="10">
        <f t="shared" ref="E136:E166" si="2">D136</f>
        <v>0</v>
      </c>
      <c r="F136" s="10"/>
      <c r="G136" s="10"/>
      <c r="H136" s="13" t="s">
        <v>38</v>
      </c>
      <c r="I136" s="9" t="str">
        <f>IF(OR(H135="",H137=""),"",+IF(H135&gt;H137,E135,E137))</f>
        <v/>
      </c>
      <c r="J136" s="16"/>
      <c r="K136" s="10"/>
      <c r="L136" s="10"/>
      <c r="M136" s="19"/>
      <c r="N136" s="10"/>
      <c r="O136" s="10"/>
      <c r="P136" s="14"/>
      <c r="Q136" s="10"/>
    </row>
    <row r="137" spans="4:17" ht="13" thickBot="1">
      <c r="D137">
        <v>62</v>
      </c>
      <c r="E137" s="9">
        <f t="shared" si="2"/>
        <v>62</v>
      </c>
      <c r="F137" s="9"/>
      <c r="G137" s="9">
        <f>E137</f>
        <v>62</v>
      </c>
      <c r="H137" s="16"/>
      <c r="I137" s="10"/>
      <c r="J137" s="10"/>
      <c r="K137" s="10"/>
      <c r="L137" s="10"/>
      <c r="M137" s="19"/>
      <c r="N137" s="10"/>
      <c r="O137" s="10"/>
      <c r="P137" s="14"/>
      <c r="Q137" s="10"/>
    </row>
    <row r="138" spans="4:17" ht="13" thickBot="1">
      <c r="E138" s="10">
        <f t="shared" si="2"/>
        <v>0</v>
      </c>
      <c r="F138" s="10"/>
      <c r="G138" s="10"/>
      <c r="H138" s="10"/>
      <c r="I138" s="10"/>
      <c r="J138" s="10"/>
      <c r="K138" s="10"/>
      <c r="L138" s="14" t="s">
        <v>67</v>
      </c>
      <c r="M138" s="9" t="str">
        <f>IF(OR(L133="",L142=""),"",+IF(L133&gt;L142,K133,K142))</f>
        <v/>
      </c>
      <c r="N138" s="17"/>
      <c r="O138" s="10"/>
      <c r="P138" s="14"/>
      <c r="Q138" s="10"/>
    </row>
    <row r="139" spans="4:17" ht="13" thickBot="1">
      <c r="D139">
        <v>63</v>
      </c>
      <c r="E139" s="9">
        <f t="shared" si="2"/>
        <v>63</v>
      </c>
      <c r="F139" s="9"/>
      <c r="G139" s="9">
        <f>E139</f>
        <v>63</v>
      </c>
      <c r="H139" s="11"/>
      <c r="I139" s="10"/>
      <c r="J139" s="10"/>
      <c r="K139" s="10"/>
      <c r="L139" s="10"/>
      <c r="M139" s="19"/>
      <c r="N139" s="13"/>
      <c r="O139" s="10"/>
      <c r="P139" s="14"/>
      <c r="Q139" s="10"/>
    </row>
    <row r="140" spans="4:17" ht="13" thickBot="1">
      <c r="E140" s="10">
        <f t="shared" si="2"/>
        <v>0</v>
      </c>
      <c r="F140" s="10"/>
      <c r="G140" s="12"/>
      <c r="H140" s="13" t="s">
        <v>39</v>
      </c>
      <c r="I140" s="9" t="str">
        <f>IF(OR(H139="",H141=""),"",+IF(H139&gt;H141,E139,E141))</f>
        <v/>
      </c>
      <c r="J140" s="17"/>
      <c r="K140" s="10"/>
      <c r="L140" s="10"/>
      <c r="M140" s="19"/>
      <c r="N140" s="14"/>
      <c r="O140" s="10"/>
      <c r="P140" s="14"/>
      <c r="Q140" s="10"/>
    </row>
    <row r="141" spans="4:17" ht="13" thickBot="1">
      <c r="D141">
        <v>64</v>
      </c>
      <c r="E141" s="9">
        <f t="shared" si="2"/>
        <v>64</v>
      </c>
      <c r="F141" s="9"/>
      <c r="G141" s="9">
        <f>E141</f>
        <v>64</v>
      </c>
      <c r="H141" s="16"/>
      <c r="I141" s="10"/>
      <c r="J141" s="14"/>
      <c r="K141" s="10"/>
      <c r="L141" s="10"/>
      <c r="M141" s="19"/>
      <c r="N141" s="14"/>
      <c r="O141" s="10"/>
      <c r="P141" s="14"/>
      <c r="Q141" s="10"/>
    </row>
    <row r="142" spans="4:17" ht="13" thickBot="1">
      <c r="E142" s="10">
        <f t="shared" si="2"/>
        <v>0</v>
      </c>
      <c r="F142" s="10"/>
      <c r="G142" s="12"/>
      <c r="H142" s="10"/>
      <c r="I142" s="10"/>
      <c r="J142" s="14" t="s">
        <v>58</v>
      </c>
      <c r="K142" s="9" t="str">
        <f>IF(OR(J140="",J144=""),"",+IF(J140&gt;J144,I140,I144))</f>
        <v/>
      </c>
      <c r="L142" s="16"/>
      <c r="M142" s="19"/>
      <c r="N142" s="14"/>
      <c r="O142" s="10"/>
      <c r="P142" s="14"/>
      <c r="Q142" s="10"/>
    </row>
    <row r="143" spans="4:17" ht="13" thickBot="1">
      <c r="D143">
        <v>65</v>
      </c>
      <c r="E143" s="9">
        <f t="shared" si="2"/>
        <v>65</v>
      </c>
      <c r="F143" s="9"/>
      <c r="G143" s="9">
        <f>E143</f>
        <v>65</v>
      </c>
      <c r="H143" s="11"/>
      <c r="I143" s="10"/>
      <c r="J143" s="14"/>
      <c r="K143" s="10"/>
      <c r="L143" s="10"/>
      <c r="M143" s="10"/>
      <c r="N143" s="14"/>
      <c r="O143" s="10"/>
      <c r="P143" s="14"/>
      <c r="Q143" s="10"/>
    </row>
    <row r="144" spans="4:17" ht="13" thickBot="1">
      <c r="E144" s="10">
        <f t="shared" si="2"/>
        <v>0</v>
      </c>
      <c r="F144" s="10"/>
      <c r="G144" s="12"/>
      <c r="H144" s="13" t="s">
        <v>40</v>
      </c>
      <c r="I144" s="9" t="str">
        <f>IF(OR(H143="",H145=""),"",+IF(H143&gt;H145,E143,E145))</f>
        <v/>
      </c>
      <c r="J144" s="16"/>
      <c r="K144" s="10"/>
      <c r="L144" s="10"/>
      <c r="M144" s="10"/>
      <c r="N144" s="14"/>
      <c r="O144" s="10"/>
      <c r="P144" s="14"/>
      <c r="Q144" s="10"/>
    </row>
    <row r="145" spans="4:17" ht="13" thickBot="1">
      <c r="D145">
        <v>66</v>
      </c>
      <c r="E145" s="9">
        <f t="shared" si="2"/>
        <v>66</v>
      </c>
      <c r="F145" s="9"/>
      <c r="G145" s="9">
        <f>E145</f>
        <v>66</v>
      </c>
      <c r="H145" s="16"/>
      <c r="I145" s="10"/>
      <c r="J145" s="10"/>
      <c r="K145" s="10"/>
      <c r="L145" s="10"/>
      <c r="M145" s="10"/>
      <c r="N145" s="14"/>
      <c r="O145" s="10"/>
      <c r="P145" s="14"/>
      <c r="Q145" s="10"/>
    </row>
    <row r="146" spans="4:17">
      <c r="E146" s="10">
        <f t="shared" si="2"/>
        <v>0</v>
      </c>
      <c r="F146" s="10"/>
      <c r="G146" s="10"/>
      <c r="H146" s="10"/>
      <c r="I146" s="10"/>
      <c r="J146" s="10"/>
      <c r="K146" s="10"/>
      <c r="L146" s="10"/>
      <c r="M146" s="10"/>
      <c r="N146" s="14"/>
      <c r="O146" s="10"/>
      <c r="P146" s="14"/>
      <c r="Q146" s="10"/>
    </row>
    <row r="147" spans="4:17" ht="13" thickBot="1">
      <c r="D147">
        <v>67</v>
      </c>
      <c r="E147" s="10">
        <f t="shared" si="2"/>
        <v>67</v>
      </c>
      <c r="F147" s="9"/>
      <c r="G147" s="9">
        <f>E147</f>
        <v>67</v>
      </c>
      <c r="H147" s="11"/>
      <c r="I147" s="10"/>
      <c r="J147" s="10"/>
      <c r="K147" s="10"/>
      <c r="L147" s="10"/>
      <c r="M147" s="10"/>
      <c r="N147" s="14" t="s">
        <v>72</v>
      </c>
      <c r="O147" s="9" t="str">
        <f>IF(OR(N138="",N157=""),"",+IF(N138&gt;N157,M138,M157))</f>
        <v/>
      </c>
      <c r="P147" s="16"/>
      <c r="Q147" s="10"/>
    </row>
    <row r="148" spans="4:17">
      <c r="E148" s="12">
        <f t="shared" si="2"/>
        <v>0</v>
      </c>
      <c r="F148" s="10"/>
      <c r="G148" s="10"/>
      <c r="H148" s="13"/>
      <c r="I148" s="10"/>
      <c r="J148" s="10"/>
      <c r="K148" s="10"/>
      <c r="L148" s="10"/>
      <c r="M148" s="10"/>
      <c r="N148" s="14"/>
      <c r="O148" s="10"/>
      <c r="P148" s="10"/>
      <c r="Q148" s="10"/>
    </row>
    <row r="149" spans="4:17" ht="13" thickBot="1">
      <c r="E149" s="10">
        <f t="shared" si="2"/>
        <v>0</v>
      </c>
      <c r="F149" s="10"/>
      <c r="G149" s="10"/>
      <c r="H149" s="14" t="s">
        <v>41</v>
      </c>
      <c r="I149" s="9" t="str">
        <f>IF(OR(H147="",H151=""),"",+IF(H147&gt;H151,G147,G151))</f>
        <v/>
      </c>
      <c r="J149" s="11"/>
      <c r="K149" s="10"/>
      <c r="L149" s="10"/>
      <c r="M149" s="10"/>
      <c r="N149" s="14"/>
      <c r="O149" s="10"/>
      <c r="P149" s="10"/>
      <c r="Q149" s="10"/>
    </row>
    <row r="150" spans="4:17" ht="13" thickBot="1">
      <c r="D150">
        <v>68</v>
      </c>
      <c r="E150" s="10">
        <f t="shared" si="2"/>
        <v>68</v>
      </c>
      <c r="F150" s="11"/>
      <c r="G150" s="10"/>
      <c r="H150" s="14"/>
      <c r="I150" s="10"/>
      <c r="J150" s="13"/>
      <c r="K150" s="10"/>
      <c r="L150" s="10"/>
      <c r="M150" s="10"/>
      <c r="N150" s="14"/>
      <c r="O150" s="10"/>
      <c r="P150" s="10"/>
      <c r="Q150" s="10"/>
    </row>
    <row r="151" spans="4:17" ht="13" thickBot="1">
      <c r="E151" s="12">
        <f t="shared" si="2"/>
        <v>0</v>
      </c>
      <c r="F151" s="13" t="s">
        <v>11</v>
      </c>
      <c r="G151" s="9" t="str">
        <f>IF(OR(F150="",F152=""),"",+IF(F150&gt;F152,E150,E152))</f>
        <v/>
      </c>
      <c r="H151" s="16"/>
      <c r="I151" s="10"/>
      <c r="J151" s="14"/>
      <c r="K151" s="10"/>
      <c r="L151" s="10"/>
      <c r="M151" s="10"/>
      <c r="N151" s="14"/>
      <c r="O151" s="10"/>
      <c r="P151" s="10"/>
      <c r="Q151" s="10"/>
    </row>
    <row r="152" spans="4:17" ht="13" thickBot="1">
      <c r="D152">
        <v>69</v>
      </c>
      <c r="E152" s="10">
        <f t="shared" si="2"/>
        <v>69</v>
      </c>
      <c r="F152" s="16"/>
      <c r="G152" s="10"/>
      <c r="H152" s="10"/>
      <c r="I152" s="10"/>
      <c r="J152" s="14" t="s">
        <v>59</v>
      </c>
      <c r="K152" s="9" t="str">
        <f>IF(OR(J149="",J155=""),"",+IF(J149&gt;J155,I149,I155))</f>
        <v/>
      </c>
      <c r="L152" s="11"/>
      <c r="M152" s="10"/>
      <c r="N152" s="14"/>
      <c r="O152" s="10"/>
      <c r="P152" s="10"/>
      <c r="Q152" s="10"/>
    </row>
    <row r="153" spans="4:17">
      <c r="E153" s="12">
        <f t="shared" si="2"/>
        <v>0</v>
      </c>
      <c r="F153" s="10"/>
      <c r="G153" s="10"/>
      <c r="H153" s="10"/>
      <c r="I153" s="10"/>
      <c r="J153" s="14"/>
      <c r="K153" s="12"/>
      <c r="L153" s="13"/>
      <c r="M153" s="10"/>
      <c r="N153" s="14"/>
      <c r="O153" s="10"/>
      <c r="P153" s="10"/>
      <c r="Q153" s="10"/>
    </row>
    <row r="154" spans="4:17" ht="13" thickBot="1">
      <c r="D154">
        <v>70</v>
      </c>
      <c r="E154" s="9">
        <f t="shared" si="2"/>
        <v>70</v>
      </c>
      <c r="F154" s="9"/>
      <c r="G154" s="9">
        <f>E154</f>
        <v>70</v>
      </c>
      <c r="H154" s="11"/>
      <c r="I154" s="10"/>
      <c r="J154" s="14"/>
      <c r="K154" s="10"/>
      <c r="L154" s="14"/>
      <c r="M154" s="10"/>
      <c r="N154" s="14"/>
      <c r="O154" s="10"/>
      <c r="P154" s="10"/>
      <c r="Q154" s="10"/>
    </row>
    <row r="155" spans="4:17" ht="13" thickBot="1">
      <c r="E155" s="10">
        <f t="shared" si="2"/>
        <v>0</v>
      </c>
      <c r="F155" s="10"/>
      <c r="G155" s="10"/>
      <c r="H155" s="13" t="s">
        <v>42</v>
      </c>
      <c r="I155" s="9" t="str">
        <f>IF(OR(H154="",H156=""),"",+IF(H154&gt;H156,E154,E156))</f>
        <v/>
      </c>
      <c r="J155" s="16"/>
      <c r="K155" s="10"/>
      <c r="L155" s="14"/>
      <c r="M155" s="10"/>
      <c r="N155" s="14"/>
      <c r="O155" s="10"/>
      <c r="P155" s="10"/>
      <c r="Q155" s="10"/>
    </row>
    <row r="156" spans="4:17" ht="13" thickBot="1">
      <c r="D156">
        <v>71</v>
      </c>
      <c r="E156" s="9">
        <f t="shared" si="2"/>
        <v>71</v>
      </c>
      <c r="F156" s="9"/>
      <c r="G156" s="9">
        <f>E156</f>
        <v>71</v>
      </c>
      <c r="H156" s="16"/>
      <c r="I156" s="10"/>
      <c r="J156" s="10"/>
      <c r="K156" s="10"/>
      <c r="L156" s="14"/>
      <c r="M156" s="10"/>
      <c r="N156" s="14"/>
      <c r="O156" s="10"/>
      <c r="P156" s="10"/>
      <c r="Q156" s="10"/>
    </row>
    <row r="157" spans="4:17" ht="13" thickBot="1">
      <c r="E157" s="10">
        <f t="shared" si="2"/>
        <v>0</v>
      </c>
      <c r="F157" s="10"/>
      <c r="G157" s="10"/>
      <c r="H157" s="10"/>
      <c r="I157" s="10"/>
      <c r="J157" s="10"/>
      <c r="K157" s="10"/>
      <c r="L157" s="14" t="s">
        <v>68</v>
      </c>
      <c r="M157" s="9" t="str">
        <f>IF(OR(L152="",L162=""),"",+IF(L152&gt;L162,K152,K162))</f>
        <v/>
      </c>
      <c r="N157" s="16"/>
      <c r="O157" s="10"/>
      <c r="P157" s="10"/>
      <c r="Q157" s="10"/>
    </row>
    <row r="158" spans="4:17" ht="13" thickBot="1">
      <c r="D158">
        <v>72</v>
      </c>
      <c r="E158" s="9">
        <f t="shared" si="2"/>
        <v>72</v>
      </c>
      <c r="F158" s="9"/>
      <c r="G158" s="9">
        <f>E158</f>
        <v>72</v>
      </c>
      <c r="H158" s="11"/>
      <c r="I158" s="10"/>
      <c r="J158" s="10"/>
      <c r="K158" s="10"/>
      <c r="L158" s="14"/>
      <c r="M158" s="10"/>
      <c r="N158" s="10"/>
      <c r="O158" s="10"/>
      <c r="P158" s="10"/>
      <c r="Q158" s="10"/>
    </row>
    <row r="159" spans="4:17" ht="13" thickBot="1">
      <c r="E159" s="10">
        <f t="shared" si="2"/>
        <v>0</v>
      </c>
      <c r="F159" s="10"/>
      <c r="G159" s="10"/>
      <c r="H159" s="13" t="s">
        <v>43</v>
      </c>
      <c r="I159" s="9" t="str">
        <f>IF(OR(H158="",H160=""),"",+IF(H158&gt;H160,E158,E160))</f>
        <v/>
      </c>
      <c r="J159" s="17"/>
      <c r="K159" s="10"/>
      <c r="L159" s="14"/>
      <c r="M159" s="10"/>
      <c r="N159" s="10"/>
      <c r="O159" s="10"/>
      <c r="P159" s="10"/>
      <c r="Q159" s="10"/>
    </row>
    <row r="160" spans="4:17" ht="13" thickBot="1">
      <c r="D160">
        <v>73</v>
      </c>
      <c r="E160" s="9">
        <f t="shared" si="2"/>
        <v>73</v>
      </c>
      <c r="F160" s="9"/>
      <c r="G160" s="9">
        <f>E160</f>
        <v>73</v>
      </c>
      <c r="H160" s="16"/>
      <c r="I160" s="10"/>
      <c r="J160" s="13"/>
      <c r="K160" s="10"/>
      <c r="L160" s="14"/>
      <c r="M160" s="10"/>
      <c r="N160" s="10"/>
      <c r="O160" s="10"/>
      <c r="P160" s="10"/>
      <c r="Q160" s="10"/>
    </row>
    <row r="161" spans="4:17">
      <c r="E161" s="10">
        <f t="shared" si="2"/>
        <v>0</v>
      </c>
      <c r="F161" s="10"/>
      <c r="G161" s="10"/>
      <c r="H161" s="10"/>
      <c r="I161" s="10"/>
      <c r="J161" s="14"/>
      <c r="K161" s="10"/>
      <c r="L161" s="14"/>
      <c r="M161" s="10"/>
      <c r="N161" s="10"/>
      <c r="O161" s="10"/>
      <c r="P161" s="10"/>
      <c r="Q161" s="10"/>
    </row>
    <row r="162" spans="4:17" ht="13" thickBot="1">
      <c r="D162">
        <v>74</v>
      </c>
      <c r="E162" s="10">
        <f t="shared" si="2"/>
        <v>74</v>
      </c>
      <c r="F162" s="11"/>
      <c r="G162" s="10"/>
      <c r="H162" s="10"/>
      <c r="I162" s="10"/>
      <c r="J162" s="14" t="s">
        <v>60</v>
      </c>
      <c r="K162" s="18" t="str">
        <f>IF(OR(I159="",I164=""),"",+IF(J159&gt;J164,I159,I164))</f>
        <v/>
      </c>
      <c r="L162" s="16"/>
      <c r="M162" s="10"/>
      <c r="N162" s="10"/>
      <c r="O162" s="10"/>
      <c r="P162" s="10"/>
      <c r="Q162" s="10"/>
    </row>
    <row r="163" spans="4:17" ht="13" thickBot="1">
      <c r="E163" s="12">
        <f t="shared" si="2"/>
        <v>0</v>
      </c>
      <c r="F163" s="13" t="s">
        <v>12</v>
      </c>
      <c r="G163" s="9" t="str">
        <f>IF(OR(F162="",F164=""),"",+IF(F162&gt;F164,E162,E164))</f>
        <v/>
      </c>
      <c r="H163" s="17"/>
      <c r="I163" s="10"/>
      <c r="J163" s="14"/>
      <c r="K163" s="10"/>
      <c r="L163" s="10"/>
      <c r="M163" s="10"/>
      <c r="N163" s="10"/>
      <c r="O163" s="10"/>
      <c r="P163" s="10"/>
      <c r="Q163" s="10"/>
    </row>
    <row r="164" spans="4:17" ht="13" thickBot="1">
      <c r="D164">
        <v>75</v>
      </c>
      <c r="E164" s="9">
        <f t="shared" si="2"/>
        <v>75</v>
      </c>
      <c r="F164" s="16"/>
      <c r="G164" s="10"/>
      <c r="H164" s="13"/>
      <c r="I164" s="9" t="str">
        <f>IF(OR(H163="",H166=""),"",+IF(H163&gt;H166,G163,G166))</f>
        <v/>
      </c>
      <c r="J164" s="16"/>
      <c r="K164" s="10"/>
      <c r="L164" s="10"/>
      <c r="M164" s="10"/>
      <c r="N164" s="10"/>
      <c r="O164" s="10"/>
      <c r="P164" s="10"/>
      <c r="Q164" s="10"/>
    </row>
    <row r="165" spans="4:17">
      <c r="E165" s="10">
        <f t="shared" si="2"/>
        <v>0</v>
      </c>
      <c r="F165" s="10"/>
      <c r="G165" s="10"/>
      <c r="H165" s="14" t="s">
        <v>44</v>
      </c>
      <c r="I165" s="10"/>
      <c r="J165" s="10"/>
      <c r="K165" s="10"/>
      <c r="L165" s="10"/>
      <c r="M165" s="10"/>
      <c r="N165" s="10"/>
      <c r="O165" s="10"/>
      <c r="P165" s="10"/>
      <c r="Q165" s="10"/>
    </row>
    <row r="166" spans="4:17" ht="13" thickBot="1">
      <c r="D166">
        <v>76</v>
      </c>
      <c r="E166" s="9">
        <f t="shared" si="2"/>
        <v>76</v>
      </c>
      <c r="F166" s="9"/>
      <c r="G166" s="9">
        <f>E166</f>
        <v>76</v>
      </c>
      <c r="H166" s="16"/>
      <c r="I166" s="10"/>
      <c r="J166" s="10"/>
      <c r="K166" s="10"/>
      <c r="L166" s="10"/>
      <c r="M166" s="10"/>
      <c r="N166" s="10"/>
      <c r="O166" s="10"/>
      <c r="P166" s="10"/>
      <c r="Q166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9"/>
  <dimension ref="D4:AG163"/>
  <sheetViews>
    <sheetView showGridLines="0" topLeftCell="A61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6" max="16" width="3.87890625" customWidth="1"/>
    <col min="21" max="21" width="8.87890625" style="28" bestFit="1" customWidth="1"/>
    <col min="22" max="22" width="2.41015625" customWidth="1"/>
    <col min="23" max="23" width="8.64453125" style="29" bestFit="1" customWidth="1"/>
    <col min="27" max="27" width="7.52734375" bestFit="1" customWidth="1"/>
    <col min="28" max="28" width="6.52734375" bestFit="1" customWidth="1"/>
    <col min="29" max="29" width="2.3515625" bestFit="1" customWidth="1"/>
    <col min="30" max="30" width="3.11718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2</v>
      </c>
      <c r="V5" t="s">
        <v>77</v>
      </c>
      <c r="W5" s="29">
        <f>E12</f>
        <v>3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E38</f>
        <v>16</v>
      </c>
      <c r="V6" t="s">
        <v>77</v>
      </c>
      <c r="W6" s="29">
        <f>E40</f>
        <v>17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>
        <f>D7</f>
        <v>1</v>
      </c>
      <c r="F7" s="9"/>
      <c r="G7" s="9">
        <f>E7</f>
        <v>1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E47</f>
        <v>20</v>
      </c>
      <c r="V7" t="s">
        <v>77</v>
      </c>
      <c r="W7" s="29">
        <f>E49</f>
        <v>21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>
        <f t="shared" ref="E8:E71" si="0">D8</f>
        <v>0</v>
      </c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E66</f>
        <v>29</v>
      </c>
      <c r="V8" t="s">
        <v>77</v>
      </c>
      <c r="W8" s="29">
        <f>E68</f>
        <v>30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>
        <f t="shared" si="0"/>
        <v>0</v>
      </c>
      <c r="F9" s="10"/>
      <c r="G9" s="10"/>
      <c r="H9" s="14" t="s">
        <v>12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E78</f>
        <v>35</v>
      </c>
      <c r="V9" t="s">
        <v>77</v>
      </c>
      <c r="W9" s="29">
        <f>E80</f>
        <v>36</v>
      </c>
      <c r="Z9" s="34"/>
      <c r="AA9" s="40"/>
      <c r="AB9" s="40"/>
      <c r="AC9" s="38" t="s">
        <v>159</v>
      </c>
      <c r="AD9" s="48"/>
      <c r="AE9" s="53" t="e">
        <f>LOOKUP(AD9,T$5:T$80,U$5:U$80)</f>
        <v>#N/A</v>
      </c>
      <c r="AF9" s="37" t="s">
        <v>157</v>
      </c>
      <c r="AG9" s="65" t="e">
        <f>LOOKUP(AD9,T$5:T$80,W$5:W$80)</f>
        <v>#N/A</v>
      </c>
    </row>
    <row r="10" spans="4:33" ht="13" thickBot="1">
      <c r="D10">
        <v>2</v>
      </c>
      <c r="E10" s="10">
        <f t="shared" si="0"/>
        <v>2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E88</f>
        <v>39</v>
      </c>
      <c r="V10" t="s">
        <v>77</v>
      </c>
      <c r="W10" s="29">
        <f>E90</f>
        <v>40</v>
      </c>
      <c r="Z10" s="34"/>
      <c r="AA10" s="40"/>
      <c r="AB10" s="40"/>
      <c r="AC10" s="38" t="s">
        <v>159</v>
      </c>
      <c r="AD10" s="48"/>
      <c r="AE10" s="53" t="e">
        <f>LOOKUP(AD10,T$5:T$80,U$5:U$80)</f>
        <v>#N/A</v>
      </c>
      <c r="AF10" s="37" t="s">
        <v>157</v>
      </c>
      <c r="AG10" s="65" t="e">
        <f>LOOKUP(AD10,T$5:T$80,W$5:W$80)</f>
        <v>#N/A</v>
      </c>
    </row>
    <row r="11" spans="4:33" ht="13" thickBot="1">
      <c r="E11" s="12">
        <f t="shared" si="0"/>
        <v>0</v>
      </c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E107</f>
        <v>48</v>
      </c>
      <c r="V11" t="s">
        <v>77</v>
      </c>
      <c r="W11" s="29">
        <f>E109</f>
        <v>49</v>
      </c>
      <c r="Z11" s="34"/>
      <c r="AA11" s="40"/>
      <c r="AB11" s="40"/>
      <c r="AC11" s="38" t="s">
        <v>159</v>
      </c>
      <c r="AD11" s="48"/>
      <c r="AE11" s="53" t="e">
        <f>LOOKUP(AD11,T$5:T$80,U$5:U$80)</f>
        <v>#N/A</v>
      </c>
      <c r="AF11" s="37" t="s">
        <v>157</v>
      </c>
      <c r="AG11" s="65" t="e">
        <f>LOOKUP(AD11,T$5:T$80,W$5:W$80)</f>
        <v>#N/A</v>
      </c>
    </row>
    <row r="12" spans="4:33" ht="13" thickBot="1">
      <c r="D12">
        <v>3</v>
      </c>
      <c r="E12" s="10">
        <f t="shared" si="0"/>
        <v>3</v>
      </c>
      <c r="F12" s="16"/>
      <c r="G12" s="10"/>
      <c r="H12" s="10"/>
      <c r="I12" s="10"/>
      <c r="J12" s="14" t="s">
        <v>44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E119</f>
        <v>54</v>
      </c>
      <c r="V12" t="s">
        <v>77</v>
      </c>
      <c r="W12" s="29">
        <f>E121</f>
        <v>55</v>
      </c>
      <c r="Z12" s="34"/>
      <c r="AA12" s="40"/>
      <c r="AB12" s="40"/>
      <c r="AC12" s="38" t="s">
        <v>159</v>
      </c>
      <c r="AD12" s="48"/>
      <c r="AE12" s="53" t="e">
        <f>LOOKUP(AD12,T$5:T$80,U$5:U$80)</f>
        <v>#N/A</v>
      </c>
      <c r="AF12" s="37" t="s">
        <v>157</v>
      </c>
      <c r="AG12" s="65" t="e">
        <f>LOOKUP(AD12,T$5:T$80,W$5:W$80)</f>
        <v>#N/A</v>
      </c>
    </row>
    <row r="13" spans="4:33">
      <c r="E13" s="12">
        <f t="shared" si="0"/>
        <v>0</v>
      </c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E128</f>
        <v>58</v>
      </c>
      <c r="V13" t="s">
        <v>77</v>
      </c>
      <c r="W13" s="29">
        <f>E130</f>
        <v>59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>
        <f t="shared" si="0"/>
        <v>4</v>
      </c>
      <c r="F14" s="9"/>
      <c r="G14" s="9">
        <f>E14</f>
        <v>4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E147</f>
        <v>67</v>
      </c>
      <c r="V14" t="s">
        <v>77</v>
      </c>
      <c r="W14" s="29">
        <f>E149</f>
        <v>68</v>
      </c>
      <c r="Z14" s="34"/>
      <c r="AA14" s="40"/>
      <c r="AB14" s="40"/>
      <c r="AC14" s="38" t="s">
        <v>159</v>
      </c>
      <c r="AD14" s="48"/>
      <c r="AE14" s="53" t="e">
        <f>LOOKUP(AD14,T$5:T$80,U$5:U$80)</f>
        <v>#N/A</v>
      </c>
      <c r="AF14" s="37" t="s">
        <v>157</v>
      </c>
      <c r="AG14" s="65" t="e">
        <f>LOOKUP(AD14,T$5:T$80,W$5:W$80)</f>
        <v>#N/A</v>
      </c>
    </row>
    <row r="15" spans="4:33" ht="13" thickBot="1">
      <c r="E15" s="10">
        <f t="shared" si="0"/>
        <v>0</v>
      </c>
      <c r="F15" s="10"/>
      <c r="G15" s="10"/>
      <c r="H15" s="13" t="s">
        <v>13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E159</f>
        <v>73</v>
      </c>
      <c r="V15" t="s">
        <v>77</v>
      </c>
      <c r="W15" s="29">
        <f>E161</f>
        <v>74</v>
      </c>
      <c r="Z15" s="34"/>
      <c r="AA15" s="40"/>
      <c r="AB15" s="40"/>
      <c r="AC15" s="38" t="s">
        <v>159</v>
      </c>
      <c r="AD15" s="48"/>
      <c r="AE15" s="53" t="e">
        <f>LOOKUP(AD15,T$5:T$80,U$5:U$80)</f>
        <v>#N/A</v>
      </c>
      <c r="AF15" s="37" t="s">
        <v>157</v>
      </c>
      <c r="AG15" s="65" t="e">
        <f>LOOKUP(AD15,T$5:T$80,W$5:W$80)</f>
        <v>#N/A</v>
      </c>
    </row>
    <row r="16" spans="4:33" ht="13" thickBot="1">
      <c r="D16">
        <v>5</v>
      </c>
      <c r="E16" s="9">
        <f t="shared" si="0"/>
        <v>5</v>
      </c>
      <c r="F16" s="9"/>
      <c r="G16" s="9">
        <f>E16</f>
        <v>5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E7</f>
        <v>1</v>
      </c>
      <c r="V16" t="s">
        <v>77</v>
      </c>
      <c r="W16" s="29" t="s">
        <v>78</v>
      </c>
      <c r="Z16" s="34"/>
      <c r="AA16" s="40"/>
      <c r="AB16" s="40"/>
      <c r="AC16" s="38" t="s">
        <v>159</v>
      </c>
      <c r="AD16" s="48"/>
      <c r="AE16" s="53" t="e">
        <f>LOOKUP(AD16,T$5:T$80,U$5:U$80)</f>
        <v>#N/A</v>
      </c>
      <c r="AF16" s="37" t="s">
        <v>157</v>
      </c>
      <c r="AG16" s="65" t="e">
        <f>LOOKUP(AD16,T$5:T$80,W$5:W$80)</f>
        <v>#N/A</v>
      </c>
    </row>
    <row r="17" spans="4:33" ht="13" thickBot="1">
      <c r="E17" s="10">
        <f t="shared" si="0"/>
        <v>0</v>
      </c>
      <c r="F17" s="10"/>
      <c r="G17" s="10"/>
      <c r="H17" s="10"/>
      <c r="I17" s="10"/>
      <c r="J17" s="10"/>
      <c r="K17" s="10"/>
      <c r="L17" s="14" t="s">
        <v>60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E14</f>
        <v>4</v>
      </c>
      <c r="V17" t="s">
        <v>77</v>
      </c>
      <c r="W17" s="29">
        <f>E16</f>
        <v>5</v>
      </c>
      <c r="Z17" s="34"/>
      <c r="AA17" s="40"/>
      <c r="AB17" s="40"/>
      <c r="AC17" s="38" t="s">
        <v>159</v>
      </c>
      <c r="AD17" s="48"/>
      <c r="AE17" s="53" t="e">
        <f>LOOKUP(AD17,T$5:T$80,U$5:U$80)</f>
        <v>#N/A</v>
      </c>
      <c r="AF17" s="37" t="s">
        <v>157</v>
      </c>
      <c r="AG17" s="65" t="e">
        <f>LOOKUP(AD17,T$5:T$80,W$5:W$80)</f>
        <v>#N/A</v>
      </c>
    </row>
    <row r="18" spans="4:33" ht="13" thickBot="1">
      <c r="D18">
        <v>6</v>
      </c>
      <c r="E18" s="9">
        <f t="shared" si="0"/>
        <v>6</v>
      </c>
      <c r="F18" s="9"/>
      <c r="G18" s="9">
        <f>E18</f>
        <v>6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E18</f>
        <v>6</v>
      </c>
      <c r="V18" t="s">
        <v>77</v>
      </c>
      <c r="W18" s="29">
        <f>E20</f>
        <v>7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>
        <f t="shared" si="0"/>
        <v>0</v>
      </c>
      <c r="F19" s="10"/>
      <c r="G19" s="12"/>
      <c r="H19" s="13" t="s">
        <v>14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E22</f>
        <v>8</v>
      </c>
      <c r="V19" t="s">
        <v>77</v>
      </c>
      <c r="W19" s="29">
        <f>E24</f>
        <v>9</v>
      </c>
      <c r="Z19" s="34"/>
      <c r="AA19" s="40"/>
      <c r="AB19" s="40"/>
      <c r="AC19" s="38" t="s">
        <v>159</v>
      </c>
      <c r="AD19" s="48"/>
      <c r="AE19" s="53" t="e">
        <f>LOOKUP(AD19,T$5:T$80,U$5:U$80)</f>
        <v>#N/A</v>
      </c>
      <c r="AF19" s="37" t="s">
        <v>157</v>
      </c>
      <c r="AG19" s="65" t="e">
        <f>LOOKUP(AD19,T$5:T$80,W$5:W$80)</f>
        <v>#N/A</v>
      </c>
    </row>
    <row r="20" spans="4:33" ht="13" thickBot="1">
      <c r="D20">
        <v>7</v>
      </c>
      <c r="E20" s="9">
        <f t="shared" si="0"/>
        <v>7</v>
      </c>
      <c r="F20" s="9"/>
      <c r="G20" s="9">
        <f>E20</f>
        <v>7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E26</f>
        <v>10</v>
      </c>
      <c r="V20" t="s">
        <v>77</v>
      </c>
      <c r="W20" s="29">
        <f>E28</f>
        <v>11</v>
      </c>
      <c r="Z20" s="34"/>
      <c r="AA20" s="40"/>
      <c r="AB20" s="40"/>
      <c r="AC20" s="38" t="s">
        <v>159</v>
      </c>
      <c r="AD20" s="48"/>
      <c r="AE20" s="53" t="e">
        <f>LOOKUP(AD20,T$5:T$80,U$5:U$80)</f>
        <v>#N/A</v>
      </c>
      <c r="AF20" s="37" t="s">
        <v>157</v>
      </c>
      <c r="AG20" s="65" t="e">
        <f>LOOKUP(AD20,T$5:T$80,W$5:W$80)</f>
        <v>#N/A</v>
      </c>
    </row>
    <row r="21" spans="4:33" ht="13" thickBot="1">
      <c r="E21" s="10">
        <f t="shared" si="0"/>
        <v>0</v>
      </c>
      <c r="F21" s="10"/>
      <c r="G21" s="12"/>
      <c r="H21" s="10"/>
      <c r="I21" s="10"/>
      <c r="J21" s="14" t="s">
        <v>45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E30</f>
        <v>12</v>
      </c>
      <c r="V21" t="s">
        <v>77</v>
      </c>
      <c r="W21" s="29">
        <f>E32</f>
        <v>13</v>
      </c>
      <c r="Z21" s="34"/>
      <c r="AA21" s="40"/>
      <c r="AB21" s="40"/>
      <c r="AC21" s="38" t="s">
        <v>159</v>
      </c>
      <c r="AD21" s="48"/>
      <c r="AE21" s="53" t="e">
        <f>LOOKUP(AD21,T$5:T$80,U$5:U$80)</f>
        <v>#N/A</v>
      </c>
      <c r="AF21" s="37" t="s">
        <v>157</v>
      </c>
      <c r="AG21" s="65" t="e">
        <f>LOOKUP(AD21,T$5:T$80,W$5:W$80)</f>
        <v>#N/A</v>
      </c>
    </row>
    <row r="22" spans="4:33" ht="13" thickBot="1">
      <c r="D22">
        <v>8</v>
      </c>
      <c r="E22" s="9">
        <f t="shared" si="0"/>
        <v>8</v>
      </c>
      <c r="F22" s="9"/>
      <c r="G22" s="9">
        <f>E22</f>
        <v>8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E34</f>
        <v>14</v>
      </c>
      <c r="V22" t="s">
        <v>77</v>
      </c>
      <c r="W22" s="29">
        <f>E36</f>
        <v>15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0">
        <f t="shared" si="0"/>
        <v>0</v>
      </c>
      <c r="F23" s="10"/>
      <c r="G23" s="12"/>
      <c r="H23" s="13" t="s">
        <v>15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 t="s">
        <v>160</v>
      </c>
      <c r="V23" t="s">
        <v>77</v>
      </c>
      <c r="W23" s="29">
        <f>E42</f>
        <v>18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>
        <f t="shared" si="0"/>
        <v>9</v>
      </c>
      <c r="F24" s="9"/>
      <c r="G24" s="9">
        <f>E24</f>
        <v>9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>
        <f>E44</f>
        <v>19</v>
      </c>
      <c r="V24" t="s">
        <v>77</v>
      </c>
      <c r="W24" s="29" t="s">
        <v>161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0">
        <f t="shared" si="0"/>
        <v>0</v>
      </c>
      <c r="F25" s="10"/>
      <c r="G25" s="10"/>
      <c r="H25" s="10"/>
      <c r="I25" s="10"/>
      <c r="J25" s="10"/>
      <c r="K25" s="10"/>
      <c r="L25" s="10"/>
      <c r="M25" s="10"/>
      <c r="N25" s="14" t="s">
        <v>68</v>
      </c>
      <c r="O25" s="9" t="str">
        <f>IF(OR(N17="",N33=""),"",+IF(N17&gt;N33,M17,M33))</f>
        <v/>
      </c>
      <c r="P25" s="17"/>
      <c r="Q25" s="10"/>
      <c r="T25">
        <v>21</v>
      </c>
      <c r="U25" s="28">
        <f>E51</f>
        <v>22</v>
      </c>
      <c r="V25" t="s">
        <v>77</v>
      </c>
      <c r="W25" s="29">
        <f>E53</f>
        <v>23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>
        <f t="shared" si="0"/>
        <v>10</v>
      </c>
      <c r="F26" s="9"/>
      <c r="G26" s="9">
        <f>E26</f>
        <v>10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>
        <f>E55</f>
        <v>24</v>
      </c>
      <c r="V26" t="s">
        <v>77</v>
      </c>
      <c r="W26" s="29">
        <f>E57</f>
        <v>25</v>
      </c>
      <c r="Z26" s="34"/>
      <c r="AA26" s="40"/>
      <c r="AB26" s="40"/>
      <c r="AC26" s="38" t="s">
        <v>159</v>
      </c>
      <c r="AD26" s="48"/>
      <c r="AE26" s="53" t="e">
        <f>LOOKUP(AD26,T$5:T$80,U$5:U$80)</f>
        <v>#N/A</v>
      </c>
      <c r="AF26" s="37" t="s">
        <v>157</v>
      </c>
      <c r="AG26" s="65" t="e">
        <f>LOOKUP(AD26,T$5:T$80,W$5:W$80)</f>
        <v>#N/A</v>
      </c>
    </row>
    <row r="27" spans="4:33" ht="13" thickBot="1">
      <c r="E27" s="10">
        <f t="shared" si="0"/>
        <v>0</v>
      </c>
      <c r="F27" s="10"/>
      <c r="G27" s="12"/>
      <c r="H27" s="13" t="s">
        <v>16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>
        <f>E59</f>
        <v>26</v>
      </c>
      <c r="V27" t="s">
        <v>77</v>
      </c>
      <c r="W27" s="29">
        <f>E61</f>
        <v>27</v>
      </c>
      <c r="Z27" s="34"/>
      <c r="AA27" s="40"/>
      <c r="AB27" s="40"/>
      <c r="AC27" s="38" t="s">
        <v>159</v>
      </c>
      <c r="AD27" s="48"/>
      <c r="AE27" s="53" t="e">
        <f>LOOKUP(AD27,T$5:T$80,U$5:U$80)</f>
        <v>#N/A</v>
      </c>
      <c r="AF27" s="37" t="s">
        <v>157</v>
      </c>
      <c r="AG27" s="65" t="e">
        <f>LOOKUP(AD27,T$5:T$80,W$5:W$80)</f>
        <v>#N/A</v>
      </c>
    </row>
    <row r="28" spans="4:33" ht="13" thickBot="1">
      <c r="D28">
        <v>11</v>
      </c>
      <c r="E28" s="9">
        <f t="shared" si="0"/>
        <v>11</v>
      </c>
      <c r="F28" s="9"/>
      <c r="G28" s="9">
        <f>E28</f>
        <v>11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>
        <f>E63</f>
        <v>28</v>
      </c>
      <c r="V28" t="s">
        <v>77</v>
      </c>
      <c r="W28" s="29" t="s">
        <v>81</v>
      </c>
      <c r="Z28" s="34"/>
      <c r="AA28" s="40"/>
      <c r="AB28" s="40"/>
      <c r="AC28" s="38" t="s">
        <v>159</v>
      </c>
      <c r="AD28" s="48"/>
      <c r="AE28" s="53" t="e">
        <f>LOOKUP(AD28,T$5:T$80,U$5:U$80)</f>
        <v>#N/A</v>
      </c>
      <c r="AF28" s="37" t="s">
        <v>157</v>
      </c>
      <c r="AG28" s="65" t="e">
        <f>LOOKUP(AD28,T$5:T$80,W$5:W$80)</f>
        <v>#N/A</v>
      </c>
    </row>
    <row r="29" spans="4:33" ht="13" thickBot="1">
      <c r="E29" s="10">
        <f t="shared" si="0"/>
        <v>0</v>
      </c>
      <c r="F29" s="10"/>
      <c r="G29" s="12"/>
      <c r="H29" s="10"/>
      <c r="I29" s="10"/>
      <c r="J29" s="14" t="s">
        <v>46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>
        <f>E70</f>
        <v>31</v>
      </c>
      <c r="V29" t="s">
        <v>77</v>
      </c>
      <c r="W29" s="29">
        <f>E72</f>
        <v>32</v>
      </c>
      <c r="Z29" s="34"/>
      <c r="AA29" s="40"/>
      <c r="AB29" s="40"/>
      <c r="AC29" s="38" t="s">
        <v>159</v>
      </c>
      <c r="AD29" s="48"/>
      <c r="AE29" s="53" t="e">
        <f>LOOKUP(AD29,T$5:T$80,U$5:U$80)</f>
        <v>#N/A</v>
      </c>
      <c r="AF29" s="37" t="s">
        <v>157</v>
      </c>
      <c r="AG29" s="65" t="e">
        <f>LOOKUP(AD29,T$5:T$80,W$5:W$80)</f>
        <v>#N/A</v>
      </c>
    </row>
    <row r="30" spans="4:33" ht="13" thickBot="1">
      <c r="D30">
        <v>12</v>
      </c>
      <c r="E30" s="9">
        <f t="shared" si="0"/>
        <v>12</v>
      </c>
      <c r="F30" s="9"/>
      <c r="G30" s="9">
        <f>E30</f>
        <v>12</v>
      </c>
      <c r="H30" s="11"/>
      <c r="I30" s="10"/>
      <c r="J30" s="14"/>
      <c r="K30" s="10"/>
      <c r="L30" s="14"/>
      <c r="M30" s="10"/>
      <c r="N30" s="14"/>
      <c r="O30" s="10"/>
      <c r="P30" s="14"/>
      <c r="Q30" s="10"/>
      <c r="T30">
        <v>26</v>
      </c>
      <c r="U30" s="28">
        <f>E74</f>
        <v>33</v>
      </c>
      <c r="V30" t="s">
        <v>77</v>
      </c>
      <c r="W30" s="29">
        <f>E76</f>
        <v>34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>
        <f t="shared" si="0"/>
        <v>0</v>
      </c>
      <c r="F31" s="10"/>
      <c r="G31" s="12"/>
      <c r="H31" s="13" t="s">
        <v>17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 t="s">
        <v>162</v>
      </c>
      <c r="V31" t="s">
        <v>77</v>
      </c>
      <c r="W31" s="29">
        <f>E82</f>
        <v>37</v>
      </c>
      <c r="Z31" s="34"/>
      <c r="AA31" s="40"/>
      <c r="AB31" s="40"/>
      <c r="AC31" s="38" t="s">
        <v>159</v>
      </c>
      <c r="AD31" s="48"/>
      <c r="AE31" s="53" t="e">
        <f>LOOKUP(AD31,T$5:T$80,U$5:U$80)</f>
        <v>#N/A</v>
      </c>
      <c r="AF31" s="37" t="s">
        <v>157</v>
      </c>
      <c r="AG31" s="65" t="e">
        <f>LOOKUP(AD31,T$5:T$80,W$5:W$80)</f>
        <v>#N/A</v>
      </c>
    </row>
    <row r="32" spans="4:33" ht="13" thickBot="1">
      <c r="D32">
        <v>13</v>
      </c>
      <c r="E32" s="9">
        <f t="shared" si="0"/>
        <v>13</v>
      </c>
      <c r="F32" s="9"/>
      <c r="G32" s="9">
        <f>E32</f>
        <v>13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>
        <f>E85</f>
        <v>38</v>
      </c>
      <c r="V32" t="s">
        <v>77</v>
      </c>
      <c r="W32" s="29" t="s">
        <v>163</v>
      </c>
      <c r="Z32" s="34"/>
      <c r="AA32" s="40"/>
      <c r="AB32" s="40"/>
      <c r="AC32" s="38" t="s">
        <v>159</v>
      </c>
      <c r="AD32" s="48"/>
      <c r="AE32" s="53" t="e">
        <f>LOOKUP(AD32,T$5:T$80,U$5:U$80)</f>
        <v>#N/A</v>
      </c>
      <c r="AF32" s="37" t="s">
        <v>157</v>
      </c>
      <c r="AG32" s="65" t="e">
        <f>LOOKUP(AD32,T$5:T$80,W$5:W$80)</f>
        <v>#N/A</v>
      </c>
    </row>
    <row r="33" spans="4:33" ht="13" thickBot="1">
      <c r="E33" s="10">
        <f t="shared" si="0"/>
        <v>0</v>
      </c>
      <c r="F33" s="10"/>
      <c r="G33" s="10"/>
      <c r="H33" s="10"/>
      <c r="I33" s="10"/>
      <c r="J33" s="10"/>
      <c r="K33" s="10"/>
      <c r="L33" s="14"/>
      <c r="M33" s="9" t="str">
        <f>IF(OR(L29="",L38=""),"",+IF(L29&gt;L38,K29,K38))</f>
        <v/>
      </c>
      <c r="N33" s="16"/>
      <c r="O33" s="10"/>
      <c r="P33" s="14"/>
      <c r="Q33" s="10"/>
      <c r="T33">
        <v>29</v>
      </c>
      <c r="U33" s="28">
        <f>E92</f>
        <v>41</v>
      </c>
      <c r="V33" t="s">
        <v>77</v>
      </c>
      <c r="W33" s="29">
        <f>E94</f>
        <v>42</v>
      </c>
      <c r="Z33" s="34"/>
      <c r="AA33" s="40"/>
      <c r="AB33" s="40"/>
      <c r="AC33" s="38" t="s">
        <v>159</v>
      </c>
      <c r="AD33" s="48"/>
      <c r="AE33" s="53" t="e">
        <f>LOOKUP(AD33,T$5:T$80,U$5:U$80)</f>
        <v>#N/A</v>
      </c>
      <c r="AF33" s="37" t="s">
        <v>157</v>
      </c>
      <c r="AG33" s="65" t="e">
        <f>LOOKUP(AD33,T$5:T$80,W$5:W$80)</f>
        <v>#N/A</v>
      </c>
    </row>
    <row r="34" spans="4:33" ht="13" thickBot="1">
      <c r="D34">
        <v>14</v>
      </c>
      <c r="E34" s="9">
        <f t="shared" si="0"/>
        <v>14</v>
      </c>
      <c r="F34" s="9"/>
      <c r="G34" s="9">
        <f>E34</f>
        <v>14</v>
      </c>
      <c r="H34" s="11"/>
      <c r="I34" s="10"/>
      <c r="J34" s="10"/>
      <c r="K34" s="10"/>
      <c r="L34" s="14" t="s">
        <v>61</v>
      </c>
      <c r="M34" s="10"/>
      <c r="N34" s="10"/>
      <c r="O34" s="10"/>
      <c r="P34" s="14"/>
      <c r="Q34" s="10"/>
      <c r="T34">
        <v>30</v>
      </c>
      <c r="U34" s="28">
        <f>E96</f>
        <v>43</v>
      </c>
      <c r="V34" t="s">
        <v>77</v>
      </c>
      <c r="W34" s="29">
        <f>E98</f>
        <v>44</v>
      </c>
      <c r="Z34" s="34"/>
      <c r="AA34" s="40"/>
      <c r="AB34" s="40"/>
      <c r="AC34" s="38" t="s">
        <v>159</v>
      </c>
      <c r="AD34" s="48"/>
      <c r="AE34" s="53" t="e">
        <f>LOOKUP(AD34,T$5:T$80,U$5:U$80)</f>
        <v>#N/A</v>
      </c>
      <c r="AF34" s="37" t="s">
        <v>157</v>
      </c>
      <c r="AG34" s="65" t="e">
        <f>LOOKUP(AD34,T$5:T$80,W$5:W$80)</f>
        <v>#N/A</v>
      </c>
    </row>
    <row r="35" spans="4:33" ht="13" thickBot="1">
      <c r="E35" s="10">
        <f t="shared" si="0"/>
        <v>0</v>
      </c>
      <c r="F35" s="10"/>
      <c r="G35" s="12"/>
      <c r="H35" s="13" t="s">
        <v>18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>
        <f>E100</f>
        <v>45</v>
      </c>
      <c r="V35" t="s">
        <v>77</v>
      </c>
      <c r="W35" s="29">
        <f>E102</f>
        <v>46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>
        <f t="shared" si="0"/>
        <v>15</v>
      </c>
      <c r="F36" s="9"/>
      <c r="G36" s="9">
        <f>E36</f>
        <v>15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>
        <f>E104</f>
        <v>47</v>
      </c>
      <c r="V36" t="s">
        <v>77</v>
      </c>
      <c r="W36" s="29" t="s">
        <v>84</v>
      </c>
      <c r="Z36" s="34"/>
      <c r="AA36" s="40"/>
      <c r="AB36" s="40"/>
      <c r="AC36" s="38" t="s">
        <v>159</v>
      </c>
      <c r="AD36" s="48"/>
      <c r="AE36" s="53" t="e">
        <f>LOOKUP(AD36,T$5:T$80,U$5:U$80)</f>
        <v>#N/A</v>
      </c>
      <c r="AF36" s="37" t="s">
        <v>157</v>
      </c>
      <c r="AG36" s="65" t="e">
        <f>LOOKUP(AD36,T$5:T$80,W$5:W$80)</f>
        <v>#N/A</v>
      </c>
    </row>
    <row r="37" spans="4:33">
      <c r="E37" s="10">
        <f t="shared" si="0"/>
        <v>0</v>
      </c>
      <c r="F37" s="10"/>
      <c r="G37" s="10"/>
      <c r="H37" s="10"/>
      <c r="I37" s="10"/>
      <c r="J37" s="14"/>
      <c r="K37" s="10"/>
      <c r="L37" s="14"/>
      <c r="M37" s="10"/>
      <c r="N37" s="10"/>
      <c r="O37" s="10"/>
      <c r="P37" s="14"/>
      <c r="Q37" s="10"/>
      <c r="T37">
        <v>33</v>
      </c>
      <c r="U37" s="28">
        <f>E111</f>
        <v>50</v>
      </c>
      <c r="V37" t="s">
        <v>77</v>
      </c>
      <c r="W37" s="29">
        <f>E113</f>
        <v>51</v>
      </c>
      <c r="Z37" s="34"/>
      <c r="AA37" s="40"/>
      <c r="AB37" s="40"/>
      <c r="AC37" s="38" t="s">
        <v>159</v>
      </c>
      <c r="AD37" s="48"/>
      <c r="AE37" s="53" t="e">
        <f>LOOKUP(AD37,T$5:T$80,U$5:U$80)</f>
        <v>#N/A</v>
      </c>
      <c r="AF37" s="37" t="s">
        <v>157</v>
      </c>
      <c r="AG37" s="65" t="e">
        <f>LOOKUP(AD37,T$5:T$80,W$5:W$80)</f>
        <v>#N/A</v>
      </c>
    </row>
    <row r="38" spans="4:33" ht="13" thickBot="1">
      <c r="D38">
        <v>16</v>
      </c>
      <c r="E38" s="10">
        <f t="shared" si="0"/>
        <v>16</v>
      </c>
      <c r="F38" s="11"/>
      <c r="G38" s="10"/>
      <c r="H38" s="10"/>
      <c r="I38" s="10"/>
      <c r="J38" s="14" t="s">
        <v>47</v>
      </c>
      <c r="K38" s="9" t="str">
        <f>IF(OR(J35="",J41=""),"",+IF(J35&gt;J41,I35,I41))</f>
        <v/>
      </c>
      <c r="L38" s="16"/>
      <c r="M38" s="10"/>
      <c r="N38" s="10"/>
      <c r="O38" s="10"/>
      <c r="P38" s="14"/>
      <c r="Q38" s="10"/>
      <c r="T38">
        <v>34</v>
      </c>
      <c r="U38" s="28">
        <f>E115</f>
        <v>52</v>
      </c>
      <c r="V38" t="s">
        <v>77</v>
      </c>
      <c r="W38" s="29">
        <f>E117</f>
        <v>53</v>
      </c>
      <c r="Z38" s="34"/>
      <c r="AA38" s="40"/>
      <c r="AB38" s="40"/>
      <c r="AC38" s="38" t="s">
        <v>159</v>
      </c>
      <c r="AD38" s="48"/>
      <c r="AE38" s="53" t="e">
        <f>LOOKUP(AD38,T$5:T$80,U$5:U$80)</f>
        <v>#N/A</v>
      </c>
      <c r="AF38" s="37" t="s">
        <v>157</v>
      </c>
      <c r="AG38" s="65" t="e">
        <f>LOOKUP(AD38,T$5:T$80,W$5:W$80)</f>
        <v>#N/A</v>
      </c>
    </row>
    <row r="39" spans="4:33" ht="13" thickBot="1">
      <c r="E39" s="12">
        <f t="shared" si="0"/>
        <v>0</v>
      </c>
      <c r="F39" s="13" t="s">
        <v>2</v>
      </c>
      <c r="G39" s="9" t="str">
        <f>IF(OR(F38="",F40=""),"",+IF(F38&gt;F40,E38,E40))</f>
        <v/>
      </c>
      <c r="H39" s="11"/>
      <c r="I39" s="10"/>
      <c r="J39" s="14"/>
      <c r="K39" s="10"/>
      <c r="L39" s="10"/>
      <c r="M39" s="10"/>
      <c r="N39" s="10"/>
      <c r="O39" s="10"/>
      <c r="P39" s="14"/>
      <c r="Q39" s="10"/>
      <c r="T39">
        <v>35</v>
      </c>
      <c r="U39" s="28" t="s">
        <v>164</v>
      </c>
      <c r="V39" t="s">
        <v>77</v>
      </c>
      <c r="W39" s="29">
        <f>E123</f>
        <v>56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D40">
        <v>17</v>
      </c>
      <c r="E40" s="9">
        <f t="shared" si="0"/>
        <v>17</v>
      </c>
      <c r="F40" s="16"/>
      <c r="G40" s="10"/>
      <c r="H40" s="13"/>
      <c r="I40" s="10"/>
      <c r="J40" s="14"/>
      <c r="K40" s="10"/>
      <c r="L40" s="10"/>
      <c r="M40" s="10"/>
      <c r="N40" s="10"/>
      <c r="O40" s="10"/>
      <c r="P40" s="14"/>
      <c r="Q40" s="10"/>
      <c r="T40">
        <v>36</v>
      </c>
      <c r="U40" s="28">
        <f>E125</f>
        <v>57</v>
      </c>
      <c r="V40" t="s">
        <v>77</v>
      </c>
      <c r="W40" s="29" t="s">
        <v>86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>
        <f t="shared" si="0"/>
        <v>0</v>
      </c>
      <c r="F41" s="10"/>
      <c r="G41" s="10"/>
      <c r="H41" s="14" t="s">
        <v>19</v>
      </c>
      <c r="I41" s="9" t="str">
        <f>IF(OR(H39="",H42=""),"",+IF(H39&gt;H42,G39,E42))</f>
        <v/>
      </c>
      <c r="J41" s="16"/>
      <c r="K41" s="10"/>
      <c r="L41" s="10"/>
      <c r="M41" s="10"/>
      <c r="N41" s="10"/>
      <c r="O41" s="10"/>
      <c r="P41" s="14"/>
      <c r="Q41" s="10"/>
      <c r="T41">
        <v>37</v>
      </c>
      <c r="U41" s="28">
        <f>E132</f>
        <v>60</v>
      </c>
      <c r="V41" t="s">
        <v>77</v>
      </c>
      <c r="W41" s="29">
        <f>E134</f>
        <v>61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9">
        <f t="shared" si="0"/>
        <v>18</v>
      </c>
      <c r="F42" s="9"/>
      <c r="G42" s="9">
        <f>E42</f>
        <v>18</v>
      </c>
      <c r="H42" s="16"/>
      <c r="I42" s="10"/>
      <c r="J42" s="10"/>
      <c r="K42" s="10"/>
      <c r="L42" s="10"/>
      <c r="M42" s="10"/>
      <c r="N42" s="10"/>
      <c r="O42" s="10"/>
      <c r="P42" s="14"/>
      <c r="Q42" s="10"/>
      <c r="T42">
        <v>38</v>
      </c>
      <c r="U42" s="28">
        <f>E136</f>
        <v>62</v>
      </c>
      <c r="V42" t="s">
        <v>77</v>
      </c>
      <c r="W42" s="29">
        <f>E138</f>
        <v>63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E43" s="10">
        <f t="shared" si="0"/>
        <v>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4" t="s">
        <v>72</v>
      </c>
      <c r="Q43" s="9" t="str">
        <f>IF(OR(P25="",P63=""),"",+IF(P25&gt;P63,O25,O63))</f>
        <v/>
      </c>
      <c r="T43">
        <v>39</v>
      </c>
      <c r="U43" s="28">
        <f>E140</f>
        <v>64</v>
      </c>
      <c r="V43" t="s">
        <v>77</v>
      </c>
      <c r="W43" s="29">
        <f>E142</f>
        <v>65</v>
      </c>
      <c r="Z43" s="34"/>
      <c r="AA43" s="40"/>
      <c r="AB43" s="40"/>
      <c r="AC43" s="38" t="s">
        <v>159</v>
      </c>
      <c r="AD43" s="48"/>
      <c r="AE43" s="53" t="e">
        <f>LOOKUP(AD43,T$5:T$80,U$5:U$80)</f>
        <v>#N/A</v>
      </c>
      <c r="AF43" s="37" t="s">
        <v>157</v>
      </c>
      <c r="AG43" s="65" t="e">
        <f>LOOKUP(AD43,T$5:T$80,W$5:W$80)</f>
        <v>#N/A</v>
      </c>
    </row>
    <row r="44" spans="4:33" ht="13" thickBot="1">
      <c r="D44">
        <v>19</v>
      </c>
      <c r="E44" s="9">
        <f t="shared" si="0"/>
        <v>19</v>
      </c>
      <c r="F44" s="9"/>
      <c r="G44" s="9">
        <f>E44</f>
        <v>19</v>
      </c>
      <c r="H44" s="11"/>
      <c r="I44" s="10"/>
      <c r="J44" s="10"/>
      <c r="K44" s="10"/>
      <c r="L44" s="10"/>
      <c r="M44" s="10"/>
      <c r="N44" s="10"/>
      <c r="O44" s="10"/>
      <c r="P44" s="14"/>
      <c r="Q44" s="10"/>
      <c r="R44" s="8"/>
      <c r="T44">
        <v>40</v>
      </c>
      <c r="U44" s="28">
        <f>E144</f>
        <v>66</v>
      </c>
      <c r="V44" t="s">
        <v>77</v>
      </c>
      <c r="W44" s="29" t="s">
        <v>87</v>
      </c>
      <c r="Z44" s="34"/>
      <c r="AA44" s="40"/>
      <c r="AB44" s="40"/>
      <c r="AC44" s="38" t="s">
        <v>159</v>
      </c>
      <c r="AD44" s="48"/>
      <c r="AE44" s="53" t="e">
        <f>LOOKUP(AD44,T$5:T$80,U$5:U$80)</f>
        <v>#N/A</v>
      </c>
      <c r="AF44" s="37" t="s">
        <v>157</v>
      </c>
      <c r="AG44" s="65" t="e">
        <f>LOOKUP(AD44,T$5:T$80,W$5:W$80)</f>
        <v>#N/A</v>
      </c>
    </row>
    <row r="45" spans="4:33">
      <c r="E45" s="12">
        <f t="shared" si="0"/>
        <v>0</v>
      </c>
      <c r="F45" s="10"/>
      <c r="G45" s="10"/>
      <c r="H45" s="13"/>
      <c r="I45" s="10"/>
      <c r="J45" s="10"/>
      <c r="K45" s="10"/>
      <c r="L45" s="10"/>
      <c r="M45" s="10"/>
      <c r="N45" s="10"/>
      <c r="O45" s="10"/>
      <c r="P45" s="14"/>
      <c r="Q45" s="10"/>
      <c r="R45" s="8"/>
      <c r="T45">
        <v>41</v>
      </c>
      <c r="U45" s="28">
        <f>E151</f>
        <v>69</v>
      </c>
      <c r="V45" t="s">
        <v>77</v>
      </c>
      <c r="W45" s="29">
        <f>E153</f>
        <v>70</v>
      </c>
      <c r="Z45" s="34"/>
      <c r="AA45" s="40"/>
      <c r="AB45" s="40"/>
      <c r="AC45" s="38" t="s">
        <v>159</v>
      </c>
      <c r="AD45" s="48"/>
      <c r="AE45" s="53" t="e">
        <f>LOOKUP(AD45,T$5:T$80,U$5:U$80)</f>
        <v>#N/A</v>
      </c>
      <c r="AF45" s="37" t="s">
        <v>157</v>
      </c>
      <c r="AG45" s="65" t="e">
        <f>LOOKUP(AD45,T$5:T$80,W$5:W$80)</f>
        <v>#N/A</v>
      </c>
    </row>
    <row r="46" spans="4:33" ht="13" thickBot="1">
      <c r="E46" s="10">
        <f t="shared" si="0"/>
        <v>0</v>
      </c>
      <c r="F46" s="10"/>
      <c r="G46" s="10"/>
      <c r="H46" s="14" t="s">
        <v>20</v>
      </c>
      <c r="I46" s="9" t="str">
        <f>IF(OR(H44="",H48=""),"",+IF(H44&gt;H48,E44,G48))</f>
        <v/>
      </c>
      <c r="J46" s="11"/>
      <c r="K46" s="10"/>
      <c r="L46" s="10"/>
      <c r="M46" s="10"/>
      <c r="N46" s="10"/>
      <c r="O46" s="10"/>
      <c r="P46" s="14"/>
      <c r="Q46" s="10"/>
      <c r="R46" s="8"/>
      <c r="T46">
        <v>42</v>
      </c>
      <c r="U46" s="28">
        <f>E155</f>
        <v>71</v>
      </c>
      <c r="V46" t="s">
        <v>77</v>
      </c>
      <c r="W46" s="29">
        <f>E157</f>
        <v>72</v>
      </c>
      <c r="Z46" s="34"/>
      <c r="AA46" s="40"/>
      <c r="AB46" s="40"/>
      <c r="AC46" s="38" t="s">
        <v>159</v>
      </c>
      <c r="AD46" s="48"/>
      <c r="AE46" s="53" t="e">
        <f>LOOKUP(AD46,T$5:T$80,U$5:U$80)</f>
        <v>#N/A</v>
      </c>
      <c r="AF46" s="37" t="s">
        <v>157</v>
      </c>
      <c r="AG46" s="65" t="e">
        <f>LOOKUP(AD46,T$5:T$80,W$5:W$80)</f>
        <v>#N/A</v>
      </c>
    </row>
    <row r="47" spans="4:33" ht="13" thickBot="1">
      <c r="D47">
        <v>20</v>
      </c>
      <c r="E47" s="10">
        <f t="shared" si="0"/>
        <v>20</v>
      </c>
      <c r="F47" s="11"/>
      <c r="G47" s="10"/>
      <c r="H47" s="14"/>
      <c r="I47" s="10"/>
      <c r="J47" s="13"/>
      <c r="K47" s="10"/>
      <c r="L47" s="10"/>
      <c r="M47" s="10"/>
      <c r="N47" s="10"/>
      <c r="O47" s="10"/>
      <c r="P47" s="14"/>
      <c r="Q47" s="10"/>
      <c r="R47" s="8"/>
      <c r="T47">
        <v>43</v>
      </c>
      <c r="U47" s="28" t="s">
        <v>88</v>
      </c>
      <c r="V47" t="s">
        <v>77</v>
      </c>
      <c r="W47" s="29">
        <f>E163</f>
        <v>75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>
        <f t="shared" si="0"/>
        <v>0</v>
      </c>
      <c r="F48" s="13" t="s">
        <v>3</v>
      </c>
      <c r="G48" s="9" t="str">
        <f>IF(OR(F47="",F49=""),"",+IF(F47&gt;F49,E47,E49))</f>
        <v/>
      </c>
      <c r="H48" s="16"/>
      <c r="I48" s="10"/>
      <c r="J48" s="14"/>
      <c r="K48" s="10"/>
      <c r="L48" s="10"/>
      <c r="M48" s="10"/>
      <c r="N48" s="10"/>
      <c r="O48" s="10"/>
      <c r="P48" s="14"/>
      <c r="Q48" s="10"/>
      <c r="R48" s="8"/>
      <c r="T48">
        <v>44</v>
      </c>
      <c r="U48" s="28" t="s">
        <v>89</v>
      </c>
      <c r="V48" t="s">
        <v>77</v>
      </c>
      <c r="W48" s="29" t="s">
        <v>167</v>
      </c>
      <c r="Z48" s="34"/>
      <c r="AA48" s="40"/>
      <c r="AB48" s="40"/>
      <c r="AC48" s="38" t="s">
        <v>159</v>
      </c>
      <c r="AD48" s="48"/>
      <c r="AE48" s="53" t="e">
        <f>LOOKUP(AD48,T$5:T$80,U$5:U$80)</f>
        <v>#N/A</v>
      </c>
      <c r="AF48" s="37" t="s">
        <v>157</v>
      </c>
      <c r="AG48" s="65" t="e">
        <f>LOOKUP(AD48,T$5:T$80,W$5:W$80)</f>
        <v>#N/A</v>
      </c>
    </row>
    <row r="49" spans="4:33" ht="13" thickBot="1">
      <c r="D49">
        <v>21</v>
      </c>
      <c r="E49" s="10">
        <f t="shared" si="0"/>
        <v>21</v>
      </c>
      <c r="F49" s="16"/>
      <c r="G49" s="10"/>
      <c r="H49" s="10"/>
      <c r="I49" s="10"/>
      <c r="J49" s="14" t="s">
        <v>48</v>
      </c>
      <c r="K49" s="9" t="str">
        <f>IF(OR(J46="",J52=""),"",+IF(J46&gt;J52,I46,I52))</f>
        <v/>
      </c>
      <c r="L49" s="17"/>
      <c r="M49" s="10"/>
      <c r="N49" s="10"/>
      <c r="O49" s="10"/>
      <c r="P49" s="14"/>
      <c r="Q49" s="10"/>
      <c r="R49" s="8"/>
      <c r="T49">
        <v>45</v>
      </c>
      <c r="U49" s="28" t="s">
        <v>91</v>
      </c>
      <c r="V49" t="s">
        <v>77</v>
      </c>
      <c r="W49" s="28" t="s">
        <v>92</v>
      </c>
      <c r="Z49" s="34"/>
      <c r="AA49" s="40"/>
      <c r="AB49" s="40"/>
      <c r="AC49" s="38" t="s">
        <v>159</v>
      </c>
      <c r="AD49" s="48"/>
      <c r="AE49" s="53" t="e">
        <f>LOOKUP(AD49,T$5:T$80,U$5:U$80)</f>
        <v>#N/A</v>
      </c>
      <c r="AF49" s="37" t="s">
        <v>157</v>
      </c>
      <c r="AG49" s="65" t="e">
        <f>LOOKUP(AD49,T$5:T$80,W$5:W$80)</f>
        <v>#N/A</v>
      </c>
    </row>
    <row r="50" spans="4:33">
      <c r="E50" s="12">
        <f t="shared" si="0"/>
        <v>0</v>
      </c>
      <c r="F50" s="10"/>
      <c r="G50" s="10"/>
      <c r="H50" s="10"/>
      <c r="I50" s="10"/>
      <c r="J50" s="14"/>
      <c r="K50" s="10"/>
      <c r="L50" s="10"/>
      <c r="M50" s="19"/>
      <c r="N50" s="10"/>
      <c r="O50" s="10"/>
      <c r="P50" s="14"/>
      <c r="Q50" s="10"/>
      <c r="R50" s="8"/>
      <c r="T50">
        <v>46</v>
      </c>
      <c r="U50" s="28" t="s">
        <v>165</v>
      </c>
      <c r="V50" t="s">
        <v>77</v>
      </c>
      <c r="W50" s="28" t="s">
        <v>94</v>
      </c>
      <c r="Z50" s="34"/>
      <c r="AA50" s="40"/>
      <c r="AB50" s="40"/>
      <c r="AC50" s="38" t="s">
        <v>159</v>
      </c>
      <c r="AD50" s="48"/>
      <c r="AE50" s="53" t="e">
        <f>LOOKUP(AD50,T$5:T$80,U$5:U$80)</f>
        <v>#N/A</v>
      </c>
      <c r="AF50" s="37" t="s">
        <v>157</v>
      </c>
      <c r="AG50" s="65" t="e">
        <f>LOOKUP(AD50,T$5:T$80,W$5:W$80)</f>
        <v>#N/A</v>
      </c>
    </row>
    <row r="51" spans="4:33" ht="13" thickBot="1">
      <c r="D51">
        <v>22</v>
      </c>
      <c r="E51" s="9">
        <f t="shared" si="0"/>
        <v>22</v>
      </c>
      <c r="F51" s="9"/>
      <c r="G51" s="9">
        <f>E51</f>
        <v>22</v>
      </c>
      <c r="H51" s="11"/>
      <c r="I51" s="10"/>
      <c r="J51" s="14"/>
      <c r="K51" s="10"/>
      <c r="L51" s="10"/>
      <c r="M51" s="19"/>
      <c r="N51" s="10"/>
      <c r="O51" s="10"/>
      <c r="P51" s="14"/>
      <c r="Q51" s="10"/>
      <c r="R51" s="8"/>
      <c r="T51">
        <v>47</v>
      </c>
      <c r="U51" s="28" t="s">
        <v>95</v>
      </c>
      <c r="V51" t="s">
        <v>77</v>
      </c>
      <c r="W51" s="28" t="s">
        <v>96</v>
      </c>
      <c r="Z51" s="34"/>
      <c r="AA51" s="40"/>
      <c r="AB51" s="40"/>
      <c r="AC51" s="38" t="s">
        <v>159</v>
      </c>
      <c r="AD51" s="48"/>
      <c r="AE51" s="53" t="e">
        <f>LOOKUP(AD51,T$5:T$80,U$5:U$80)</f>
        <v>#N/A</v>
      </c>
      <c r="AF51" s="37" t="s">
        <v>157</v>
      </c>
      <c r="AG51" s="65" t="e">
        <f>LOOKUP(AD51,T$5:T$80,W$5:W$80)</f>
        <v>#N/A</v>
      </c>
    </row>
    <row r="52" spans="4:33" ht="13" thickBot="1">
      <c r="E52" s="10">
        <f t="shared" si="0"/>
        <v>0</v>
      </c>
      <c r="F52" s="10"/>
      <c r="G52" s="10"/>
      <c r="H52" s="13" t="s">
        <v>21</v>
      </c>
      <c r="I52" s="9" t="str">
        <f>IF(OR(H51="",H53=""),"",+IF(H51&gt;H53,E51,E53))</f>
        <v/>
      </c>
      <c r="J52" s="16"/>
      <c r="K52" s="10"/>
      <c r="L52" s="10"/>
      <c r="M52" s="19"/>
      <c r="N52" s="10"/>
      <c r="O52" s="10"/>
      <c r="P52" s="14"/>
      <c r="Q52" s="10"/>
      <c r="R52" s="8"/>
      <c r="T52">
        <v>48</v>
      </c>
      <c r="U52" s="28" t="s">
        <v>97</v>
      </c>
      <c r="V52" t="s">
        <v>77</v>
      </c>
      <c r="W52" s="28" t="s">
        <v>98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9">
        <f t="shared" si="0"/>
        <v>23</v>
      </c>
      <c r="F53" s="9"/>
      <c r="G53" s="9">
        <f>E53</f>
        <v>23</v>
      </c>
      <c r="H53" s="11"/>
      <c r="I53" s="10"/>
      <c r="J53" s="10"/>
      <c r="K53" s="10"/>
      <c r="L53" s="10"/>
      <c r="M53" s="19"/>
      <c r="N53" s="10"/>
      <c r="O53" s="10"/>
      <c r="P53" s="14"/>
      <c r="Q53" s="10"/>
      <c r="R53" s="8"/>
      <c r="T53">
        <v>49</v>
      </c>
      <c r="U53" s="28" t="s">
        <v>99</v>
      </c>
      <c r="V53" t="s">
        <v>77</v>
      </c>
      <c r="W53" s="28" t="s">
        <v>100</v>
      </c>
      <c r="Z53" s="34"/>
      <c r="AA53" s="40"/>
      <c r="AB53" s="40"/>
      <c r="AC53" s="38" t="s">
        <v>159</v>
      </c>
      <c r="AD53" s="48"/>
      <c r="AE53" s="53" t="e">
        <f>LOOKUP(AD53,T$5:T$80,U$5:U$80)</f>
        <v>#N/A</v>
      </c>
      <c r="AF53" s="37" t="s">
        <v>157</v>
      </c>
      <c r="AG53" s="65" t="e">
        <f>LOOKUP(AD53,T$5:T$80,W$5:W$80)</f>
        <v>#N/A</v>
      </c>
    </row>
    <row r="54" spans="4:33" ht="13" thickBot="1">
      <c r="E54" s="10">
        <f t="shared" si="0"/>
        <v>0</v>
      </c>
      <c r="F54" s="10"/>
      <c r="G54" s="10"/>
      <c r="H54" s="10"/>
      <c r="I54" s="10"/>
      <c r="J54" s="10"/>
      <c r="K54" s="10"/>
      <c r="L54" s="14" t="s">
        <v>62</v>
      </c>
      <c r="M54" s="9" t="str">
        <f>IF(OR(L49="",L58=""),"",+IF(L49&gt;L58,K49,K58))</f>
        <v/>
      </c>
      <c r="N54" s="17"/>
      <c r="O54" s="10"/>
      <c r="P54" s="14"/>
      <c r="Q54" s="10"/>
      <c r="R54" s="8"/>
      <c r="T54">
        <v>50</v>
      </c>
      <c r="U54" s="28" t="s">
        <v>101</v>
      </c>
      <c r="V54" t="s">
        <v>77</v>
      </c>
      <c r="W54" s="28" t="s">
        <v>102</v>
      </c>
      <c r="Z54" s="34"/>
      <c r="AA54" s="40"/>
      <c r="AB54" s="40"/>
      <c r="AC54" s="38" t="s">
        <v>159</v>
      </c>
      <c r="AD54" s="48"/>
      <c r="AE54" s="53" t="e">
        <f>LOOKUP(AD54,T$5:T$80,U$5:U$80)</f>
        <v>#N/A</v>
      </c>
      <c r="AF54" s="37" t="s">
        <v>157</v>
      </c>
      <c r="AG54" s="65" t="e">
        <f>LOOKUP(AD54,T$5:T$80,W$5:W$80)</f>
        <v>#N/A</v>
      </c>
    </row>
    <row r="55" spans="4:33" ht="13" thickBot="1">
      <c r="D55">
        <v>24</v>
      </c>
      <c r="E55" s="9">
        <f t="shared" si="0"/>
        <v>24</v>
      </c>
      <c r="F55" s="9"/>
      <c r="G55" s="9">
        <f>E55</f>
        <v>24</v>
      </c>
      <c r="H55" s="11"/>
      <c r="I55" s="10"/>
      <c r="J55" s="10"/>
      <c r="K55" s="10"/>
      <c r="L55" s="10"/>
      <c r="M55" s="19"/>
      <c r="N55" s="13"/>
      <c r="O55" s="10"/>
      <c r="P55" s="14"/>
      <c r="Q55" s="10"/>
      <c r="R55" s="8"/>
      <c r="T55">
        <v>51</v>
      </c>
      <c r="U55" s="28" t="s">
        <v>103</v>
      </c>
      <c r="V55" t="s">
        <v>77</v>
      </c>
      <c r="W55" s="28" t="s">
        <v>104</v>
      </c>
      <c r="Z55" s="34"/>
      <c r="AA55" s="40"/>
      <c r="AB55" s="40"/>
      <c r="AC55" s="38" t="s">
        <v>159</v>
      </c>
      <c r="AD55" s="48"/>
      <c r="AE55" s="53" t="e">
        <f>LOOKUP(AD55,T$5:T$80,U$5:U$80)</f>
        <v>#N/A</v>
      </c>
      <c r="AF55" s="37" t="s">
        <v>157</v>
      </c>
      <c r="AG55" s="65" t="e">
        <f>LOOKUP(AD55,T$5:T$80,W$5:W$80)</f>
        <v>#N/A</v>
      </c>
    </row>
    <row r="56" spans="4:33" ht="13" thickBot="1">
      <c r="E56" s="10">
        <f t="shared" si="0"/>
        <v>0</v>
      </c>
      <c r="F56" s="10"/>
      <c r="G56" s="12"/>
      <c r="H56" s="13" t="s">
        <v>22</v>
      </c>
      <c r="I56" s="9" t="str">
        <f>IF(OR(H55="",H57=""),"",+IF(H55&gt;H57,E55,E57))</f>
        <v/>
      </c>
      <c r="J56" s="17"/>
      <c r="K56" s="10"/>
      <c r="L56" s="10"/>
      <c r="M56" s="19"/>
      <c r="N56" s="14"/>
      <c r="O56" s="10"/>
      <c r="P56" s="14"/>
      <c r="Q56" s="10"/>
      <c r="R56" s="8"/>
      <c r="T56">
        <v>52</v>
      </c>
      <c r="U56" s="28" t="s">
        <v>105</v>
      </c>
      <c r="V56" t="s">
        <v>77</v>
      </c>
      <c r="W56" s="28" t="s">
        <v>106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9">
        <f t="shared" si="0"/>
        <v>25</v>
      </c>
      <c r="F57" s="9"/>
      <c r="G57" s="9">
        <f>E57</f>
        <v>25</v>
      </c>
      <c r="H57" s="16"/>
      <c r="I57" s="10"/>
      <c r="J57" s="14"/>
      <c r="K57" s="10"/>
      <c r="L57" s="10"/>
      <c r="M57" s="19"/>
      <c r="N57" s="14"/>
      <c r="O57" s="10"/>
      <c r="P57" s="14"/>
      <c r="Q57" s="10"/>
      <c r="R57" s="8"/>
      <c r="T57">
        <v>53</v>
      </c>
      <c r="U57" s="28" t="s">
        <v>107</v>
      </c>
      <c r="V57" t="s">
        <v>77</v>
      </c>
      <c r="W57" s="28" t="s">
        <v>108</v>
      </c>
    </row>
    <row r="58" spans="4:33" ht="13" thickBot="1">
      <c r="E58" s="10">
        <f t="shared" si="0"/>
        <v>0</v>
      </c>
      <c r="F58" s="10"/>
      <c r="G58" s="12"/>
      <c r="H58" s="10"/>
      <c r="I58" s="10"/>
      <c r="J58" s="14" t="s">
        <v>49</v>
      </c>
      <c r="K58" s="9" t="str">
        <f>IF(OR(J56="",J60=""),"",+IF(J56&gt;J60,I56,I60))</f>
        <v/>
      </c>
      <c r="L58" s="16"/>
      <c r="M58" s="19"/>
      <c r="N58" s="14"/>
      <c r="O58" s="10"/>
      <c r="P58" s="14"/>
      <c r="Q58" s="10"/>
      <c r="R58" s="8"/>
      <c r="T58">
        <v>54</v>
      </c>
      <c r="U58" s="28" t="s">
        <v>109</v>
      </c>
      <c r="V58" t="s">
        <v>77</v>
      </c>
      <c r="W58" s="28" t="s">
        <v>110</v>
      </c>
    </row>
    <row r="59" spans="4:33" ht="13" thickBot="1">
      <c r="D59">
        <v>26</v>
      </c>
      <c r="E59" s="9">
        <f t="shared" si="0"/>
        <v>26</v>
      </c>
      <c r="F59" s="9"/>
      <c r="G59" s="9">
        <f>E59</f>
        <v>26</v>
      </c>
      <c r="H59" s="11"/>
      <c r="I59" s="10"/>
      <c r="J59" s="14"/>
      <c r="K59" s="10"/>
      <c r="L59" s="10"/>
      <c r="M59" s="10"/>
      <c r="N59" s="14"/>
      <c r="O59" s="10"/>
      <c r="P59" s="14"/>
      <c r="Q59" s="10"/>
      <c r="R59" s="8"/>
      <c r="T59">
        <v>55</v>
      </c>
      <c r="U59" s="28" t="s">
        <v>111</v>
      </c>
      <c r="V59" t="s">
        <v>77</v>
      </c>
      <c r="W59" s="28" t="s">
        <v>112</v>
      </c>
    </row>
    <row r="60" spans="4:33" ht="13" thickBot="1">
      <c r="E60" s="10">
        <f t="shared" si="0"/>
        <v>0</v>
      </c>
      <c r="F60" s="10"/>
      <c r="G60" s="12"/>
      <c r="H60" s="13" t="s">
        <v>23</v>
      </c>
      <c r="I60" s="9" t="str">
        <f>IF(OR(H59="",H61=""),"",+IF(H59&gt;H61,E59,E61))</f>
        <v/>
      </c>
      <c r="J60" s="16"/>
      <c r="K60" s="10"/>
      <c r="L60" s="10"/>
      <c r="M60" s="10"/>
      <c r="N60" s="14"/>
      <c r="O60" s="10"/>
      <c r="P60" s="14"/>
      <c r="Q60" s="10"/>
      <c r="R60" s="8"/>
      <c r="T60">
        <v>56</v>
      </c>
      <c r="U60" s="28" t="s">
        <v>113</v>
      </c>
      <c r="V60" t="s">
        <v>77</v>
      </c>
      <c r="W60" s="28" t="s">
        <v>114</v>
      </c>
    </row>
    <row r="61" spans="4:33" ht="13" thickBot="1">
      <c r="D61">
        <v>27</v>
      </c>
      <c r="E61" s="9">
        <f t="shared" si="0"/>
        <v>27</v>
      </c>
      <c r="F61" s="9"/>
      <c r="G61" s="9">
        <f>E61</f>
        <v>27</v>
      </c>
      <c r="H61" s="16"/>
      <c r="I61" s="10"/>
      <c r="J61" s="10"/>
      <c r="K61" s="10"/>
      <c r="L61" s="10"/>
      <c r="M61" s="10"/>
      <c r="N61" s="14"/>
      <c r="O61" s="10"/>
      <c r="P61" s="14"/>
      <c r="Q61" s="10"/>
      <c r="R61" s="8"/>
      <c r="T61">
        <v>57</v>
      </c>
      <c r="U61" s="28" t="s">
        <v>115</v>
      </c>
      <c r="V61" t="s">
        <v>77</v>
      </c>
      <c r="W61" s="28" t="s">
        <v>116</v>
      </c>
    </row>
    <row r="62" spans="4:33">
      <c r="E62" s="10">
        <f t="shared" si="0"/>
        <v>0</v>
      </c>
      <c r="F62" s="10"/>
      <c r="G62" s="10"/>
      <c r="H62" s="10"/>
      <c r="I62" s="10"/>
      <c r="J62" s="10"/>
      <c r="K62" s="10"/>
      <c r="L62" s="10"/>
      <c r="M62" s="10"/>
      <c r="N62" s="14"/>
      <c r="O62" s="10"/>
      <c r="P62" s="14"/>
      <c r="Q62" s="10"/>
      <c r="R62" s="8"/>
      <c r="T62">
        <v>58</v>
      </c>
      <c r="U62" s="28" t="s">
        <v>117</v>
      </c>
      <c r="V62" t="s">
        <v>77</v>
      </c>
      <c r="W62" s="28" t="s">
        <v>118</v>
      </c>
    </row>
    <row r="63" spans="4:33" ht="13" thickBot="1">
      <c r="D63">
        <v>28</v>
      </c>
      <c r="E63" s="10">
        <f t="shared" si="0"/>
        <v>28</v>
      </c>
      <c r="F63" s="9"/>
      <c r="G63" s="9">
        <f>E63</f>
        <v>28</v>
      </c>
      <c r="H63" s="11"/>
      <c r="I63" s="10"/>
      <c r="J63" s="10"/>
      <c r="K63" s="10"/>
      <c r="L63" s="10"/>
      <c r="M63" s="10"/>
      <c r="N63" s="14" t="s">
        <v>69</v>
      </c>
      <c r="O63" s="9" t="str">
        <f>IF(OR(N54="",N73=""),"",+IF(N54&gt;N73,M54,M73))</f>
        <v/>
      </c>
      <c r="P63" s="16"/>
      <c r="Q63" s="10"/>
      <c r="R63" s="8"/>
      <c r="T63">
        <v>59</v>
      </c>
      <c r="U63" s="28" t="s">
        <v>119</v>
      </c>
      <c r="V63" t="s">
        <v>77</v>
      </c>
      <c r="W63" s="28" t="s">
        <v>120</v>
      </c>
    </row>
    <row r="64" spans="4:33">
      <c r="E64" s="12">
        <f t="shared" si="0"/>
        <v>0</v>
      </c>
      <c r="F64" s="10"/>
      <c r="G64" s="10"/>
      <c r="H64" s="13"/>
      <c r="I64" s="10"/>
      <c r="J64" s="10"/>
      <c r="K64" s="10"/>
      <c r="L64" s="10"/>
      <c r="M64" s="10"/>
      <c r="N64" s="14"/>
      <c r="O64" s="10"/>
      <c r="P64" s="10"/>
      <c r="Q64" s="10"/>
      <c r="R64" s="8"/>
      <c r="T64">
        <v>60</v>
      </c>
      <c r="U64" s="28" t="s">
        <v>121</v>
      </c>
      <c r="V64" t="s">
        <v>77</v>
      </c>
      <c r="W64" s="28" t="s">
        <v>122</v>
      </c>
    </row>
    <row r="65" spans="4:23" ht="13" thickBot="1">
      <c r="E65" s="10">
        <f t="shared" si="0"/>
        <v>0</v>
      </c>
      <c r="F65" s="10"/>
      <c r="G65" s="10"/>
      <c r="H65" s="14" t="s">
        <v>24</v>
      </c>
      <c r="I65" s="9" t="str">
        <f>IF(OR(H63="",H67=""),"",+IF(H63&gt;H67,G63,G67))</f>
        <v/>
      </c>
      <c r="J65" s="11"/>
      <c r="K65" s="10"/>
      <c r="L65" s="10"/>
      <c r="M65" s="10"/>
      <c r="N65" s="14"/>
      <c r="O65" s="10"/>
      <c r="P65" s="10"/>
      <c r="Q65" s="10"/>
      <c r="R65" s="8"/>
      <c r="T65">
        <v>61</v>
      </c>
      <c r="U65" s="28" t="s">
        <v>123</v>
      </c>
      <c r="V65" t="s">
        <v>77</v>
      </c>
      <c r="W65" s="28" t="s">
        <v>124</v>
      </c>
    </row>
    <row r="66" spans="4:23" ht="13" thickBot="1">
      <c r="D66">
        <v>29</v>
      </c>
      <c r="E66" s="10">
        <f t="shared" si="0"/>
        <v>29</v>
      </c>
      <c r="F66" s="11"/>
      <c r="G66" s="10"/>
      <c r="H66" s="14"/>
      <c r="I66" s="10"/>
      <c r="J66" s="13"/>
      <c r="K66" s="10"/>
      <c r="L66" s="10"/>
      <c r="M66" s="10"/>
      <c r="N66" s="14"/>
      <c r="O66" s="10"/>
      <c r="P66" s="10"/>
      <c r="Q66" s="10"/>
      <c r="R66" s="8"/>
      <c r="T66">
        <v>62</v>
      </c>
      <c r="U66" s="28" t="s">
        <v>125</v>
      </c>
      <c r="V66" t="s">
        <v>77</v>
      </c>
      <c r="W66" s="28" t="s">
        <v>126</v>
      </c>
    </row>
    <row r="67" spans="4:23" ht="13" thickBot="1">
      <c r="E67" s="12">
        <f t="shared" si="0"/>
        <v>0</v>
      </c>
      <c r="F67" s="13" t="s">
        <v>4</v>
      </c>
      <c r="G67" s="9" t="str">
        <f>IF(OR(F66="",F68=""),"",+IF(F66&gt;F68,E66,E68))</f>
        <v/>
      </c>
      <c r="H67" s="16"/>
      <c r="I67" s="10"/>
      <c r="J67" s="14"/>
      <c r="K67" s="10"/>
      <c r="L67" s="10"/>
      <c r="M67" s="10"/>
      <c r="N67" s="14"/>
      <c r="O67" s="10"/>
      <c r="P67" s="10"/>
      <c r="Q67" s="10"/>
      <c r="R67" s="8"/>
      <c r="T67">
        <v>63</v>
      </c>
      <c r="U67" s="28" t="s">
        <v>127</v>
      </c>
      <c r="V67" t="s">
        <v>77</v>
      </c>
      <c r="W67" s="28" t="s">
        <v>130</v>
      </c>
    </row>
    <row r="68" spans="4:23" ht="13" thickBot="1">
      <c r="D68">
        <v>30</v>
      </c>
      <c r="E68" s="10">
        <f t="shared" si="0"/>
        <v>30</v>
      </c>
      <c r="F68" s="16"/>
      <c r="G68" s="10"/>
      <c r="H68" s="10"/>
      <c r="I68" s="10"/>
      <c r="J68" s="14" t="s">
        <v>50</v>
      </c>
      <c r="K68" s="9" t="str">
        <f>IF(OR(J65="",J71=""),"",+IF(J65&gt;J71,I65,I71))</f>
        <v/>
      </c>
      <c r="L68" s="11"/>
      <c r="M68" s="10"/>
      <c r="N68" s="14"/>
      <c r="O68" s="10"/>
      <c r="P68" s="10"/>
      <c r="Q68" s="10"/>
      <c r="R68" s="8"/>
      <c r="T68">
        <v>64</v>
      </c>
      <c r="U68" s="28" t="s">
        <v>128</v>
      </c>
      <c r="V68" t="s">
        <v>77</v>
      </c>
      <c r="W68" s="28" t="s">
        <v>129</v>
      </c>
    </row>
    <row r="69" spans="4:23">
      <c r="E69" s="12">
        <f t="shared" si="0"/>
        <v>0</v>
      </c>
      <c r="F69" s="10"/>
      <c r="G69" s="10"/>
      <c r="H69" s="10"/>
      <c r="I69" s="10"/>
      <c r="J69" s="14"/>
      <c r="K69" s="12"/>
      <c r="L69" s="13"/>
      <c r="M69" s="10"/>
      <c r="N69" s="14"/>
      <c r="O69" s="10"/>
      <c r="P69" s="10"/>
      <c r="Q69" s="10"/>
      <c r="R69" s="8"/>
      <c r="T69">
        <v>65</v>
      </c>
      <c r="U69" s="28" t="s">
        <v>131</v>
      </c>
      <c r="V69" t="s">
        <v>77</v>
      </c>
      <c r="W69" s="28" t="s">
        <v>132</v>
      </c>
    </row>
    <row r="70" spans="4:23" ht="13" thickBot="1">
      <c r="D70">
        <v>31</v>
      </c>
      <c r="E70" s="9">
        <f t="shared" si="0"/>
        <v>31</v>
      </c>
      <c r="F70" s="9"/>
      <c r="G70" s="9">
        <f>E70</f>
        <v>31</v>
      </c>
      <c r="H70" s="11"/>
      <c r="I70" s="10"/>
      <c r="J70" s="14"/>
      <c r="K70" s="10"/>
      <c r="L70" s="14"/>
      <c r="M70" s="10"/>
      <c r="N70" s="14"/>
      <c r="O70" s="10"/>
      <c r="P70" s="10"/>
      <c r="Q70" s="10"/>
      <c r="R70" s="8"/>
      <c r="T70">
        <v>66</v>
      </c>
      <c r="U70" s="28" t="s">
        <v>133</v>
      </c>
      <c r="V70" t="s">
        <v>77</v>
      </c>
      <c r="W70" s="28" t="s">
        <v>134</v>
      </c>
    </row>
    <row r="71" spans="4:23" ht="13" thickBot="1">
      <c r="E71" s="10">
        <f t="shared" si="0"/>
        <v>0</v>
      </c>
      <c r="F71" s="10"/>
      <c r="G71" s="10"/>
      <c r="H71" s="13" t="s">
        <v>25</v>
      </c>
      <c r="I71" s="9" t="str">
        <f>IF(OR(H70="",H72=""),"",+IF(H70&gt;H72,E70,E72))</f>
        <v/>
      </c>
      <c r="J71" s="16"/>
      <c r="K71" s="10"/>
      <c r="L71" s="14"/>
      <c r="M71" s="10"/>
      <c r="N71" s="14"/>
      <c r="O71" s="10"/>
      <c r="P71" s="10"/>
      <c r="Q71" s="10"/>
      <c r="R71" s="8"/>
      <c r="T71">
        <v>67</v>
      </c>
      <c r="U71" s="28" t="s">
        <v>135</v>
      </c>
      <c r="V71" t="s">
        <v>77</v>
      </c>
      <c r="W71" s="28" t="s">
        <v>136</v>
      </c>
    </row>
    <row r="72" spans="4:23" ht="13" thickBot="1">
      <c r="D72">
        <v>32</v>
      </c>
      <c r="E72" s="9">
        <f t="shared" ref="E72:E135" si="1">D72</f>
        <v>32</v>
      </c>
      <c r="F72" s="9"/>
      <c r="G72" s="9">
        <f>E72</f>
        <v>32</v>
      </c>
      <c r="H72" s="16"/>
      <c r="I72" s="10"/>
      <c r="J72" s="10"/>
      <c r="K72" s="10"/>
      <c r="L72" s="14"/>
      <c r="M72" s="10"/>
      <c r="N72" s="14"/>
      <c r="O72" s="10"/>
      <c r="P72" s="10"/>
      <c r="Q72" s="10"/>
      <c r="R72" s="8"/>
      <c r="T72">
        <v>68</v>
      </c>
      <c r="U72" s="28" t="s">
        <v>137</v>
      </c>
      <c r="V72" t="s">
        <v>77</v>
      </c>
      <c r="W72" s="28" t="s">
        <v>138</v>
      </c>
    </row>
    <row r="73" spans="4:23" ht="13" thickBot="1">
      <c r="E73" s="10">
        <f t="shared" si="1"/>
        <v>0</v>
      </c>
      <c r="F73" s="10"/>
      <c r="G73" s="10"/>
      <c r="H73" s="10"/>
      <c r="I73" s="10"/>
      <c r="J73" s="10"/>
      <c r="K73" s="10"/>
      <c r="L73" s="14" t="s">
        <v>63</v>
      </c>
      <c r="M73" s="9" t="str">
        <f>IF(OR(L68="",L78=""),"",+IF(L68&gt;L78,K68,K78))</f>
        <v/>
      </c>
      <c r="N73" s="16"/>
      <c r="O73" s="10"/>
      <c r="P73" s="10"/>
      <c r="Q73" s="10"/>
      <c r="R73" s="8"/>
      <c r="T73">
        <v>69</v>
      </c>
      <c r="U73" s="28" t="s">
        <v>144</v>
      </c>
      <c r="V73" t="s">
        <v>77</v>
      </c>
      <c r="W73" s="28" t="s">
        <v>139</v>
      </c>
    </row>
    <row r="74" spans="4:23" ht="13" thickBot="1">
      <c r="D74">
        <v>33</v>
      </c>
      <c r="E74" s="9">
        <f t="shared" si="1"/>
        <v>33</v>
      </c>
      <c r="F74" s="9"/>
      <c r="G74" s="9">
        <f>E74</f>
        <v>33</v>
      </c>
      <c r="H74" s="11"/>
      <c r="I74" s="10"/>
      <c r="J74" s="10"/>
      <c r="K74" s="10"/>
      <c r="L74" s="14"/>
      <c r="M74" s="10"/>
      <c r="N74" s="10"/>
      <c r="O74" s="10"/>
      <c r="P74" s="10"/>
      <c r="Q74" s="10"/>
      <c r="R74" s="8"/>
      <c r="T74">
        <v>70</v>
      </c>
      <c r="U74" s="28" t="s">
        <v>140</v>
      </c>
      <c r="V74" t="s">
        <v>77</v>
      </c>
      <c r="W74" s="28" t="s">
        <v>141</v>
      </c>
    </row>
    <row r="75" spans="4:23" ht="13" thickBot="1">
      <c r="E75" s="10">
        <f t="shared" si="1"/>
        <v>0</v>
      </c>
      <c r="F75" s="10"/>
      <c r="G75" s="10"/>
      <c r="H75" s="13" t="s">
        <v>26</v>
      </c>
      <c r="I75" s="9" t="str">
        <f>IF(OR(H74="",H76=""),"",+IF(H74&gt;H76,E74,E76))</f>
        <v/>
      </c>
      <c r="J75" s="17"/>
      <c r="K75" s="10"/>
      <c r="L75" s="14"/>
      <c r="M75" s="10"/>
      <c r="N75" s="10"/>
      <c r="O75" s="10"/>
      <c r="P75" s="10"/>
      <c r="Q75" s="10"/>
      <c r="R75" s="8"/>
      <c r="T75">
        <v>71</v>
      </c>
      <c r="U75" s="28" t="s">
        <v>143</v>
      </c>
      <c r="V75" t="s">
        <v>77</v>
      </c>
      <c r="W75" s="28" t="s">
        <v>142</v>
      </c>
    </row>
    <row r="76" spans="4:23" ht="13" thickBot="1">
      <c r="D76">
        <v>34</v>
      </c>
      <c r="E76" s="9">
        <f t="shared" si="1"/>
        <v>34</v>
      </c>
      <c r="F76" s="9"/>
      <c r="G76" s="9">
        <f>E76</f>
        <v>34</v>
      </c>
      <c r="H76" s="16"/>
      <c r="I76" s="10"/>
      <c r="J76" s="13"/>
      <c r="K76" s="10"/>
      <c r="L76" s="14"/>
      <c r="M76" s="10"/>
      <c r="N76" s="10"/>
      <c r="O76" s="10"/>
      <c r="P76" s="10"/>
      <c r="Q76" s="10"/>
      <c r="R76" s="8"/>
      <c r="T76">
        <v>72</v>
      </c>
      <c r="U76" s="28" t="s">
        <v>145</v>
      </c>
      <c r="V76" t="s">
        <v>77</v>
      </c>
      <c r="W76" s="28" t="s">
        <v>146</v>
      </c>
    </row>
    <row r="77" spans="4:23">
      <c r="E77" s="10">
        <f t="shared" si="1"/>
        <v>0</v>
      </c>
      <c r="F77" s="10"/>
      <c r="G77" s="10"/>
      <c r="H77" s="10"/>
      <c r="I77" s="10"/>
      <c r="J77" s="14"/>
      <c r="K77" s="10"/>
      <c r="L77" s="14"/>
      <c r="M77" s="10"/>
      <c r="N77" s="10"/>
      <c r="O77" s="10"/>
      <c r="P77" s="10"/>
      <c r="Q77" s="10"/>
      <c r="R77" s="8"/>
      <c r="T77">
        <v>73</v>
      </c>
      <c r="U77" s="28" t="s">
        <v>147</v>
      </c>
      <c r="V77" t="s">
        <v>77</v>
      </c>
      <c r="W77" s="28" t="s">
        <v>148</v>
      </c>
    </row>
    <row r="78" spans="4:23" ht="13" thickBot="1">
      <c r="D78">
        <v>35</v>
      </c>
      <c r="E78" s="10">
        <f t="shared" si="1"/>
        <v>35</v>
      </c>
      <c r="F78" s="11"/>
      <c r="G78" s="10"/>
      <c r="H78" s="10"/>
      <c r="I78" s="10"/>
      <c r="J78" s="14" t="s">
        <v>51</v>
      </c>
      <c r="K78" s="18" t="str">
        <f>IF(OR(I75="",I80=""),"",+IF(J75&gt;J80,I75,I80))</f>
        <v/>
      </c>
      <c r="L78" s="16"/>
      <c r="M78" s="10"/>
      <c r="N78" s="10"/>
      <c r="O78" s="10"/>
      <c r="P78" s="10"/>
      <c r="Q78" s="10"/>
      <c r="R78" s="8"/>
      <c r="T78">
        <v>74</v>
      </c>
      <c r="U78" s="28" t="s">
        <v>168</v>
      </c>
      <c r="V78" t="s">
        <v>77</v>
      </c>
      <c r="W78" s="28" t="s">
        <v>150</v>
      </c>
    </row>
    <row r="79" spans="4:23" ht="13" thickBot="1">
      <c r="E79" s="12">
        <f t="shared" si="1"/>
        <v>0</v>
      </c>
      <c r="F79" s="13" t="s">
        <v>5</v>
      </c>
      <c r="G79" s="9" t="str">
        <f>IF(OR(F78="",F80=""),"",+IF(F78&gt;F80,E78,E80))</f>
        <v/>
      </c>
      <c r="H79" s="17"/>
      <c r="I79" s="10"/>
      <c r="J79" s="14"/>
      <c r="K79" s="10"/>
      <c r="L79" s="10"/>
      <c r="M79" s="10"/>
      <c r="N79" s="10"/>
      <c r="O79" s="10"/>
      <c r="P79" s="10"/>
      <c r="Q79" s="10"/>
      <c r="R79" s="8"/>
    </row>
    <row r="80" spans="4:23" ht="13" thickBot="1">
      <c r="D80">
        <v>36</v>
      </c>
      <c r="E80" s="21">
        <f t="shared" si="1"/>
        <v>36</v>
      </c>
      <c r="F80" s="16"/>
      <c r="G80" s="10"/>
      <c r="H80" s="13"/>
      <c r="I80" s="9" t="str">
        <f>IF(OR(H79="",H82=""),"",+IF(H79&gt;H82,G79,G82))</f>
        <v/>
      </c>
      <c r="J80" s="16"/>
      <c r="K80" s="10"/>
      <c r="L80" s="10"/>
      <c r="M80" s="10"/>
      <c r="N80" s="10"/>
      <c r="O80" s="10"/>
      <c r="P80" s="10"/>
      <c r="Q80" s="10"/>
      <c r="R80" s="8"/>
    </row>
    <row r="81" spans="4:18">
      <c r="E81" s="10">
        <f t="shared" si="1"/>
        <v>0</v>
      </c>
      <c r="F81" s="10"/>
      <c r="G81" s="10"/>
      <c r="H81" s="14" t="s">
        <v>27</v>
      </c>
      <c r="I81" s="10"/>
      <c r="J81" s="10"/>
      <c r="K81" s="10"/>
      <c r="L81" s="10"/>
      <c r="M81" s="10"/>
      <c r="N81" s="10"/>
      <c r="O81" s="10"/>
      <c r="P81" s="10"/>
      <c r="Q81" s="10"/>
      <c r="R81" s="8"/>
    </row>
    <row r="82" spans="4:18" ht="13" thickBot="1">
      <c r="D82">
        <v>37</v>
      </c>
      <c r="E82" s="9">
        <f t="shared" si="1"/>
        <v>37</v>
      </c>
      <c r="F82" s="9"/>
      <c r="G82" s="9">
        <f>E82</f>
        <v>37</v>
      </c>
      <c r="H82" s="16"/>
      <c r="I82" s="10"/>
      <c r="J82" s="10"/>
      <c r="K82" s="10"/>
      <c r="L82" s="10"/>
      <c r="M82" s="10"/>
      <c r="N82" s="10"/>
      <c r="O82" s="10"/>
      <c r="P82" s="10"/>
      <c r="Q82" s="10"/>
      <c r="R82" s="8"/>
    </row>
    <row r="83" spans="4:18" ht="13" thickBot="1">
      <c r="E83">
        <f t="shared" si="1"/>
        <v>0</v>
      </c>
      <c r="Q83" s="28" t="s">
        <v>74</v>
      </c>
      <c r="R83" s="27"/>
    </row>
    <row r="84" spans="4:18">
      <c r="E84">
        <f t="shared" si="1"/>
        <v>0</v>
      </c>
      <c r="R84" s="8"/>
    </row>
    <row r="85" spans="4:18" ht="13" thickBot="1">
      <c r="D85">
        <v>38</v>
      </c>
      <c r="E85" s="9">
        <f t="shared" si="1"/>
        <v>38</v>
      </c>
      <c r="F85" s="9"/>
      <c r="G85" s="9">
        <f>E85</f>
        <v>38</v>
      </c>
      <c r="H85" s="11"/>
      <c r="I85" s="10"/>
      <c r="J85" s="10"/>
      <c r="K85" s="10"/>
      <c r="L85" s="10"/>
      <c r="M85" s="10"/>
      <c r="N85" s="10"/>
      <c r="O85" s="10"/>
      <c r="P85" s="10"/>
      <c r="Q85" s="10"/>
      <c r="R85" s="8"/>
    </row>
    <row r="86" spans="4:18">
      <c r="E86" s="12">
        <f t="shared" si="1"/>
        <v>0</v>
      </c>
      <c r="F86" s="10"/>
      <c r="G86" s="10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8"/>
    </row>
    <row r="87" spans="4:18" ht="13" thickBot="1">
      <c r="E87" s="10">
        <f t="shared" si="1"/>
        <v>0</v>
      </c>
      <c r="F87" s="10"/>
      <c r="G87" s="10"/>
      <c r="H87" s="14" t="s">
        <v>28</v>
      </c>
      <c r="I87" s="9" t="str">
        <f>IF(OR(H85="",H89=""),"",+IF(H85&gt;H89,E85,G89))</f>
        <v/>
      </c>
      <c r="J87" s="11"/>
      <c r="K87" s="10"/>
      <c r="L87" s="10"/>
      <c r="M87" s="10"/>
      <c r="N87" s="10"/>
      <c r="O87" s="10"/>
      <c r="P87" s="10"/>
      <c r="Q87" s="10"/>
      <c r="R87" s="8"/>
    </row>
    <row r="88" spans="4:18" ht="13" thickBot="1">
      <c r="D88">
        <v>39</v>
      </c>
      <c r="E88" s="10">
        <f t="shared" si="1"/>
        <v>39</v>
      </c>
      <c r="F88" s="11"/>
      <c r="G88" s="10"/>
      <c r="H88" s="14"/>
      <c r="I88" s="10"/>
      <c r="J88" s="13"/>
      <c r="K88" s="10"/>
      <c r="L88" s="10"/>
      <c r="M88" s="10"/>
      <c r="N88" s="10"/>
      <c r="O88" s="10"/>
      <c r="P88" s="10"/>
      <c r="Q88" s="10"/>
      <c r="R88" s="8"/>
    </row>
    <row r="89" spans="4:18" ht="13" thickBot="1">
      <c r="E89" s="12">
        <f t="shared" si="1"/>
        <v>0</v>
      </c>
      <c r="F89" s="13" t="s">
        <v>6</v>
      </c>
      <c r="G89" s="9" t="str">
        <f>IF(OR(F88="",F90=""),"",+IF(F88&gt;F90,E88,E90))</f>
        <v/>
      </c>
      <c r="H89" s="16"/>
      <c r="I89" s="10"/>
      <c r="J89" s="14"/>
      <c r="K89" s="10"/>
      <c r="L89" s="10"/>
      <c r="M89" s="10"/>
      <c r="N89" s="10"/>
      <c r="O89" s="10"/>
      <c r="P89" s="10"/>
      <c r="Q89" s="10"/>
      <c r="R89" s="8"/>
    </row>
    <row r="90" spans="4:18" ht="13" thickBot="1">
      <c r="D90">
        <v>40</v>
      </c>
      <c r="E90" s="10">
        <f t="shared" si="1"/>
        <v>40</v>
      </c>
      <c r="F90" s="16"/>
      <c r="G90" s="10"/>
      <c r="H90" s="10"/>
      <c r="I90" s="10"/>
      <c r="J90" s="14" t="s">
        <v>52</v>
      </c>
      <c r="K90" s="9" t="str">
        <f>IF(OR(J87="",J93=""),"",+IF(J87&gt;J93,I87,I93))</f>
        <v/>
      </c>
      <c r="L90" s="17"/>
      <c r="M90" s="10"/>
      <c r="N90" s="10"/>
      <c r="O90" s="10"/>
      <c r="P90" s="10"/>
      <c r="Q90" s="10"/>
      <c r="R90" s="8"/>
    </row>
    <row r="91" spans="4:18">
      <c r="E91" s="12">
        <f t="shared" si="1"/>
        <v>0</v>
      </c>
      <c r="F91" s="10"/>
      <c r="G91" s="10"/>
      <c r="H91" s="10"/>
      <c r="I91" s="10"/>
      <c r="J91" s="14"/>
      <c r="K91" s="10"/>
      <c r="L91" s="10"/>
      <c r="M91" s="19"/>
      <c r="N91" s="10"/>
      <c r="O91" s="10"/>
      <c r="P91" s="10"/>
      <c r="Q91" s="10"/>
      <c r="R91" s="8"/>
    </row>
    <row r="92" spans="4:18" ht="13" thickBot="1">
      <c r="D92">
        <v>41</v>
      </c>
      <c r="E92" s="9">
        <f t="shared" si="1"/>
        <v>41</v>
      </c>
      <c r="F92" s="9"/>
      <c r="G92" s="9">
        <f>E92</f>
        <v>41</v>
      </c>
      <c r="H92" s="11"/>
      <c r="I92" s="10"/>
      <c r="J92" s="14"/>
      <c r="K92" s="10"/>
      <c r="L92" s="10"/>
      <c r="M92" s="19"/>
      <c r="N92" s="10"/>
      <c r="O92" s="10"/>
      <c r="P92" s="10"/>
      <c r="Q92" s="10"/>
      <c r="R92" s="8"/>
    </row>
    <row r="93" spans="4:18" ht="13" thickBot="1">
      <c r="E93" s="10">
        <f t="shared" si="1"/>
        <v>0</v>
      </c>
      <c r="F93" s="10"/>
      <c r="G93" s="10"/>
      <c r="H93" s="13" t="s">
        <v>29</v>
      </c>
      <c r="I93" s="9" t="str">
        <f>IF(OR(H92="",H94=""),"",+IF(H92&gt;H94,E92,E94))</f>
        <v/>
      </c>
      <c r="J93" s="16"/>
      <c r="K93" s="10"/>
      <c r="L93" s="10"/>
      <c r="M93" s="19"/>
      <c r="N93" s="10"/>
      <c r="O93" s="10"/>
      <c r="P93" s="10"/>
      <c r="Q93" s="10"/>
      <c r="R93" s="8"/>
    </row>
    <row r="94" spans="4:18" ht="13" thickBot="1">
      <c r="D94">
        <v>42</v>
      </c>
      <c r="E94" s="9">
        <f t="shared" si="1"/>
        <v>42</v>
      </c>
      <c r="F94" s="9"/>
      <c r="G94" s="9">
        <f>E94</f>
        <v>42</v>
      </c>
      <c r="H94" s="16"/>
      <c r="I94" s="10"/>
      <c r="J94" s="10"/>
      <c r="K94" s="10"/>
      <c r="L94" s="10"/>
      <c r="M94" s="19"/>
      <c r="N94" s="10"/>
      <c r="O94" s="10"/>
      <c r="P94" s="10"/>
      <c r="Q94" s="10"/>
      <c r="R94" s="8"/>
    </row>
    <row r="95" spans="4:18" ht="13" thickBot="1">
      <c r="E95" s="10">
        <f t="shared" si="1"/>
        <v>0</v>
      </c>
      <c r="F95" s="10"/>
      <c r="G95" s="10"/>
      <c r="H95" s="10"/>
      <c r="I95" s="10"/>
      <c r="J95" s="10"/>
      <c r="K95" s="10"/>
      <c r="L95" s="14" t="s">
        <v>64</v>
      </c>
      <c r="M95" s="9" t="str">
        <f>IF(OR(L90="",L99=""),"",+IF(L90&gt;L99,K90,K99))</f>
        <v/>
      </c>
      <c r="N95" s="17"/>
      <c r="O95" s="10"/>
      <c r="P95" s="10"/>
      <c r="Q95" s="10"/>
      <c r="R95" s="8"/>
    </row>
    <row r="96" spans="4:18" ht="13" thickBot="1">
      <c r="D96">
        <v>43</v>
      </c>
      <c r="E96" s="9">
        <f t="shared" si="1"/>
        <v>43</v>
      </c>
      <c r="F96" s="9"/>
      <c r="G96" s="9">
        <f>E96</f>
        <v>43</v>
      </c>
      <c r="H96" s="11"/>
      <c r="I96" s="10"/>
      <c r="J96" s="10"/>
      <c r="K96" s="10"/>
      <c r="L96" s="10"/>
      <c r="M96" s="19"/>
      <c r="N96" s="13"/>
      <c r="O96" s="10"/>
      <c r="P96" s="10"/>
      <c r="Q96" s="10"/>
      <c r="R96" s="8"/>
    </row>
    <row r="97" spans="4:18" ht="13" thickBot="1">
      <c r="E97" s="10">
        <f t="shared" si="1"/>
        <v>0</v>
      </c>
      <c r="F97" s="10"/>
      <c r="G97" s="12"/>
      <c r="H97" s="13" t="s">
        <v>30</v>
      </c>
      <c r="I97" s="9" t="str">
        <f>IF(OR(H96="",H98=""),"",+IF(H96&gt;H98,E96,E98))</f>
        <v/>
      </c>
      <c r="J97" s="17"/>
      <c r="K97" s="10"/>
      <c r="L97" s="10"/>
      <c r="M97" s="19"/>
      <c r="N97" s="14"/>
      <c r="O97" s="10"/>
      <c r="P97" s="10"/>
      <c r="Q97" s="10"/>
      <c r="R97" s="8"/>
    </row>
    <row r="98" spans="4:18" ht="13" thickBot="1">
      <c r="D98">
        <v>44</v>
      </c>
      <c r="E98" s="9">
        <f t="shared" si="1"/>
        <v>44</v>
      </c>
      <c r="F98" s="9"/>
      <c r="G98" s="9">
        <f>E98</f>
        <v>44</v>
      </c>
      <c r="H98" s="16"/>
      <c r="I98" s="10"/>
      <c r="J98" s="14"/>
      <c r="K98" s="10"/>
      <c r="L98" s="10"/>
      <c r="M98" s="19"/>
      <c r="N98" s="14"/>
      <c r="O98" s="10"/>
      <c r="P98" s="10"/>
      <c r="Q98" s="10"/>
      <c r="R98" s="8"/>
    </row>
    <row r="99" spans="4:18" ht="13" thickBot="1">
      <c r="E99" s="10">
        <f t="shared" si="1"/>
        <v>0</v>
      </c>
      <c r="F99" s="10"/>
      <c r="G99" s="12"/>
      <c r="H99" s="10"/>
      <c r="I99" s="10"/>
      <c r="J99" s="14" t="s">
        <v>53</v>
      </c>
      <c r="K99" s="9" t="str">
        <f>IF(OR(J97="",J101=""),"",+IF(J97&gt;J101,I97,I101))</f>
        <v/>
      </c>
      <c r="L99" s="16"/>
      <c r="M99" s="19"/>
      <c r="N99" s="14"/>
      <c r="O99" s="10"/>
      <c r="P99" s="10"/>
      <c r="Q99" s="10"/>
      <c r="R99" s="8"/>
    </row>
    <row r="100" spans="4:18" ht="13" thickBot="1">
      <c r="D100">
        <v>45</v>
      </c>
      <c r="E100" s="9">
        <f t="shared" si="1"/>
        <v>45</v>
      </c>
      <c r="F100" s="9"/>
      <c r="G100" s="9">
        <f>E100</f>
        <v>45</v>
      </c>
      <c r="H100" s="11"/>
      <c r="I100" s="10"/>
      <c r="J100" s="14"/>
      <c r="K100" s="10"/>
      <c r="L100" s="10"/>
      <c r="M100" s="10"/>
      <c r="N100" s="14"/>
      <c r="O100" s="10"/>
      <c r="P100" s="10"/>
      <c r="Q100" s="10"/>
      <c r="R100" s="8"/>
    </row>
    <row r="101" spans="4:18" ht="13" thickBot="1">
      <c r="E101" s="10">
        <f t="shared" si="1"/>
        <v>0</v>
      </c>
      <c r="F101" s="10"/>
      <c r="G101" s="12"/>
      <c r="H101" s="13" t="s">
        <v>31</v>
      </c>
      <c r="I101" s="9" t="str">
        <f>IF(OR(H100="",H102=""),"",+IF(H100&gt;H102,E100,E102))</f>
        <v/>
      </c>
      <c r="J101" s="16"/>
      <c r="K101" s="10"/>
      <c r="L101" s="10"/>
      <c r="M101" s="10"/>
      <c r="N101" s="14"/>
      <c r="O101" s="10"/>
      <c r="P101" s="10"/>
      <c r="Q101" s="10"/>
      <c r="R101" s="8"/>
    </row>
    <row r="102" spans="4:18" ht="13" thickBot="1">
      <c r="D102">
        <v>46</v>
      </c>
      <c r="E102" s="9">
        <f t="shared" si="1"/>
        <v>46</v>
      </c>
      <c r="F102" s="9"/>
      <c r="G102" s="9">
        <f>E102</f>
        <v>46</v>
      </c>
      <c r="H102" s="16"/>
      <c r="I102" s="10"/>
      <c r="J102" s="10"/>
      <c r="K102" s="10"/>
      <c r="L102" s="10"/>
      <c r="M102" s="10"/>
      <c r="N102" s="14"/>
      <c r="O102" s="10"/>
      <c r="P102" s="10"/>
      <c r="Q102" s="10"/>
      <c r="R102" s="8"/>
    </row>
    <row r="103" spans="4:18">
      <c r="E103" s="10">
        <f t="shared" si="1"/>
        <v>0</v>
      </c>
      <c r="F103" s="10"/>
      <c r="G103" s="10"/>
      <c r="H103" s="10"/>
      <c r="I103" s="10"/>
      <c r="J103" s="10"/>
      <c r="K103" s="10"/>
      <c r="L103" s="10"/>
      <c r="M103" s="10"/>
      <c r="N103" s="14"/>
      <c r="O103" s="10"/>
      <c r="P103" s="10"/>
      <c r="Q103" s="10"/>
      <c r="R103" s="8"/>
    </row>
    <row r="104" spans="4:18" ht="13" thickBot="1">
      <c r="D104">
        <v>47</v>
      </c>
      <c r="E104" s="10">
        <f t="shared" si="1"/>
        <v>47</v>
      </c>
      <c r="F104" s="9"/>
      <c r="G104" s="9">
        <f>E104</f>
        <v>47</v>
      </c>
      <c r="H104" s="11"/>
      <c r="I104" s="10"/>
      <c r="J104" s="10"/>
      <c r="K104" s="10"/>
      <c r="L104" s="10"/>
      <c r="M104" s="10"/>
      <c r="N104" s="14" t="s">
        <v>70</v>
      </c>
      <c r="O104" s="9" t="str">
        <f>IF(OR(N95="",N114=""),"",+IF(N95&gt;N114,M95,M114))</f>
        <v/>
      </c>
      <c r="P104" s="17"/>
      <c r="Q104" s="10"/>
      <c r="R104" s="8"/>
    </row>
    <row r="105" spans="4:18">
      <c r="E105" s="12">
        <f t="shared" si="1"/>
        <v>0</v>
      </c>
      <c r="F105" s="10"/>
      <c r="G105" s="10"/>
      <c r="H105" s="13"/>
      <c r="I105" s="10"/>
      <c r="J105" s="10"/>
      <c r="K105" s="10"/>
      <c r="L105" s="10"/>
      <c r="M105" s="10"/>
      <c r="N105" s="14"/>
      <c r="O105" s="10"/>
      <c r="P105" s="14"/>
      <c r="Q105" s="10"/>
      <c r="R105" s="8"/>
    </row>
    <row r="106" spans="4:18" ht="13" thickBot="1">
      <c r="E106" s="10">
        <f t="shared" si="1"/>
        <v>0</v>
      </c>
      <c r="F106" s="10"/>
      <c r="G106" s="10"/>
      <c r="H106" s="14" t="s">
        <v>32</v>
      </c>
      <c r="I106" s="9" t="str">
        <f>IF(OR(H104="",H108=""),"",+IF(H104&gt;H108,G104,G108))</f>
        <v/>
      </c>
      <c r="J106" s="11"/>
      <c r="K106" s="10"/>
      <c r="L106" s="10"/>
      <c r="M106" s="10"/>
      <c r="N106" s="14"/>
      <c r="O106" s="10"/>
      <c r="P106" s="14"/>
      <c r="Q106" s="10"/>
      <c r="R106" s="8"/>
    </row>
    <row r="107" spans="4:18" ht="13" thickBot="1">
      <c r="D107">
        <v>48</v>
      </c>
      <c r="E107" s="10">
        <f t="shared" si="1"/>
        <v>48</v>
      </c>
      <c r="F107" s="11"/>
      <c r="G107" s="10"/>
      <c r="H107" s="14"/>
      <c r="I107" s="10"/>
      <c r="J107" s="13"/>
      <c r="K107" s="10"/>
      <c r="L107" s="10"/>
      <c r="M107" s="10"/>
      <c r="N107" s="14"/>
      <c r="O107" s="10"/>
      <c r="P107" s="14"/>
      <c r="Q107" s="10"/>
      <c r="R107" s="8"/>
    </row>
    <row r="108" spans="4:18" ht="13" thickBot="1">
      <c r="E108" s="12">
        <f t="shared" si="1"/>
        <v>0</v>
      </c>
      <c r="F108" s="13" t="s">
        <v>7</v>
      </c>
      <c r="G108" s="9" t="str">
        <f>IF(OR(F107="",F109=""),"",+IF(F107&gt;F109,E107,E109))</f>
        <v/>
      </c>
      <c r="H108" s="16"/>
      <c r="I108" s="10"/>
      <c r="J108" s="14"/>
      <c r="K108" s="10"/>
      <c r="L108" s="10"/>
      <c r="M108" s="10"/>
      <c r="N108" s="14"/>
      <c r="O108" s="10"/>
      <c r="P108" s="14"/>
      <c r="Q108" s="10"/>
      <c r="R108" s="8"/>
    </row>
    <row r="109" spans="4:18" ht="13" thickBot="1">
      <c r="D109">
        <v>49</v>
      </c>
      <c r="E109" s="10">
        <f t="shared" si="1"/>
        <v>49</v>
      </c>
      <c r="F109" s="16"/>
      <c r="G109" s="10"/>
      <c r="H109" s="10"/>
      <c r="I109" s="10"/>
      <c r="J109" s="14" t="s">
        <v>54</v>
      </c>
      <c r="K109" s="9" t="str">
        <f>IF(OR(J106="",J112=""),"",+IF(J106&gt;J112,I106,I112))</f>
        <v/>
      </c>
      <c r="L109" s="11"/>
      <c r="M109" s="10"/>
      <c r="N109" s="14"/>
      <c r="O109" s="10"/>
      <c r="P109" s="14"/>
      <c r="Q109" s="10"/>
      <c r="R109" s="8"/>
    </row>
    <row r="110" spans="4:18">
      <c r="E110" s="12">
        <f t="shared" si="1"/>
        <v>0</v>
      </c>
      <c r="F110" s="10"/>
      <c r="G110" s="10"/>
      <c r="H110" s="10"/>
      <c r="I110" s="10"/>
      <c r="J110" s="14"/>
      <c r="K110" s="12"/>
      <c r="L110" s="13"/>
      <c r="M110" s="10"/>
      <c r="N110" s="14"/>
      <c r="O110" s="10"/>
      <c r="P110" s="14"/>
      <c r="Q110" s="10"/>
      <c r="R110" s="8"/>
    </row>
    <row r="111" spans="4:18" ht="13" thickBot="1">
      <c r="D111">
        <v>50</v>
      </c>
      <c r="E111" s="9">
        <f t="shared" si="1"/>
        <v>50</v>
      </c>
      <c r="F111" s="9"/>
      <c r="G111" s="9">
        <f>E111</f>
        <v>50</v>
      </c>
      <c r="H111" s="11"/>
      <c r="I111" s="10"/>
      <c r="J111" s="14"/>
      <c r="K111" s="10"/>
      <c r="L111" s="14"/>
      <c r="M111" s="10"/>
      <c r="N111" s="14"/>
      <c r="O111" s="10"/>
      <c r="P111" s="14"/>
      <c r="Q111" s="10"/>
      <c r="R111" s="8"/>
    </row>
    <row r="112" spans="4:18" ht="13" thickBot="1">
      <c r="E112" s="10">
        <f t="shared" si="1"/>
        <v>0</v>
      </c>
      <c r="F112" s="10"/>
      <c r="G112" s="10"/>
      <c r="H112" s="13" t="s">
        <v>33</v>
      </c>
      <c r="I112" s="9" t="str">
        <f>IF(OR(H111="",H113=""),"",+IF(H111&gt;H113,E111,E113))</f>
        <v/>
      </c>
      <c r="J112" s="16"/>
      <c r="K112" s="10"/>
      <c r="L112" s="14"/>
      <c r="M112" s="10"/>
      <c r="N112" s="14"/>
      <c r="O112" s="10"/>
      <c r="P112" s="14"/>
      <c r="Q112" s="10"/>
      <c r="R112" s="8"/>
    </row>
    <row r="113" spans="4:18" ht="13" thickBot="1">
      <c r="D113">
        <v>51</v>
      </c>
      <c r="E113" s="9">
        <f t="shared" si="1"/>
        <v>51</v>
      </c>
      <c r="F113" s="9"/>
      <c r="G113" s="9">
        <f>E113</f>
        <v>51</v>
      </c>
      <c r="H113" s="16"/>
      <c r="I113" s="10"/>
      <c r="J113" s="10"/>
      <c r="K113" s="10"/>
      <c r="L113" s="14"/>
      <c r="M113" s="10"/>
      <c r="N113" s="14"/>
      <c r="O113" s="10"/>
      <c r="P113" s="14"/>
      <c r="Q113" s="10"/>
      <c r="R113" s="8"/>
    </row>
    <row r="114" spans="4:18" ht="13" thickBot="1">
      <c r="E114" s="10">
        <f t="shared" si="1"/>
        <v>0</v>
      </c>
      <c r="F114" s="10"/>
      <c r="G114" s="10"/>
      <c r="H114" s="10"/>
      <c r="I114" s="10"/>
      <c r="J114" s="10"/>
      <c r="K114" s="10"/>
      <c r="L114" s="14" t="s">
        <v>65</v>
      </c>
      <c r="M114" s="9" t="str">
        <f>IF(OR(L109="",L119=""),"",+IF(L109&gt;L119,K109,K119))</f>
        <v/>
      </c>
      <c r="N114" s="16"/>
      <c r="O114" s="10"/>
      <c r="P114" s="14"/>
      <c r="Q114" s="10"/>
      <c r="R114" s="8"/>
    </row>
    <row r="115" spans="4:18" ht="13" thickBot="1">
      <c r="D115">
        <v>52</v>
      </c>
      <c r="E115" s="9">
        <f t="shared" si="1"/>
        <v>52</v>
      </c>
      <c r="F115" s="9"/>
      <c r="G115" s="9">
        <f>E115</f>
        <v>52</v>
      </c>
      <c r="H115" s="11"/>
      <c r="I115" s="10"/>
      <c r="J115" s="10"/>
      <c r="K115" s="10"/>
      <c r="L115" s="14"/>
      <c r="M115" s="10"/>
      <c r="N115" s="10"/>
      <c r="O115" s="10"/>
      <c r="P115" s="14"/>
      <c r="Q115" s="10"/>
      <c r="R115" s="8"/>
    </row>
    <row r="116" spans="4:18" ht="13" thickBot="1">
      <c r="E116" s="10">
        <f t="shared" si="1"/>
        <v>0</v>
      </c>
      <c r="F116" s="10"/>
      <c r="G116" s="10"/>
      <c r="H116" s="13" t="s">
        <v>34</v>
      </c>
      <c r="I116" s="9" t="str">
        <f>IF(OR(H115="",H117=""),"",+IF(H115&gt;H117,E115,E117))</f>
        <v/>
      </c>
      <c r="J116" s="17"/>
      <c r="K116" s="10"/>
      <c r="L116" s="14"/>
      <c r="M116" s="10"/>
      <c r="N116" s="10"/>
      <c r="O116" s="10"/>
      <c r="P116" s="14"/>
      <c r="Q116" s="10"/>
      <c r="R116" s="8"/>
    </row>
    <row r="117" spans="4:18" ht="13" thickBot="1">
      <c r="D117">
        <v>53</v>
      </c>
      <c r="E117" s="9">
        <f t="shared" si="1"/>
        <v>53</v>
      </c>
      <c r="F117" s="9"/>
      <c r="G117" s="9">
        <f>E117</f>
        <v>53</v>
      </c>
      <c r="H117" s="16"/>
      <c r="I117" s="10"/>
      <c r="J117" s="13"/>
      <c r="K117" s="10"/>
      <c r="L117" s="14"/>
      <c r="M117" s="10"/>
      <c r="N117" s="10"/>
      <c r="O117" s="10"/>
      <c r="P117" s="14"/>
      <c r="Q117" s="10"/>
      <c r="R117" s="8"/>
    </row>
    <row r="118" spans="4:18">
      <c r="E118" s="10">
        <f t="shared" si="1"/>
        <v>0</v>
      </c>
      <c r="F118" s="10"/>
      <c r="G118" s="10"/>
      <c r="H118" s="10"/>
      <c r="I118" s="10"/>
      <c r="J118" s="14"/>
      <c r="K118" s="10"/>
      <c r="L118" s="14"/>
      <c r="M118" s="10"/>
      <c r="N118" s="10"/>
      <c r="O118" s="10"/>
      <c r="P118" s="14"/>
      <c r="Q118" s="10"/>
      <c r="R118" s="8"/>
    </row>
    <row r="119" spans="4:18" ht="13" thickBot="1">
      <c r="D119">
        <v>54</v>
      </c>
      <c r="E119" s="10">
        <f t="shared" si="1"/>
        <v>54</v>
      </c>
      <c r="F119" s="11"/>
      <c r="G119" s="10"/>
      <c r="H119" s="10"/>
      <c r="I119" s="10"/>
      <c r="J119" s="14" t="s">
        <v>55</v>
      </c>
      <c r="K119" s="18" t="str">
        <f>IF(OR(I116="",I121=""),"",+IF(J116&gt;J121,I116,I121))</f>
        <v/>
      </c>
      <c r="L119" s="16"/>
      <c r="M119" s="10"/>
      <c r="N119" s="10"/>
      <c r="O119" s="10"/>
      <c r="P119" s="14"/>
      <c r="Q119" s="10"/>
      <c r="R119" s="8"/>
    </row>
    <row r="120" spans="4:18" ht="13" thickBot="1">
      <c r="E120" s="12">
        <f t="shared" si="1"/>
        <v>0</v>
      </c>
      <c r="F120" s="13" t="s">
        <v>8</v>
      </c>
      <c r="G120" s="9" t="str">
        <f>IF(OR(F119="",F121=""),"",+IF(F119&gt;F121,E119,E121))</f>
        <v/>
      </c>
      <c r="H120" s="17"/>
      <c r="I120" s="10"/>
      <c r="J120" s="14"/>
      <c r="K120" s="10"/>
      <c r="L120" s="10"/>
      <c r="M120" s="10"/>
      <c r="N120" s="10"/>
      <c r="O120" s="10"/>
      <c r="P120" s="14"/>
      <c r="Q120" s="10"/>
      <c r="R120" s="8"/>
    </row>
    <row r="121" spans="4:18" ht="13" thickBot="1">
      <c r="D121">
        <v>55</v>
      </c>
      <c r="E121" s="9">
        <f t="shared" si="1"/>
        <v>55</v>
      </c>
      <c r="F121" s="16"/>
      <c r="G121" s="10"/>
      <c r="H121" s="13" t="s">
        <v>35</v>
      </c>
      <c r="I121" s="9" t="str">
        <f>IF(OR(H120="",H123=""),"",+IF(H120&gt;H123,G120,G123))</f>
        <v/>
      </c>
      <c r="J121" s="16"/>
      <c r="K121" s="10"/>
      <c r="L121" s="10"/>
      <c r="M121" s="10"/>
      <c r="N121" s="10"/>
      <c r="O121" s="10"/>
      <c r="P121" s="14"/>
      <c r="Q121" s="10"/>
      <c r="R121" s="8"/>
    </row>
    <row r="122" spans="4:18">
      <c r="E122" s="10">
        <f t="shared" si="1"/>
        <v>0</v>
      </c>
      <c r="F122" s="10"/>
      <c r="G122" s="10"/>
      <c r="H122" s="14"/>
      <c r="I122" s="10"/>
      <c r="J122" s="10"/>
      <c r="K122" s="10"/>
      <c r="L122" s="10"/>
      <c r="M122" s="10"/>
      <c r="N122" s="10"/>
      <c r="O122" s="10"/>
      <c r="P122" s="14"/>
      <c r="Q122" s="10"/>
      <c r="R122" s="8"/>
    </row>
    <row r="123" spans="4:18" ht="13" thickBot="1">
      <c r="D123">
        <v>56</v>
      </c>
      <c r="E123" s="9">
        <f t="shared" si="1"/>
        <v>56</v>
      </c>
      <c r="F123" s="9"/>
      <c r="G123" s="9">
        <f>E123</f>
        <v>56</v>
      </c>
      <c r="H123" s="16"/>
      <c r="I123" s="10"/>
      <c r="J123" s="10"/>
      <c r="K123" s="10"/>
      <c r="L123" s="10"/>
      <c r="M123" s="10"/>
      <c r="N123" s="10"/>
      <c r="O123" s="10"/>
      <c r="P123" s="14"/>
      <c r="Q123" s="10"/>
      <c r="R123" s="8"/>
    </row>
    <row r="124" spans="4:18" ht="13" thickBot="1">
      <c r="E124" s="10">
        <f t="shared" si="1"/>
        <v>0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4" t="s">
        <v>73</v>
      </c>
      <c r="Q124" s="9" t="str">
        <f>IF(OR(P104="",P144=""),"",+IF(P104&gt;P144,O104,O144))</f>
        <v/>
      </c>
      <c r="R124" s="8"/>
    </row>
    <row r="125" spans="4:18" ht="13" thickBot="1">
      <c r="D125">
        <v>57</v>
      </c>
      <c r="E125" s="9">
        <f t="shared" si="1"/>
        <v>57</v>
      </c>
      <c r="F125" s="9"/>
      <c r="G125" s="9">
        <f>E125</f>
        <v>57</v>
      </c>
      <c r="H125" s="11"/>
      <c r="I125" s="10"/>
      <c r="J125" s="10"/>
      <c r="K125" s="10"/>
      <c r="L125" s="10"/>
      <c r="M125" s="10"/>
      <c r="N125" s="10"/>
      <c r="O125" s="10"/>
      <c r="P125" s="14"/>
      <c r="Q125" s="10"/>
    </row>
    <row r="126" spans="4:18">
      <c r="E126" s="12">
        <f t="shared" si="1"/>
        <v>0</v>
      </c>
      <c r="F126" s="10"/>
      <c r="G126" s="10"/>
      <c r="H126" s="13"/>
      <c r="I126" s="10"/>
      <c r="J126" s="10"/>
      <c r="K126" s="10"/>
      <c r="L126" s="10"/>
      <c r="M126" s="10"/>
      <c r="N126" s="10"/>
      <c r="O126" s="10"/>
      <c r="P126" s="14"/>
      <c r="Q126" s="10"/>
    </row>
    <row r="127" spans="4:18" ht="13" thickBot="1">
      <c r="E127" s="10">
        <f t="shared" si="1"/>
        <v>0</v>
      </c>
      <c r="F127" s="10"/>
      <c r="G127" s="10"/>
      <c r="H127" s="14" t="s">
        <v>36</v>
      </c>
      <c r="I127" s="9" t="str">
        <f>IF(OR(H125="",H129=""),"",+IF(H125&gt;H129,E125,G129))</f>
        <v/>
      </c>
      <c r="J127" s="11"/>
      <c r="K127" s="10"/>
      <c r="L127" s="10"/>
      <c r="M127" s="10"/>
      <c r="N127" s="10"/>
      <c r="O127" s="10"/>
      <c r="P127" s="14"/>
      <c r="Q127" s="10"/>
    </row>
    <row r="128" spans="4:18" ht="13" thickBot="1">
      <c r="D128">
        <v>58</v>
      </c>
      <c r="E128" s="10">
        <f t="shared" si="1"/>
        <v>58</v>
      </c>
      <c r="F128" s="11"/>
      <c r="G128" s="10"/>
      <c r="H128" s="14"/>
      <c r="I128" s="10"/>
      <c r="J128" s="13"/>
      <c r="K128" s="10"/>
      <c r="L128" s="10"/>
      <c r="M128" s="10"/>
      <c r="N128" s="10"/>
      <c r="O128" s="10"/>
      <c r="P128" s="14"/>
      <c r="Q128" s="10"/>
    </row>
    <row r="129" spans="4:17" ht="13" thickBot="1">
      <c r="E129" s="12">
        <f t="shared" si="1"/>
        <v>0</v>
      </c>
      <c r="F129" s="13" t="s">
        <v>9</v>
      </c>
      <c r="G129" s="9" t="str">
        <f>IF(OR(F128="",F130=""),"",+IF(F128&gt;F130,E128,E130))</f>
        <v/>
      </c>
      <c r="H129" s="16"/>
      <c r="I129" s="10"/>
      <c r="J129" s="14"/>
      <c r="K129" s="10"/>
      <c r="L129" s="10"/>
      <c r="M129" s="10"/>
      <c r="N129" s="10"/>
      <c r="O129" s="10"/>
      <c r="P129" s="14"/>
      <c r="Q129" s="10"/>
    </row>
    <row r="130" spans="4:17" ht="13" thickBot="1">
      <c r="D130">
        <v>59</v>
      </c>
      <c r="E130" s="10">
        <f t="shared" si="1"/>
        <v>59</v>
      </c>
      <c r="F130" s="16"/>
      <c r="G130" s="10"/>
      <c r="H130" s="10"/>
      <c r="I130" s="10"/>
      <c r="J130" s="14" t="s">
        <v>56</v>
      </c>
      <c r="K130" s="9" t="str">
        <f>IF(OR(J127="",J133=""),"",+IF(J127&gt;J133,I127,I133))</f>
        <v/>
      </c>
      <c r="L130" s="17"/>
      <c r="M130" s="10"/>
      <c r="N130" s="10"/>
      <c r="O130" s="10"/>
      <c r="P130" s="14"/>
      <c r="Q130" s="10"/>
    </row>
    <row r="131" spans="4:17">
      <c r="E131" s="12">
        <f t="shared" si="1"/>
        <v>0</v>
      </c>
      <c r="F131" s="10"/>
      <c r="G131" s="10"/>
      <c r="H131" s="10"/>
      <c r="I131" s="10"/>
      <c r="J131" s="14"/>
      <c r="K131" s="10"/>
      <c r="L131" s="10"/>
      <c r="M131" s="19"/>
      <c r="N131" s="10"/>
      <c r="O131" s="10"/>
      <c r="P131" s="14"/>
      <c r="Q131" s="10"/>
    </row>
    <row r="132" spans="4:17" ht="13" thickBot="1">
      <c r="D132">
        <v>60</v>
      </c>
      <c r="E132" s="9">
        <f t="shared" si="1"/>
        <v>60</v>
      </c>
      <c r="F132" s="9"/>
      <c r="G132" s="9">
        <f>E132</f>
        <v>60</v>
      </c>
      <c r="H132" s="11"/>
      <c r="I132" s="10"/>
      <c r="J132" s="14"/>
      <c r="K132" s="10"/>
      <c r="L132" s="10"/>
      <c r="M132" s="19"/>
      <c r="N132" s="10"/>
      <c r="O132" s="10"/>
      <c r="P132" s="14"/>
      <c r="Q132" s="10"/>
    </row>
    <row r="133" spans="4:17" ht="13" thickBot="1">
      <c r="E133" s="10">
        <f t="shared" si="1"/>
        <v>0</v>
      </c>
      <c r="F133" s="10"/>
      <c r="G133" s="10"/>
      <c r="H133" s="13" t="s">
        <v>37</v>
      </c>
      <c r="I133" s="9" t="str">
        <f>IF(OR(H132="",H134=""),"",+IF(H132&gt;H134,E132,E134))</f>
        <v/>
      </c>
      <c r="J133" s="16"/>
      <c r="K133" s="10"/>
      <c r="L133" s="10"/>
      <c r="M133" s="19"/>
      <c r="N133" s="10"/>
      <c r="O133" s="10"/>
      <c r="P133" s="14"/>
      <c r="Q133" s="10"/>
    </row>
    <row r="134" spans="4:17" ht="13" thickBot="1">
      <c r="D134">
        <v>61</v>
      </c>
      <c r="E134" s="9">
        <f t="shared" si="1"/>
        <v>61</v>
      </c>
      <c r="F134" s="9"/>
      <c r="G134" s="9">
        <f>E134</f>
        <v>61</v>
      </c>
      <c r="H134" s="16"/>
      <c r="I134" s="10"/>
      <c r="J134" s="10"/>
      <c r="K134" s="10"/>
      <c r="L134" s="10"/>
      <c r="M134" s="19"/>
      <c r="N134" s="10"/>
      <c r="O134" s="10"/>
      <c r="P134" s="14"/>
      <c r="Q134" s="10"/>
    </row>
    <row r="135" spans="4:17" ht="13" thickBot="1">
      <c r="E135" s="10">
        <f t="shared" si="1"/>
        <v>0</v>
      </c>
      <c r="F135" s="10"/>
      <c r="G135" s="10"/>
      <c r="H135" s="10"/>
      <c r="I135" s="10"/>
      <c r="J135" s="10"/>
      <c r="K135" s="10"/>
      <c r="L135" s="14" t="s">
        <v>66</v>
      </c>
      <c r="M135" s="9" t="str">
        <f>IF(OR(L130="",L139=""),"",+IF(L130&gt;L139,K130,K139))</f>
        <v/>
      </c>
      <c r="N135" s="17"/>
      <c r="O135" s="10"/>
      <c r="P135" s="14"/>
      <c r="Q135" s="10"/>
    </row>
    <row r="136" spans="4:17" ht="13" thickBot="1">
      <c r="D136">
        <v>62</v>
      </c>
      <c r="E136" s="9">
        <f t="shared" ref="E136:E163" si="2">D136</f>
        <v>62</v>
      </c>
      <c r="F136" s="9"/>
      <c r="G136" s="9">
        <f>E136</f>
        <v>62</v>
      </c>
      <c r="H136" s="11"/>
      <c r="I136" s="10"/>
      <c r="J136" s="10"/>
      <c r="K136" s="10"/>
      <c r="L136" s="10"/>
      <c r="M136" s="19"/>
      <c r="N136" s="13"/>
      <c r="O136" s="10"/>
      <c r="P136" s="14"/>
      <c r="Q136" s="10"/>
    </row>
    <row r="137" spans="4:17" ht="13" thickBot="1">
      <c r="E137" s="10">
        <f t="shared" si="2"/>
        <v>0</v>
      </c>
      <c r="F137" s="10"/>
      <c r="G137" s="12"/>
      <c r="H137" s="13" t="s">
        <v>38</v>
      </c>
      <c r="I137" s="9" t="str">
        <f>IF(OR(H136="",H138=""),"",+IF(H136&gt;H138,E136,E138))</f>
        <v/>
      </c>
      <c r="J137" s="17"/>
      <c r="K137" s="10"/>
      <c r="L137" s="10"/>
      <c r="M137" s="19"/>
      <c r="N137" s="14"/>
      <c r="O137" s="10"/>
      <c r="P137" s="14"/>
      <c r="Q137" s="10"/>
    </row>
    <row r="138" spans="4:17" ht="13" thickBot="1">
      <c r="D138">
        <v>63</v>
      </c>
      <c r="E138" s="9">
        <f t="shared" si="2"/>
        <v>63</v>
      </c>
      <c r="F138" s="9"/>
      <c r="G138" s="9">
        <f>E138</f>
        <v>63</v>
      </c>
      <c r="H138" s="16"/>
      <c r="I138" s="10"/>
      <c r="J138" s="14"/>
      <c r="K138" s="10"/>
      <c r="L138" s="10"/>
      <c r="M138" s="19"/>
      <c r="N138" s="14"/>
      <c r="O138" s="10"/>
      <c r="P138" s="14"/>
      <c r="Q138" s="10"/>
    </row>
    <row r="139" spans="4:17" ht="13" thickBot="1">
      <c r="E139" s="10">
        <f t="shared" si="2"/>
        <v>0</v>
      </c>
      <c r="F139" s="10"/>
      <c r="G139" s="12"/>
      <c r="H139" s="10"/>
      <c r="I139" s="10"/>
      <c r="J139" s="14" t="s">
        <v>166</v>
      </c>
      <c r="K139" s="9" t="str">
        <f>IF(OR(J137="",J141=""),"",+IF(J137&gt;J141,I137,I141))</f>
        <v/>
      </c>
      <c r="L139" s="16"/>
      <c r="M139" s="19"/>
      <c r="N139" s="14"/>
      <c r="O139" s="10"/>
      <c r="P139" s="14"/>
      <c r="Q139" s="10"/>
    </row>
    <row r="140" spans="4:17" ht="13" thickBot="1">
      <c r="D140">
        <v>64</v>
      </c>
      <c r="E140" s="9">
        <f t="shared" si="2"/>
        <v>64</v>
      </c>
      <c r="F140" s="9"/>
      <c r="G140" s="9">
        <f>E140</f>
        <v>64</v>
      </c>
      <c r="H140" s="11"/>
      <c r="I140" s="10"/>
      <c r="J140" s="14"/>
      <c r="K140" s="10"/>
      <c r="L140" s="10"/>
      <c r="M140" s="10"/>
      <c r="N140" s="14"/>
      <c r="O140" s="10"/>
      <c r="P140" s="14"/>
      <c r="Q140" s="10"/>
    </row>
    <row r="141" spans="4:17" ht="13" thickBot="1">
      <c r="E141" s="10">
        <f t="shared" si="2"/>
        <v>0</v>
      </c>
      <c r="F141" s="10"/>
      <c r="G141" s="12"/>
      <c r="H141" s="13" t="s">
        <v>39</v>
      </c>
      <c r="I141" s="9" t="str">
        <f>IF(OR(H140="",H142=""),"",+IF(H140&gt;H142,E140,E142))</f>
        <v/>
      </c>
      <c r="J141" s="16"/>
      <c r="K141" s="10"/>
      <c r="L141" s="10"/>
      <c r="M141" s="10"/>
      <c r="N141" s="14"/>
      <c r="O141" s="10"/>
      <c r="P141" s="14"/>
      <c r="Q141" s="10"/>
    </row>
    <row r="142" spans="4:17" ht="13" thickBot="1">
      <c r="D142">
        <v>65</v>
      </c>
      <c r="E142" s="9">
        <f t="shared" si="2"/>
        <v>65</v>
      </c>
      <c r="F142" s="9"/>
      <c r="G142" s="9">
        <f>E142</f>
        <v>65</v>
      </c>
      <c r="H142" s="16"/>
      <c r="I142" s="10"/>
      <c r="J142" s="10"/>
      <c r="K142" s="10"/>
      <c r="L142" s="10"/>
      <c r="M142" s="10"/>
      <c r="N142" s="14"/>
      <c r="O142" s="10"/>
      <c r="P142" s="14"/>
      <c r="Q142" s="10"/>
    </row>
    <row r="143" spans="4:17">
      <c r="E143" s="10">
        <f t="shared" si="2"/>
        <v>0</v>
      </c>
      <c r="F143" s="10"/>
      <c r="G143" s="10"/>
      <c r="H143" s="10"/>
      <c r="I143" s="10"/>
      <c r="J143" s="10"/>
      <c r="K143" s="10"/>
      <c r="L143" s="10"/>
      <c r="M143" s="10"/>
      <c r="N143" s="14"/>
      <c r="O143" s="10"/>
      <c r="P143" s="14"/>
      <c r="Q143" s="10"/>
    </row>
    <row r="144" spans="4:17" ht="13" thickBot="1">
      <c r="D144">
        <v>66</v>
      </c>
      <c r="E144" s="10">
        <f t="shared" si="2"/>
        <v>66</v>
      </c>
      <c r="F144" s="9"/>
      <c r="G144" s="9">
        <f>E144</f>
        <v>66</v>
      </c>
      <c r="H144" s="11"/>
      <c r="I144" s="10"/>
      <c r="J144" s="10"/>
      <c r="K144" s="10"/>
      <c r="L144" s="10"/>
      <c r="M144" s="10"/>
      <c r="N144" s="14" t="s">
        <v>71</v>
      </c>
      <c r="O144" s="9" t="str">
        <f>IF(OR(N135="",N154=""),"",+IF(N135&gt;N154,M135,M154))</f>
        <v/>
      </c>
      <c r="P144" s="16"/>
      <c r="Q144" s="10"/>
    </row>
    <row r="145" spans="4:17">
      <c r="E145" s="12">
        <f t="shared" si="2"/>
        <v>0</v>
      </c>
      <c r="F145" s="10"/>
      <c r="G145" s="10"/>
      <c r="H145" s="13"/>
      <c r="I145" s="10"/>
      <c r="J145" s="10"/>
      <c r="K145" s="10"/>
      <c r="L145" s="10"/>
      <c r="M145" s="10"/>
      <c r="N145" s="14"/>
      <c r="O145" s="10"/>
      <c r="P145" s="10"/>
      <c r="Q145" s="10"/>
    </row>
    <row r="146" spans="4:17" ht="13" thickBot="1">
      <c r="E146" s="10">
        <f t="shared" si="2"/>
        <v>0</v>
      </c>
      <c r="F146" s="10"/>
      <c r="G146" s="10"/>
      <c r="H146" s="14" t="s">
        <v>40</v>
      </c>
      <c r="I146" s="9" t="str">
        <f>IF(OR(H144="",H148=""),"",+IF(H144&gt;H148,G144,G148))</f>
        <v/>
      </c>
      <c r="J146" s="11"/>
      <c r="K146" s="10"/>
      <c r="L146" s="10"/>
      <c r="M146" s="10"/>
      <c r="N146" s="14"/>
      <c r="O146" s="10"/>
      <c r="P146" s="10"/>
      <c r="Q146" s="10"/>
    </row>
    <row r="147" spans="4:17" ht="13" thickBot="1">
      <c r="D147">
        <v>67</v>
      </c>
      <c r="E147" s="10">
        <f t="shared" si="2"/>
        <v>67</v>
      </c>
      <c r="F147" s="11"/>
      <c r="G147" s="10"/>
      <c r="H147" s="14"/>
      <c r="I147" s="10"/>
      <c r="J147" s="13"/>
      <c r="K147" s="10"/>
      <c r="L147" s="10"/>
      <c r="M147" s="10"/>
      <c r="N147" s="14"/>
      <c r="O147" s="10"/>
      <c r="P147" s="10"/>
      <c r="Q147" s="10"/>
    </row>
    <row r="148" spans="4:17" ht="13" thickBot="1">
      <c r="E148" s="12">
        <f t="shared" si="2"/>
        <v>0</v>
      </c>
      <c r="F148" s="13" t="s">
        <v>10</v>
      </c>
      <c r="G148" s="9" t="str">
        <f>IF(OR(F147="",F149=""),"",+IF(F147&gt;F149,E147,E149))</f>
        <v/>
      </c>
      <c r="H148" s="16"/>
      <c r="I148" s="10"/>
      <c r="J148" s="14"/>
      <c r="K148" s="10"/>
      <c r="L148" s="10"/>
      <c r="M148" s="10"/>
      <c r="N148" s="14"/>
      <c r="O148" s="10"/>
      <c r="P148" s="10"/>
      <c r="Q148" s="10"/>
    </row>
    <row r="149" spans="4:17" ht="13" thickBot="1">
      <c r="D149">
        <v>68</v>
      </c>
      <c r="E149" s="10">
        <f t="shared" si="2"/>
        <v>68</v>
      </c>
      <c r="F149" s="16"/>
      <c r="G149" s="10"/>
      <c r="H149" s="10"/>
      <c r="I149" s="10"/>
      <c r="J149" s="14" t="s">
        <v>58</v>
      </c>
      <c r="K149" s="9" t="str">
        <f>IF(OR(J146="",J152=""),"",+IF(J146&gt;J152,I146,I152))</f>
        <v/>
      </c>
      <c r="L149" s="11"/>
      <c r="M149" s="10"/>
      <c r="N149" s="14"/>
      <c r="O149" s="10"/>
      <c r="P149" s="10"/>
      <c r="Q149" s="10"/>
    </row>
    <row r="150" spans="4:17">
      <c r="E150" s="12">
        <f t="shared" si="2"/>
        <v>0</v>
      </c>
      <c r="F150" s="10"/>
      <c r="G150" s="10"/>
      <c r="H150" s="10"/>
      <c r="I150" s="10"/>
      <c r="J150" s="14"/>
      <c r="K150" s="12"/>
      <c r="L150" s="13"/>
      <c r="M150" s="10"/>
      <c r="N150" s="14"/>
      <c r="O150" s="10"/>
      <c r="P150" s="10"/>
      <c r="Q150" s="10"/>
    </row>
    <row r="151" spans="4:17" ht="13" thickBot="1">
      <c r="D151">
        <v>69</v>
      </c>
      <c r="E151" s="9">
        <f t="shared" si="2"/>
        <v>69</v>
      </c>
      <c r="F151" s="9"/>
      <c r="G151" s="9">
        <f>E151</f>
        <v>69</v>
      </c>
      <c r="H151" s="11"/>
      <c r="I151" s="10"/>
      <c r="J151" s="14"/>
      <c r="K151" s="10"/>
      <c r="L151" s="14"/>
      <c r="M151" s="10"/>
      <c r="N151" s="14"/>
      <c r="O151" s="10"/>
      <c r="P151" s="10"/>
      <c r="Q151" s="10"/>
    </row>
    <row r="152" spans="4:17" ht="13" thickBot="1">
      <c r="E152" s="10">
        <f t="shared" si="2"/>
        <v>0</v>
      </c>
      <c r="F152" s="10"/>
      <c r="G152" s="10"/>
      <c r="H152" s="13" t="s">
        <v>41</v>
      </c>
      <c r="I152" s="9" t="str">
        <f>IF(OR(H151="",H153=""),"",+IF(H151&gt;H153,E151,E153))</f>
        <v/>
      </c>
      <c r="J152" s="16"/>
      <c r="K152" s="10"/>
      <c r="L152" s="14"/>
      <c r="M152" s="10"/>
      <c r="N152" s="14"/>
      <c r="O152" s="10"/>
      <c r="P152" s="10"/>
      <c r="Q152" s="10"/>
    </row>
    <row r="153" spans="4:17" ht="13" thickBot="1">
      <c r="D153">
        <v>70</v>
      </c>
      <c r="E153" s="9">
        <f t="shared" si="2"/>
        <v>70</v>
      </c>
      <c r="F153" s="9"/>
      <c r="G153" s="9">
        <f>E153</f>
        <v>70</v>
      </c>
      <c r="H153" s="16"/>
      <c r="I153" s="10"/>
      <c r="J153" s="10"/>
      <c r="K153" s="10"/>
      <c r="L153" s="14"/>
      <c r="M153" s="10"/>
      <c r="N153" s="14"/>
      <c r="O153" s="10"/>
      <c r="P153" s="10"/>
      <c r="Q153" s="10"/>
    </row>
    <row r="154" spans="4:17" ht="13" thickBot="1">
      <c r="E154" s="10">
        <f t="shared" si="2"/>
        <v>0</v>
      </c>
      <c r="F154" s="10"/>
      <c r="G154" s="10"/>
      <c r="H154" s="10"/>
      <c r="I154" s="10"/>
      <c r="J154" s="10"/>
      <c r="K154" s="10"/>
      <c r="L154" s="14" t="s">
        <v>67</v>
      </c>
      <c r="M154" s="9" t="str">
        <f>IF(OR(L149="",L159=""),"",+IF(L149&gt;L159,K149,K159))</f>
        <v/>
      </c>
      <c r="N154" s="16"/>
      <c r="O154" s="10"/>
      <c r="P154" s="10"/>
      <c r="Q154" s="10"/>
    </row>
    <row r="155" spans="4:17" ht="13" thickBot="1">
      <c r="D155">
        <v>71</v>
      </c>
      <c r="E155" s="9">
        <f t="shared" si="2"/>
        <v>71</v>
      </c>
      <c r="F155" s="9"/>
      <c r="G155" s="9">
        <f>E155</f>
        <v>71</v>
      </c>
      <c r="H155" s="11"/>
      <c r="I155" s="10"/>
      <c r="J155" s="10"/>
      <c r="K155" s="10"/>
      <c r="L155" s="14"/>
      <c r="M155" s="10"/>
      <c r="N155" s="10"/>
      <c r="O155" s="10"/>
      <c r="P155" s="10"/>
      <c r="Q155" s="10"/>
    </row>
    <row r="156" spans="4:17" ht="13" thickBot="1">
      <c r="E156" s="10">
        <f t="shared" si="2"/>
        <v>0</v>
      </c>
      <c r="F156" s="10"/>
      <c r="G156" s="10"/>
      <c r="H156" s="13" t="s">
        <v>42</v>
      </c>
      <c r="I156" s="9" t="str">
        <f>IF(OR(H155="",H157=""),"",+IF(H155&gt;H157,E155,E157))</f>
        <v/>
      </c>
      <c r="J156" s="17"/>
      <c r="K156" s="10"/>
      <c r="L156" s="14"/>
      <c r="M156" s="10"/>
      <c r="N156" s="10"/>
      <c r="O156" s="10"/>
      <c r="P156" s="10"/>
      <c r="Q156" s="10"/>
    </row>
    <row r="157" spans="4:17" ht="13" thickBot="1">
      <c r="D157">
        <v>72</v>
      </c>
      <c r="E157" s="9">
        <f t="shared" si="2"/>
        <v>72</v>
      </c>
      <c r="F157" s="9"/>
      <c r="G157" s="9">
        <f>E157</f>
        <v>72</v>
      </c>
      <c r="H157" s="16"/>
      <c r="I157" s="10"/>
      <c r="J157" s="13"/>
      <c r="K157" s="10"/>
      <c r="L157" s="14"/>
      <c r="M157" s="10"/>
      <c r="N157" s="10"/>
      <c r="O157" s="10"/>
      <c r="P157" s="10"/>
      <c r="Q157" s="10"/>
    </row>
    <row r="158" spans="4:17">
      <c r="E158" s="10">
        <f t="shared" si="2"/>
        <v>0</v>
      </c>
      <c r="F158" s="10"/>
      <c r="G158" s="10"/>
      <c r="H158" s="10"/>
      <c r="I158" s="10"/>
      <c r="J158" s="14"/>
      <c r="K158" s="10"/>
      <c r="L158" s="14"/>
      <c r="M158" s="10"/>
      <c r="N158" s="10"/>
      <c r="O158" s="10"/>
      <c r="P158" s="10"/>
      <c r="Q158" s="10"/>
    </row>
    <row r="159" spans="4:17" ht="13" thickBot="1">
      <c r="D159">
        <v>73</v>
      </c>
      <c r="E159" s="10">
        <f t="shared" si="2"/>
        <v>73</v>
      </c>
      <c r="F159" s="11"/>
      <c r="G159" s="10"/>
      <c r="H159" s="10"/>
      <c r="I159" s="10"/>
      <c r="J159" s="14" t="s">
        <v>59</v>
      </c>
      <c r="K159" s="18" t="str">
        <f>IF(OR(I156="",I161=""),"",+IF(J156&gt;J161,I156,I161))</f>
        <v/>
      </c>
      <c r="L159" s="16"/>
      <c r="M159" s="10"/>
      <c r="N159" s="10"/>
      <c r="O159" s="10"/>
      <c r="P159" s="10"/>
      <c r="Q159" s="10"/>
    </row>
    <row r="160" spans="4:17" ht="13" thickBot="1">
      <c r="E160" s="12">
        <f t="shared" si="2"/>
        <v>0</v>
      </c>
      <c r="F160" s="13" t="s">
        <v>11</v>
      </c>
      <c r="G160" s="9" t="str">
        <f>IF(OR(F159="",F161=""),"",+IF(F159&gt;F161,E159,E161))</f>
        <v/>
      </c>
      <c r="H160" s="17"/>
      <c r="I160" s="10"/>
      <c r="J160" s="14"/>
      <c r="K160" s="10"/>
      <c r="L160" s="10"/>
      <c r="M160" s="10"/>
      <c r="N160" s="10"/>
      <c r="O160" s="10"/>
      <c r="P160" s="10"/>
      <c r="Q160" s="10"/>
    </row>
    <row r="161" spans="4:17" ht="13" thickBot="1">
      <c r="D161">
        <v>74</v>
      </c>
      <c r="E161" s="9">
        <f t="shared" si="2"/>
        <v>74</v>
      </c>
      <c r="F161" s="16"/>
      <c r="G161" s="10"/>
      <c r="H161" s="13" t="s">
        <v>43</v>
      </c>
      <c r="I161" s="9" t="str">
        <f>IF(OR(H160="",H163=""),"",+IF(H160&gt;H163,G160,G163))</f>
        <v/>
      </c>
      <c r="J161" s="16"/>
      <c r="K161" s="10"/>
      <c r="L161" s="10"/>
      <c r="M161" s="10"/>
      <c r="N161" s="10"/>
      <c r="O161" s="10"/>
      <c r="P161" s="10"/>
      <c r="Q161" s="10"/>
    </row>
    <row r="162" spans="4:17">
      <c r="E162" s="10">
        <f t="shared" si="2"/>
        <v>0</v>
      </c>
      <c r="F162" s="10"/>
      <c r="G162" s="10"/>
      <c r="H162" s="14"/>
      <c r="I162" s="10"/>
      <c r="J162" s="10"/>
      <c r="K162" s="10"/>
      <c r="L162" s="10"/>
      <c r="M162" s="10"/>
      <c r="N162" s="10"/>
      <c r="O162" s="10"/>
      <c r="P162" s="10"/>
      <c r="Q162" s="10"/>
    </row>
    <row r="163" spans="4:17" ht="13" thickBot="1">
      <c r="D163">
        <v>75</v>
      </c>
      <c r="E163" s="9">
        <f t="shared" si="2"/>
        <v>75</v>
      </c>
      <c r="F163" s="9"/>
      <c r="G163" s="9">
        <f>E163</f>
        <v>75</v>
      </c>
      <c r="H163" s="16"/>
      <c r="I163" s="10"/>
      <c r="J163" s="10"/>
      <c r="K163" s="10"/>
      <c r="L163" s="10"/>
      <c r="M163" s="10"/>
      <c r="N163" s="10"/>
      <c r="O163" s="10"/>
      <c r="P163" s="10"/>
      <c r="Q163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0"/>
  <dimension ref="D4:AG160"/>
  <sheetViews>
    <sheetView showGridLines="0" topLeftCell="A118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6" max="16" width="3.87890625" customWidth="1"/>
    <col min="21" max="21" width="9.1171875" style="28"/>
    <col min="22" max="22" width="2.41015625" bestFit="1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11718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2</v>
      </c>
      <c r="V5" t="s">
        <v>77</v>
      </c>
      <c r="W5" s="29">
        <f>E12</f>
        <v>3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E38</f>
        <v>16</v>
      </c>
      <c r="V6" t="s">
        <v>77</v>
      </c>
      <c r="W6" s="29">
        <f>E40</f>
        <v>17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>
        <v>1</v>
      </c>
      <c r="F7" s="9"/>
      <c r="G7" s="9">
        <f>E7</f>
        <v>1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E47</f>
        <v>20</v>
      </c>
      <c r="V7" t="s">
        <v>77</v>
      </c>
      <c r="W7" s="29">
        <f>E49</f>
        <v>21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E66</f>
        <v>29</v>
      </c>
      <c r="V8" t="s">
        <v>77</v>
      </c>
      <c r="W8" s="29">
        <f>E68</f>
        <v>30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11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E78</f>
        <v>35</v>
      </c>
      <c r="V9" t="s">
        <v>77</v>
      </c>
      <c r="W9" s="29">
        <f>E80</f>
        <v>36</v>
      </c>
      <c r="Z9" s="34"/>
      <c r="AA9" s="40"/>
      <c r="AB9" s="40"/>
      <c r="AC9" s="38" t="s">
        <v>159</v>
      </c>
      <c r="AD9" s="48"/>
      <c r="AE9" s="53" t="e">
        <f>LOOKUP(AD9,T$5:T$80,U$5:U$80)</f>
        <v>#N/A</v>
      </c>
      <c r="AF9" s="37" t="s">
        <v>157</v>
      </c>
      <c r="AG9" s="65" t="e">
        <f>LOOKUP(AD9,T$5:T$80,W$5:W$80)</f>
        <v>#N/A</v>
      </c>
    </row>
    <row r="10" spans="4:33" ht="13" thickBot="1">
      <c r="D10">
        <v>2</v>
      </c>
      <c r="E10" s="10">
        <v>2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E88</f>
        <v>39</v>
      </c>
      <c r="V10" t="s">
        <v>77</v>
      </c>
      <c r="W10" s="29">
        <f>E90</f>
        <v>40</v>
      </c>
      <c r="Z10" s="34"/>
      <c r="AA10" s="40"/>
      <c r="AB10" s="40"/>
      <c r="AC10" s="38" t="s">
        <v>159</v>
      </c>
      <c r="AD10" s="48"/>
      <c r="AE10" s="53" t="e">
        <f>LOOKUP(AD10,T$5:T$80,U$5:U$80)</f>
        <v>#N/A</v>
      </c>
      <c r="AF10" s="37" t="s">
        <v>157</v>
      </c>
      <c r="AG10" s="65" t="e">
        <f>LOOKUP(AD10,T$5:T$80,W$5:W$80)</f>
        <v>#N/A</v>
      </c>
    </row>
    <row r="11" spans="4:33" ht="13" thickBot="1">
      <c r="E11" s="12"/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E116</f>
        <v>53</v>
      </c>
      <c r="V11" t="s">
        <v>77</v>
      </c>
      <c r="W11" s="29">
        <f>E118</f>
        <v>54</v>
      </c>
      <c r="Z11" s="34"/>
      <c r="AA11" s="40"/>
      <c r="AB11" s="40"/>
      <c r="AC11" s="38" t="s">
        <v>159</v>
      </c>
      <c r="AD11" s="48"/>
      <c r="AE11" s="53" t="e">
        <f>LOOKUP(AD11,T$5:T$80,U$5:U$80)</f>
        <v>#N/A</v>
      </c>
      <c r="AF11" s="37" t="s">
        <v>157</v>
      </c>
      <c r="AG11" s="65" t="e">
        <f>LOOKUP(AD11,T$5:T$80,W$5:W$80)</f>
        <v>#N/A</v>
      </c>
    </row>
    <row r="12" spans="4:33" ht="13" thickBot="1">
      <c r="D12">
        <v>3</v>
      </c>
      <c r="E12" s="10">
        <v>3</v>
      </c>
      <c r="F12" s="16"/>
      <c r="G12" s="10"/>
      <c r="H12" s="10"/>
      <c r="I12" s="10"/>
      <c r="J12" s="14" t="s">
        <v>43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E125</f>
        <v>57</v>
      </c>
      <c r="V12" t="s">
        <v>77</v>
      </c>
      <c r="W12" s="29">
        <f>E127</f>
        <v>58</v>
      </c>
      <c r="Z12" s="34"/>
      <c r="AA12" s="40"/>
      <c r="AB12" s="40"/>
      <c r="AC12" s="38" t="s">
        <v>159</v>
      </c>
      <c r="AD12" s="48"/>
      <c r="AE12" s="53" t="e">
        <f>LOOKUP(AD12,T$5:T$80,U$5:U$80)</f>
        <v>#N/A</v>
      </c>
      <c r="AF12" s="37" t="s">
        <v>157</v>
      </c>
      <c r="AG12" s="65" t="e">
        <f>LOOKUP(AD12,T$5:T$80,W$5:W$80)</f>
        <v>#N/A</v>
      </c>
    </row>
    <row r="13" spans="4:33">
      <c r="E13" s="12"/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E144</f>
        <v>66</v>
      </c>
      <c r="V13" t="s">
        <v>77</v>
      </c>
      <c r="W13" s="29">
        <f>E146</f>
        <v>67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>
        <v>4</v>
      </c>
      <c r="F14" s="9"/>
      <c r="G14" s="9">
        <f>E14</f>
        <v>4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E156</f>
        <v>72</v>
      </c>
      <c r="V14" t="s">
        <v>77</v>
      </c>
      <c r="W14" s="29">
        <f>E158</f>
        <v>73</v>
      </c>
      <c r="Z14" s="34"/>
      <c r="AA14" s="40"/>
      <c r="AB14" s="40"/>
      <c r="AC14" s="38" t="s">
        <v>159</v>
      </c>
      <c r="AD14" s="48"/>
      <c r="AE14" s="53" t="e">
        <f>LOOKUP(AD14,T$5:T$80,U$5:U$80)</f>
        <v>#N/A</v>
      </c>
      <c r="AF14" s="37" t="s">
        <v>157</v>
      </c>
      <c r="AG14" s="65" t="e">
        <f>LOOKUP(AD14,T$5:T$80,W$5:W$80)</f>
        <v>#N/A</v>
      </c>
    </row>
    <row r="15" spans="4:33" ht="13" thickBot="1">
      <c r="E15" s="10"/>
      <c r="F15" s="10"/>
      <c r="G15" s="10"/>
      <c r="H15" s="13" t="s">
        <v>12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E7</f>
        <v>1</v>
      </c>
      <c r="V15" t="s">
        <v>77</v>
      </c>
      <c r="W15" s="29" t="s">
        <v>78</v>
      </c>
      <c r="Z15" s="34"/>
      <c r="AA15" s="40"/>
      <c r="AB15" s="40"/>
      <c r="AC15" s="38" t="s">
        <v>159</v>
      </c>
      <c r="AD15" s="48"/>
      <c r="AE15" s="53" t="e">
        <f>LOOKUP(AD15,T$5:T$80,U$5:U$80)</f>
        <v>#N/A</v>
      </c>
      <c r="AF15" s="37" t="s">
        <v>157</v>
      </c>
      <c r="AG15" s="65" t="e">
        <f>LOOKUP(AD15,T$5:T$80,W$5:W$80)</f>
        <v>#N/A</v>
      </c>
    </row>
    <row r="16" spans="4:33" ht="13" thickBot="1">
      <c r="D16">
        <v>5</v>
      </c>
      <c r="E16" s="9">
        <v>5</v>
      </c>
      <c r="F16" s="9"/>
      <c r="G16" s="9">
        <f>E16</f>
        <v>5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E14</f>
        <v>4</v>
      </c>
      <c r="V16" t="s">
        <v>77</v>
      </c>
      <c r="W16" s="29">
        <f>E16</f>
        <v>5</v>
      </c>
      <c r="Z16" s="34"/>
      <c r="AA16" s="40"/>
      <c r="AB16" s="40"/>
      <c r="AC16" s="38" t="s">
        <v>159</v>
      </c>
      <c r="AD16" s="48"/>
      <c r="AE16" s="53" t="e">
        <f>LOOKUP(AD16,T$5:T$80,U$5:U$80)</f>
        <v>#N/A</v>
      </c>
      <c r="AF16" s="37" t="s">
        <v>157</v>
      </c>
      <c r="AG16" s="65" t="e">
        <f>LOOKUP(AD16,T$5:T$80,W$5:W$80)</f>
        <v>#N/A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59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E18</f>
        <v>6</v>
      </c>
      <c r="V17" t="s">
        <v>77</v>
      </c>
      <c r="W17" s="29">
        <f>E20</f>
        <v>7</v>
      </c>
      <c r="Z17" s="34"/>
      <c r="AA17" s="40"/>
      <c r="AB17" s="40"/>
      <c r="AC17" s="38" t="s">
        <v>159</v>
      </c>
      <c r="AD17" s="48"/>
      <c r="AE17" s="53" t="e">
        <f>LOOKUP(AD17,T$5:T$80,U$5:U$80)</f>
        <v>#N/A</v>
      </c>
      <c r="AF17" s="37" t="s">
        <v>157</v>
      </c>
      <c r="AG17" s="65" t="e">
        <f>LOOKUP(AD17,T$5:T$80,W$5:W$80)</f>
        <v>#N/A</v>
      </c>
    </row>
    <row r="18" spans="4:33" ht="13" thickBot="1">
      <c r="D18">
        <v>6</v>
      </c>
      <c r="E18" s="9">
        <v>6</v>
      </c>
      <c r="F18" s="9"/>
      <c r="G18" s="9">
        <f>E18</f>
        <v>6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E22</f>
        <v>8</v>
      </c>
      <c r="V18" t="s">
        <v>77</v>
      </c>
      <c r="W18" s="29">
        <f>E24</f>
        <v>9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/>
      <c r="F19" s="10"/>
      <c r="G19" s="12"/>
      <c r="H19" s="13" t="s">
        <v>13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E26</f>
        <v>10</v>
      </c>
      <c r="V19" t="s">
        <v>77</v>
      </c>
      <c r="W19" s="29">
        <f>E28</f>
        <v>11</v>
      </c>
      <c r="Z19" s="34"/>
      <c r="AA19" s="40"/>
      <c r="AB19" s="40"/>
      <c r="AC19" s="38" t="s">
        <v>159</v>
      </c>
      <c r="AD19" s="48"/>
      <c r="AE19" s="53" t="e">
        <f>LOOKUP(AD19,T$5:T$80,U$5:U$80)</f>
        <v>#N/A</v>
      </c>
      <c r="AF19" s="37" t="s">
        <v>157</v>
      </c>
      <c r="AG19" s="65" t="e">
        <f>LOOKUP(AD19,T$5:T$80,W$5:W$80)</f>
        <v>#N/A</v>
      </c>
    </row>
    <row r="20" spans="4:33" ht="13" thickBot="1">
      <c r="D20">
        <v>7</v>
      </c>
      <c r="E20" s="9">
        <v>7</v>
      </c>
      <c r="F20" s="9"/>
      <c r="G20" s="9">
        <f>E20</f>
        <v>7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E30</f>
        <v>12</v>
      </c>
      <c r="V20" t="s">
        <v>77</v>
      </c>
      <c r="W20" s="29">
        <f>E32</f>
        <v>13</v>
      </c>
      <c r="Z20" s="34"/>
      <c r="AA20" s="40"/>
      <c r="AB20" s="40"/>
      <c r="AC20" s="38" t="s">
        <v>159</v>
      </c>
      <c r="AD20" s="48"/>
      <c r="AE20" s="53" t="e">
        <f>LOOKUP(AD20,T$5:T$80,U$5:U$80)</f>
        <v>#N/A</v>
      </c>
      <c r="AF20" s="37" t="s">
        <v>157</v>
      </c>
      <c r="AG20" s="65" t="e">
        <f>LOOKUP(AD20,T$5:T$80,W$5:W$80)</f>
        <v>#N/A</v>
      </c>
    </row>
    <row r="21" spans="4:33" ht="13" thickBot="1">
      <c r="E21" s="10"/>
      <c r="F21" s="10"/>
      <c r="G21" s="12"/>
      <c r="H21" s="10"/>
      <c r="I21" s="10"/>
      <c r="J21" s="14" t="s">
        <v>44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E34</f>
        <v>14</v>
      </c>
      <c r="V21" t="s">
        <v>77</v>
      </c>
      <c r="W21" s="29">
        <f>E36</f>
        <v>15</v>
      </c>
      <c r="Z21" s="34"/>
      <c r="AA21" s="40"/>
      <c r="AB21" s="40"/>
      <c r="AC21" s="38" t="s">
        <v>159</v>
      </c>
      <c r="AD21" s="48"/>
      <c r="AE21" s="53" t="e">
        <f>LOOKUP(AD21,T$5:T$80,U$5:U$80)</f>
        <v>#N/A</v>
      </c>
      <c r="AF21" s="37" t="s">
        <v>157</v>
      </c>
      <c r="AG21" s="65" t="e">
        <f>LOOKUP(AD21,T$5:T$80,W$5:W$80)</f>
        <v>#N/A</v>
      </c>
    </row>
    <row r="22" spans="4:33" ht="13" thickBot="1">
      <c r="D22">
        <v>8</v>
      </c>
      <c r="E22" s="9">
        <v>8</v>
      </c>
      <c r="F22" s="9"/>
      <c r="G22" s="9">
        <f>E22</f>
        <v>8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 t="s">
        <v>160</v>
      </c>
      <c r="V22" t="s">
        <v>77</v>
      </c>
      <c r="W22" s="29">
        <f>E42</f>
        <v>18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0"/>
      <c r="F23" s="10"/>
      <c r="G23" s="12"/>
      <c r="H23" s="13" t="s">
        <v>14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E44</f>
        <v>19</v>
      </c>
      <c r="V23" t="s">
        <v>77</v>
      </c>
      <c r="W23" s="29" t="s">
        <v>161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>
        <v>9</v>
      </c>
      <c r="F24" s="9"/>
      <c r="G24" s="9">
        <f>E24</f>
        <v>9</v>
      </c>
      <c r="H24" s="16"/>
      <c r="I24" s="10"/>
      <c r="J24" s="10"/>
      <c r="K24" s="10"/>
      <c r="L24" s="10"/>
      <c r="M24" s="10"/>
      <c r="N24" s="14" t="s">
        <v>67</v>
      </c>
      <c r="O24" s="10"/>
      <c r="P24" s="10"/>
      <c r="Q24" s="10"/>
      <c r="T24">
        <v>20</v>
      </c>
      <c r="U24" s="28">
        <f>E51</f>
        <v>22</v>
      </c>
      <c r="V24" t="s">
        <v>77</v>
      </c>
      <c r="W24" s="29">
        <f>E53</f>
        <v>23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0"/>
      <c r="F25" s="10"/>
      <c r="G25" s="10"/>
      <c r="H25" s="10"/>
      <c r="I25" s="10"/>
      <c r="J25" s="10"/>
      <c r="K25" s="10"/>
      <c r="L25" s="10"/>
      <c r="M25" s="10"/>
      <c r="N25" s="14"/>
      <c r="O25" s="9" t="str">
        <f>IF(OR(N17="",N33=""),"",+IF(N17&gt;N33,M17,M33))</f>
        <v/>
      </c>
      <c r="P25" s="17"/>
      <c r="Q25" s="10"/>
      <c r="T25">
        <v>21</v>
      </c>
      <c r="U25" s="28">
        <f>E55</f>
        <v>24</v>
      </c>
      <c r="V25" t="s">
        <v>77</v>
      </c>
      <c r="W25" s="29">
        <f>E57</f>
        <v>25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>
        <v>10</v>
      </c>
      <c r="F26" s="9"/>
      <c r="G26" s="9">
        <f>E26</f>
        <v>10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>
        <f>E59</f>
        <v>26</v>
      </c>
      <c r="V26" t="s">
        <v>77</v>
      </c>
      <c r="W26" s="29">
        <f>E61</f>
        <v>27</v>
      </c>
      <c r="Z26" s="34"/>
      <c r="AA26" s="40"/>
      <c r="AB26" s="40"/>
      <c r="AC26" s="38" t="s">
        <v>159</v>
      </c>
      <c r="AD26" s="48"/>
      <c r="AE26" s="53" t="e">
        <f>LOOKUP(AD26,T$5:T$80,U$5:U$80)</f>
        <v>#N/A</v>
      </c>
      <c r="AF26" s="37" t="s">
        <v>157</v>
      </c>
      <c r="AG26" s="65" t="e">
        <f>LOOKUP(AD26,T$5:T$80,W$5:W$80)</f>
        <v>#N/A</v>
      </c>
    </row>
    <row r="27" spans="4:33" ht="13" thickBot="1">
      <c r="E27" s="10"/>
      <c r="F27" s="10"/>
      <c r="G27" s="12"/>
      <c r="H27" s="13" t="s">
        <v>15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>
        <f>E63</f>
        <v>28</v>
      </c>
      <c r="V27" t="s">
        <v>77</v>
      </c>
      <c r="W27" s="29" t="s">
        <v>81</v>
      </c>
      <c r="Z27" s="34"/>
      <c r="AA27" s="40"/>
      <c r="AB27" s="40"/>
      <c r="AC27" s="38" t="s">
        <v>159</v>
      </c>
      <c r="AD27" s="48"/>
      <c r="AE27" s="53" t="e">
        <f>LOOKUP(AD27,T$5:T$80,U$5:U$80)</f>
        <v>#N/A</v>
      </c>
      <c r="AF27" s="37" t="s">
        <v>157</v>
      </c>
      <c r="AG27" s="65" t="e">
        <f>LOOKUP(AD27,T$5:T$80,W$5:W$80)</f>
        <v>#N/A</v>
      </c>
    </row>
    <row r="28" spans="4:33" ht="13" thickBot="1">
      <c r="D28">
        <v>11</v>
      </c>
      <c r="E28" s="9">
        <v>11</v>
      </c>
      <c r="F28" s="9"/>
      <c r="G28" s="9">
        <f>E28</f>
        <v>11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>
        <f>E70</f>
        <v>31</v>
      </c>
      <c r="V28" t="s">
        <v>77</v>
      </c>
      <c r="W28" s="29">
        <f>E72</f>
        <v>32</v>
      </c>
      <c r="Z28" s="34"/>
      <c r="AA28" s="40"/>
      <c r="AB28" s="40"/>
      <c r="AC28" s="38" t="s">
        <v>159</v>
      </c>
      <c r="AD28" s="48"/>
      <c r="AE28" s="53" t="e">
        <f>LOOKUP(AD28,T$5:T$80,U$5:U$80)</f>
        <v>#N/A</v>
      </c>
      <c r="AF28" s="37" t="s">
        <v>157</v>
      </c>
      <c r="AG28" s="65" t="e">
        <f>LOOKUP(AD28,T$5:T$80,W$5:W$80)</f>
        <v>#N/A</v>
      </c>
    </row>
    <row r="29" spans="4:33" ht="13" thickBot="1">
      <c r="E29" s="10"/>
      <c r="F29" s="10"/>
      <c r="G29" s="12"/>
      <c r="H29" s="10"/>
      <c r="I29" s="10"/>
      <c r="J29" s="14" t="s">
        <v>45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>
        <f>E74</f>
        <v>33</v>
      </c>
      <c r="V29" t="s">
        <v>77</v>
      </c>
      <c r="W29" s="29">
        <f>E76</f>
        <v>34</v>
      </c>
      <c r="Z29" s="34"/>
      <c r="AA29" s="40"/>
      <c r="AB29" s="40"/>
      <c r="AC29" s="38" t="s">
        <v>159</v>
      </c>
      <c r="AD29" s="48"/>
      <c r="AE29" s="53" t="e">
        <f>LOOKUP(AD29,T$5:T$80,U$5:U$80)</f>
        <v>#N/A</v>
      </c>
      <c r="AF29" s="37" t="s">
        <v>157</v>
      </c>
      <c r="AG29" s="65" t="e">
        <f>LOOKUP(AD29,T$5:T$80,W$5:W$80)</f>
        <v>#N/A</v>
      </c>
    </row>
    <row r="30" spans="4:33" ht="13" thickBot="1">
      <c r="D30">
        <v>12</v>
      </c>
      <c r="E30" s="9">
        <v>12</v>
      </c>
      <c r="F30" s="9"/>
      <c r="G30" s="9">
        <f>E30</f>
        <v>12</v>
      </c>
      <c r="H30" s="11"/>
      <c r="I30" s="10"/>
      <c r="J30" s="14"/>
      <c r="K30" s="10"/>
      <c r="L30" s="14"/>
      <c r="M30" s="10"/>
      <c r="N30" s="14"/>
      <c r="O30" s="10"/>
      <c r="P30" s="14"/>
      <c r="Q30" s="10"/>
      <c r="T30">
        <v>26</v>
      </c>
      <c r="U30" s="28" t="s">
        <v>162</v>
      </c>
      <c r="V30" t="s">
        <v>77</v>
      </c>
      <c r="W30" s="29">
        <f>E82</f>
        <v>37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/>
      <c r="F31" s="10"/>
      <c r="G31" s="12"/>
      <c r="H31" s="13" t="s">
        <v>16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>
        <f>E85</f>
        <v>38</v>
      </c>
      <c r="V31" t="s">
        <v>77</v>
      </c>
      <c r="W31" s="29" t="s">
        <v>163</v>
      </c>
      <c r="Z31" s="34"/>
      <c r="AA31" s="40"/>
      <c r="AB31" s="40"/>
      <c r="AC31" s="38" t="s">
        <v>159</v>
      </c>
      <c r="AD31" s="48"/>
      <c r="AE31" s="53" t="e">
        <f>LOOKUP(AD31,T$5:T$80,U$5:U$80)</f>
        <v>#N/A</v>
      </c>
      <c r="AF31" s="37" t="s">
        <v>157</v>
      </c>
      <c r="AG31" s="65" t="e">
        <f>LOOKUP(AD31,T$5:T$80,W$5:W$80)</f>
        <v>#N/A</v>
      </c>
    </row>
    <row r="32" spans="4:33" ht="13" thickBot="1">
      <c r="D32">
        <v>13</v>
      </c>
      <c r="E32" s="9">
        <v>13</v>
      </c>
      <c r="F32" s="9"/>
      <c r="G32" s="9">
        <f>E32</f>
        <v>13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>
        <f>E92</f>
        <v>41</v>
      </c>
      <c r="V32" t="s">
        <v>77</v>
      </c>
      <c r="W32" s="29">
        <f>E94</f>
        <v>42</v>
      </c>
      <c r="Z32" s="34"/>
      <c r="AA32" s="40"/>
      <c r="AB32" s="40"/>
      <c r="AC32" s="38" t="s">
        <v>159</v>
      </c>
      <c r="AD32" s="48"/>
      <c r="AE32" s="53" t="e">
        <f>LOOKUP(AD32,T$5:T$80,U$5:U$80)</f>
        <v>#N/A</v>
      </c>
      <c r="AF32" s="37" t="s">
        <v>157</v>
      </c>
      <c r="AG32" s="65" t="e">
        <f>LOOKUP(AD32,T$5:T$80,W$5:W$80)</f>
        <v>#N/A</v>
      </c>
    </row>
    <row r="33" spans="4:33" ht="13" thickBot="1">
      <c r="E33" s="10"/>
      <c r="F33" s="10"/>
      <c r="G33" s="10"/>
      <c r="H33" s="10"/>
      <c r="I33" s="10"/>
      <c r="J33" s="10"/>
      <c r="K33" s="10"/>
      <c r="L33" s="14" t="s">
        <v>60</v>
      </c>
      <c r="M33" s="9" t="str">
        <f>IF(OR(L29="",L38=""),"",+IF(L29&gt;L38,K29,K38))</f>
        <v/>
      </c>
      <c r="N33" s="16"/>
      <c r="O33" s="10"/>
      <c r="P33" s="14"/>
      <c r="Q33" s="10"/>
      <c r="T33">
        <v>29</v>
      </c>
      <c r="U33" s="28">
        <f>E96</f>
        <v>43</v>
      </c>
      <c r="V33" t="s">
        <v>77</v>
      </c>
      <c r="W33" s="29">
        <f>E98</f>
        <v>44</v>
      </c>
      <c r="Z33" s="34"/>
      <c r="AA33" s="40"/>
      <c r="AB33" s="40"/>
      <c r="AC33" s="38" t="s">
        <v>159</v>
      </c>
      <c r="AD33" s="48"/>
      <c r="AE33" s="53" t="e">
        <f>LOOKUP(AD33,T$5:T$80,U$5:U$80)</f>
        <v>#N/A</v>
      </c>
      <c r="AF33" s="37" t="s">
        <v>157</v>
      </c>
      <c r="AG33" s="65" t="e">
        <f>LOOKUP(AD33,T$5:T$80,W$5:W$80)</f>
        <v>#N/A</v>
      </c>
    </row>
    <row r="34" spans="4:33" ht="13" thickBot="1">
      <c r="D34">
        <v>14</v>
      </c>
      <c r="E34" s="9">
        <v>14</v>
      </c>
      <c r="F34" s="9"/>
      <c r="G34" s="9">
        <f>E34</f>
        <v>14</v>
      </c>
      <c r="H34" s="11"/>
      <c r="I34" s="10"/>
      <c r="J34" s="10"/>
      <c r="K34" s="10"/>
      <c r="L34" s="14"/>
      <c r="M34" s="10"/>
      <c r="N34" s="10"/>
      <c r="O34" s="10"/>
      <c r="P34" s="14"/>
      <c r="Q34" s="10"/>
      <c r="T34">
        <v>30</v>
      </c>
      <c r="U34" s="28">
        <f>E100</f>
        <v>45</v>
      </c>
      <c r="V34" t="s">
        <v>77</v>
      </c>
      <c r="W34" s="29">
        <f>E102</f>
        <v>46</v>
      </c>
      <c r="Z34" s="34"/>
      <c r="AA34" s="40"/>
      <c r="AB34" s="40"/>
      <c r="AC34" s="38" t="s">
        <v>159</v>
      </c>
      <c r="AD34" s="48"/>
      <c r="AE34" s="53" t="e">
        <f>LOOKUP(AD34,T$5:T$80,U$5:U$80)</f>
        <v>#N/A</v>
      </c>
      <c r="AF34" s="37" t="s">
        <v>157</v>
      </c>
      <c r="AG34" s="65" t="e">
        <f>LOOKUP(AD34,T$5:T$80,W$5:W$80)</f>
        <v>#N/A</v>
      </c>
    </row>
    <row r="35" spans="4:33" ht="13" thickBot="1">
      <c r="E35" s="10"/>
      <c r="F35" s="10"/>
      <c r="G35" s="12"/>
      <c r="H35" s="13" t="s">
        <v>17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>
        <f>E104</f>
        <v>47</v>
      </c>
      <c r="V35" t="s">
        <v>77</v>
      </c>
      <c r="W35" s="29">
        <f>E106</f>
        <v>48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>
        <v>15</v>
      </c>
      <c r="F36" s="9"/>
      <c r="G36" s="9">
        <f>E36</f>
        <v>15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>
        <f>E108</f>
        <v>49</v>
      </c>
      <c r="V36" t="s">
        <v>77</v>
      </c>
      <c r="W36" s="29">
        <f>E110</f>
        <v>50</v>
      </c>
      <c r="Z36" s="34"/>
      <c r="AA36" s="40"/>
      <c r="AB36" s="40"/>
      <c r="AC36" s="38" t="s">
        <v>159</v>
      </c>
      <c r="AD36" s="48"/>
      <c r="AE36" s="53" t="e">
        <f>LOOKUP(AD36,T$5:T$80,U$5:U$80)</f>
        <v>#N/A</v>
      </c>
      <c r="AF36" s="37" t="s">
        <v>157</v>
      </c>
      <c r="AG36" s="65" t="e">
        <f>LOOKUP(AD36,T$5:T$80,W$5:W$80)</f>
        <v>#N/A</v>
      </c>
    </row>
    <row r="37" spans="4:33">
      <c r="E37" s="10"/>
      <c r="F37" s="10"/>
      <c r="G37" s="10"/>
      <c r="H37" s="10"/>
      <c r="I37" s="10"/>
      <c r="J37" s="14"/>
      <c r="K37" s="10"/>
      <c r="L37" s="14"/>
      <c r="M37" s="10"/>
      <c r="N37" s="10"/>
      <c r="O37" s="10"/>
      <c r="P37" s="14"/>
      <c r="Q37" s="10"/>
      <c r="T37">
        <v>33</v>
      </c>
      <c r="U37" s="28">
        <f>E112</f>
        <v>51</v>
      </c>
      <c r="V37" t="s">
        <v>77</v>
      </c>
      <c r="W37" s="29">
        <f>E114</f>
        <v>52</v>
      </c>
      <c r="Z37" s="34"/>
      <c r="AA37" s="40"/>
      <c r="AB37" s="40"/>
      <c r="AC37" s="38" t="s">
        <v>159</v>
      </c>
      <c r="AD37" s="48"/>
      <c r="AE37" s="53" t="e">
        <f>LOOKUP(AD37,T$5:T$80,U$5:U$80)</f>
        <v>#N/A</v>
      </c>
      <c r="AF37" s="37" t="s">
        <v>157</v>
      </c>
      <c r="AG37" s="65" t="e">
        <f>LOOKUP(AD37,T$5:T$80,W$5:W$80)</f>
        <v>#N/A</v>
      </c>
    </row>
    <row r="38" spans="4:33" ht="13" thickBot="1">
      <c r="D38">
        <v>16</v>
      </c>
      <c r="E38" s="10">
        <v>16</v>
      </c>
      <c r="F38" s="11"/>
      <c r="G38" s="10"/>
      <c r="H38" s="10"/>
      <c r="I38" s="10"/>
      <c r="J38" s="14" t="s">
        <v>46</v>
      </c>
      <c r="K38" s="9" t="str">
        <f>IF(OR(J35="",J41=""),"",+IF(J35&gt;J41,I35,I41))</f>
        <v/>
      </c>
      <c r="L38" s="16"/>
      <c r="M38" s="10"/>
      <c r="N38" s="10"/>
      <c r="O38" s="10"/>
      <c r="P38" s="14"/>
      <c r="Q38" s="10"/>
      <c r="T38">
        <v>34</v>
      </c>
      <c r="U38" s="28" t="s">
        <v>84</v>
      </c>
      <c r="V38" t="s">
        <v>77</v>
      </c>
      <c r="W38" s="29">
        <f>E120</f>
        <v>55</v>
      </c>
      <c r="Z38" s="34"/>
      <c r="AA38" s="40"/>
      <c r="AB38" s="40"/>
      <c r="AC38" s="38" t="s">
        <v>159</v>
      </c>
      <c r="AD38" s="48"/>
      <c r="AE38" s="53" t="e">
        <f>LOOKUP(AD38,T$5:T$80,U$5:U$80)</f>
        <v>#N/A</v>
      </c>
      <c r="AF38" s="37" t="s">
        <v>157</v>
      </c>
      <c r="AG38" s="65" t="e">
        <f>LOOKUP(AD38,T$5:T$80,W$5:W$80)</f>
        <v>#N/A</v>
      </c>
    </row>
    <row r="39" spans="4:33" ht="13" thickBot="1">
      <c r="E39" s="12"/>
      <c r="F39" s="13" t="s">
        <v>2</v>
      </c>
      <c r="G39" s="9" t="str">
        <f>IF(OR(F38="",F40=""),"",+IF(F38&gt;F40,E38,E40))</f>
        <v/>
      </c>
      <c r="H39" s="11"/>
      <c r="I39" s="10"/>
      <c r="J39" s="14"/>
      <c r="K39" s="10"/>
      <c r="L39" s="10"/>
      <c r="M39" s="10"/>
      <c r="N39" s="10"/>
      <c r="O39" s="10"/>
      <c r="P39" s="14"/>
      <c r="Q39" s="10"/>
      <c r="T39">
        <v>35</v>
      </c>
      <c r="U39" s="28">
        <f>E122</f>
        <v>56</v>
      </c>
      <c r="V39" t="s">
        <v>77</v>
      </c>
      <c r="W39" s="29" t="s">
        <v>164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D40">
        <v>17</v>
      </c>
      <c r="E40" s="9">
        <v>17</v>
      </c>
      <c r="F40" s="16"/>
      <c r="G40" s="10"/>
      <c r="H40" s="13"/>
      <c r="I40" s="10"/>
      <c r="J40" s="14"/>
      <c r="K40" s="10"/>
      <c r="L40" s="10"/>
      <c r="M40" s="10"/>
      <c r="N40" s="10"/>
      <c r="O40" s="10"/>
      <c r="P40" s="14"/>
      <c r="Q40" s="10"/>
      <c r="T40">
        <v>36</v>
      </c>
      <c r="U40" s="28">
        <f>E129</f>
        <v>59</v>
      </c>
      <c r="V40" t="s">
        <v>77</v>
      </c>
      <c r="W40" s="29">
        <f>E131</f>
        <v>60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/>
      <c r="F41" s="10"/>
      <c r="G41" s="10"/>
      <c r="H41" s="14" t="s">
        <v>18</v>
      </c>
      <c r="I41" s="9" t="str">
        <f>IF(OR(H39="",H42=""),"",+IF(H39&gt;H42,G39,E42))</f>
        <v/>
      </c>
      <c r="J41" s="16"/>
      <c r="K41" s="10"/>
      <c r="L41" s="10"/>
      <c r="M41" s="10"/>
      <c r="N41" s="10"/>
      <c r="O41" s="10"/>
      <c r="P41" s="14"/>
      <c r="Q41" s="10"/>
      <c r="T41">
        <v>37</v>
      </c>
      <c r="U41" s="28">
        <f>E133</f>
        <v>61</v>
      </c>
      <c r="V41" t="s">
        <v>77</v>
      </c>
      <c r="W41" s="29">
        <f>E135</f>
        <v>62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9">
        <v>18</v>
      </c>
      <c r="F42" s="9"/>
      <c r="G42" s="9">
        <f>E42</f>
        <v>18</v>
      </c>
      <c r="H42" s="16"/>
      <c r="I42" s="10"/>
      <c r="J42" s="10"/>
      <c r="K42" s="10"/>
      <c r="L42" s="10"/>
      <c r="M42" s="10"/>
      <c r="N42" s="10"/>
      <c r="O42" s="10"/>
      <c r="P42" s="14"/>
      <c r="Q42" s="10"/>
      <c r="T42">
        <v>38</v>
      </c>
      <c r="U42" s="28">
        <f>E137</f>
        <v>63</v>
      </c>
      <c r="V42" t="s">
        <v>77</v>
      </c>
      <c r="W42" s="29">
        <f>E139</f>
        <v>64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4" t="s">
        <v>71</v>
      </c>
      <c r="Q43" s="9" t="str">
        <f>IF(OR(P25="",P63=""),"",+IF(P25&gt;P63,O25,O63))</f>
        <v/>
      </c>
      <c r="T43">
        <v>39</v>
      </c>
      <c r="U43" s="28">
        <f>E141</f>
        <v>65</v>
      </c>
      <c r="V43" t="s">
        <v>77</v>
      </c>
      <c r="W43" s="29" t="s">
        <v>86</v>
      </c>
      <c r="Z43" s="34"/>
      <c r="AA43" s="40"/>
      <c r="AB43" s="40"/>
      <c r="AC43" s="38" t="s">
        <v>159</v>
      </c>
      <c r="AD43" s="48"/>
      <c r="AE43" s="53" t="e">
        <f>LOOKUP(AD43,T$5:T$80,U$5:U$80)</f>
        <v>#N/A</v>
      </c>
      <c r="AF43" s="37" t="s">
        <v>157</v>
      </c>
      <c r="AG43" s="65" t="e">
        <f>LOOKUP(AD43,T$5:T$80,W$5:W$80)</f>
        <v>#N/A</v>
      </c>
    </row>
    <row r="44" spans="4:33" ht="13" thickBot="1">
      <c r="D44">
        <v>19</v>
      </c>
      <c r="E44" s="9">
        <v>19</v>
      </c>
      <c r="F44" s="9"/>
      <c r="G44" s="9">
        <f>E44</f>
        <v>19</v>
      </c>
      <c r="H44" s="11"/>
      <c r="I44" s="10"/>
      <c r="J44" s="10"/>
      <c r="K44" s="10"/>
      <c r="L44" s="10"/>
      <c r="M44" s="10"/>
      <c r="N44" s="10"/>
      <c r="O44" s="10"/>
      <c r="P44" s="14"/>
      <c r="Q44" s="10"/>
      <c r="R44" s="8"/>
      <c r="T44">
        <v>40</v>
      </c>
      <c r="U44" s="28">
        <f>E148</f>
        <v>68</v>
      </c>
      <c r="V44" t="s">
        <v>77</v>
      </c>
      <c r="W44" s="29">
        <f>E150</f>
        <v>69</v>
      </c>
      <c r="Z44" s="34"/>
      <c r="AA44" s="40"/>
      <c r="AB44" s="40"/>
      <c r="AC44" s="38" t="s">
        <v>159</v>
      </c>
      <c r="AD44" s="48"/>
      <c r="AE44" s="53" t="e">
        <f>LOOKUP(AD44,T$5:T$80,U$5:U$80)</f>
        <v>#N/A</v>
      </c>
      <c r="AF44" s="37" t="s">
        <v>157</v>
      </c>
      <c r="AG44" s="65" t="e">
        <f>LOOKUP(AD44,T$5:T$80,W$5:W$80)</f>
        <v>#N/A</v>
      </c>
    </row>
    <row r="45" spans="4:33">
      <c r="E45" s="12"/>
      <c r="F45" s="10"/>
      <c r="G45" s="10"/>
      <c r="H45" s="13"/>
      <c r="I45" s="10"/>
      <c r="J45" s="10"/>
      <c r="K45" s="10"/>
      <c r="L45" s="10"/>
      <c r="M45" s="10"/>
      <c r="N45" s="10"/>
      <c r="O45" s="10"/>
      <c r="P45" s="14"/>
      <c r="Q45" s="10"/>
      <c r="R45" s="8"/>
      <c r="T45">
        <v>41</v>
      </c>
      <c r="U45" s="28">
        <f>E152</f>
        <v>70</v>
      </c>
      <c r="V45" t="s">
        <v>77</v>
      </c>
      <c r="W45" s="29">
        <f>E154</f>
        <v>71</v>
      </c>
      <c r="Z45" s="34"/>
      <c r="AA45" s="40"/>
      <c r="AB45" s="40"/>
      <c r="AC45" s="38" t="s">
        <v>159</v>
      </c>
      <c r="AD45" s="48"/>
      <c r="AE45" s="53" t="e">
        <f>LOOKUP(AD45,T$5:T$80,U$5:U$80)</f>
        <v>#N/A</v>
      </c>
      <c r="AF45" s="37" t="s">
        <v>157</v>
      </c>
      <c r="AG45" s="65" t="e">
        <f>LOOKUP(AD45,T$5:T$80,W$5:W$80)</f>
        <v>#N/A</v>
      </c>
    </row>
    <row r="46" spans="4:33" ht="13" thickBot="1">
      <c r="E46" s="10"/>
      <c r="F46" s="10"/>
      <c r="G46" s="10"/>
      <c r="H46" s="14" t="s">
        <v>19</v>
      </c>
      <c r="I46" s="9" t="str">
        <f>IF(OR(H44="",H48=""),"",+IF(H44&gt;H48,E44,G48))</f>
        <v/>
      </c>
      <c r="J46" s="11"/>
      <c r="K46" s="10"/>
      <c r="L46" s="10"/>
      <c r="M46" s="10"/>
      <c r="N46" s="10"/>
      <c r="O46" s="10"/>
      <c r="P46" s="14"/>
      <c r="Q46" s="10"/>
      <c r="R46" s="8"/>
      <c r="T46">
        <v>42</v>
      </c>
      <c r="U46" s="28" t="s">
        <v>87</v>
      </c>
      <c r="V46" t="s">
        <v>77</v>
      </c>
      <c r="W46" s="29">
        <f>E160</f>
        <v>74</v>
      </c>
      <c r="Z46" s="34"/>
      <c r="AA46" s="40"/>
      <c r="AB46" s="40"/>
      <c r="AC46" s="38" t="s">
        <v>159</v>
      </c>
      <c r="AD46" s="48"/>
      <c r="AE46" s="53" t="e">
        <f>LOOKUP(AD46,T$5:T$80,U$5:U$80)</f>
        <v>#N/A</v>
      </c>
      <c r="AF46" s="37" t="s">
        <v>157</v>
      </c>
      <c r="AG46" s="65" t="e">
        <f>LOOKUP(AD46,T$5:T$80,W$5:W$80)</f>
        <v>#N/A</v>
      </c>
    </row>
    <row r="47" spans="4:33" ht="13" thickBot="1">
      <c r="D47">
        <v>20</v>
      </c>
      <c r="E47" s="10">
        <v>20</v>
      </c>
      <c r="F47" s="11"/>
      <c r="G47" s="10"/>
      <c r="H47" s="14"/>
      <c r="I47" s="10"/>
      <c r="J47" s="13"/>
      <c r="K47" s="10"/>
      <c r="L47" s="10"/>
      <c r="M47" s="10"/>
      <c r="N47" s="10"/>
      <c r="O47" s="10"/>
      <c r="P47" s="14"/>
      <c r="Q47" s="10"/>
      <c r="R47" s="8"/>
      <c r="T47">
        <v>43</v>
      </c>
      <c r="U47" s="28" t="s">
        <v>88</v>
      </c>
      <c r="V47" t="s">
        <v>77</v>
      </c>
      <c r="W47" s="29" t="s">
        <v>89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3" t="s">
        <v>3</v>
      </c>
      <c r="G48" s="9" t="str">
        <f>IF(OR(F47="",F49=""),"",+IF(F47&gt;F49,E47,E49))</f>
        <v/>
      </c>
      <c r="H48" s="16"/>
      <c r="I48" s="10"/>
      <c r="J48" s="14"/>
      <c r="K48" s="10"/>
      <c r="L48" s="10"/>
      <c r="M48" s="10"/>
      <c r="N48" s="10"/>
      <c r="O48" s="10"/>
      <c r="P48" s="14"/>
      <c r="Q48" s="10"/>
      <c r="R48" s="8"/>
      <c r="T48">
        <v>44</v>
      </c>
      <c r="U48" s="28" t="s">
        <v>90</v>
      </c>
      <c r="V48" t="s">
        <v>77</v>
      </c>
      <c r="W48" s="29" t="s">
        <v>91</v>
      </c>
      <c r="Z48" s="34"/>
      <c r="AA48" s="40"/>
      <c r="AB48" s="40"/>
      <c r="AC48" s="38" t="s">
        <v>159</v>
      </c>
      <c r="AD48" s="48"/>
      <c r="AE48" s="53" t="e">
        <f>LOOKUP(AD48,T$5:T$80,U$5:U$80)</f>
        <v>#N/A</v>
      </c>
      <c r="AF48" s="37" t="s">
        <v>157</v>
      </c>
      <c r="AG48" s="65" t="e">
        <f>LOOKUP(AD48,T$5:T$80,W$5:W$80)</f>
        <v>#N/A</v>
      </c>
    </row>
    <row r="49" spans="4:33" ht="13" thickBot="1">
      <c r="D49">
        <v>21</v>
      </c>
      <c r="E49" s="10">
        <v>21</v>
      </c>
      <c r="F49" s="16"/>
      <c r="G49" s="10"/>
      <c r="H49" s="10"/>
      <c r="I49" s="10"/>
      <c r="J49" s="14" t="s">
        <v>47</v>
      </c>
      <c r="K49" s="9" t="str">
        <f>IF(OR(J46="",J52=""),"",+IF(J46&gt;J52,I46,I52))</f>
        <v/>
      </c>
      <c r="L49" s="17"/>
      <c r="M49" s="10"/>
      <c r="N49" s="10"/>
      <c r="O49" s="10"/>
      <c r="P49" s="14"/>
      <c r="Q49" s="10"/>
      <c r="R49" s="8"/>
      <c r="T49">
        <v>45</v>
      </c>
      <c r="U49" s="28" t="s">
        <v>92</v>
      </c>
      <c r="V49" t="s">
        <v>77</v>
      </c>
      <c r="W49" s="29" t="s">
        <v>165</v>
      </c>
      <c r="Z49" s="34"/>
      <c r="AA49" s="40"/>
      <c r="AB49" s="40"/>
      <c r="AC49" s="38" t="s">
        <v>159</v>
      </c>
      <c r="AD49" s="48"/>
      <c r="AE49" s="53" t="e">
        <f>LOOKUP(AD49,T$5:T$80,U$5:U$80)</f>
        <v>#N/A</v>
      </c>
      <c r="AF49" s="37" t="s">
        <v>157</v>
      </c>
      <c r="AG49" s="65" t="e">
        <f>LOOKUP(AD49,T$5:T$80,W$5:W$80)</f>
        <v>#N/A</v>
      </c>
    </row>
    <row r="50" spans="4:33">
      <c r="E50" s="12"/>
      <c r="F50" s="10"/>
      <c r="G50" s="10"/>
      <c r="H50" s="10"/>
      <c r="I50" s="10"/>
      <c r="J50" s="14"/>
      <c r="K50" s="10"/>
      <c r="L50" s="10"/>
      <c r="M50" s="19"/>
      <c r="N50" s="10"/>
      <c r="O50" s="10"/>
      <c r="P50" s="14"/>
      <c r="Q50" s="10"/>
      <c r="R50" s="8"/>
      <c r="T50">
        <v>46</v>
      </c>
      <c r="U50" s="28" t="s">
        <v>94</v>
      </c>
      <c r="V50" t="s">
        <v>77</v>
      </c>
      <c r="W50" s="29" t="s">
        <v>95</v>
      </c>
      <c r="Z50" s="34"/>
      <c r="AA50" s="40"/>
      <c r="AB50" s="40"/>
      <c r="AC50" s="38" t="s">
        <v>159</v>
      </c>
      <c r="AD50" s="48"/>
      <c r="AE50" s="53" t="e">
        <f>LOOKUP(AD50,T$5:T$80,U$5:U$80)</f>
        <v>#N/A</v>
      </c>
      <c r="AF50" s="37" t="s">
        <v>157</v>
      </c>
      <c r="AG50" s="65" t="e">
        <f>LOOKUP(AD50,T$5:T$80,W$5:W$80)</f>
        <v>#N/A</v>
      </c>
    </row>
    <row r="51" spans="4:33" ht="13" thickBot="1">
      <c r="D51">
        <v>22</v>
      </c>
      <c r="E51" s="9">
        <v>22</v>
      </c>
      <c r="F51" s="9"/>
      <c r="G51" s="9">
        <f>E51</f>
        <v>22</v>
      </c>
      <c r="H51" s="11"/>
      <c r="I51" s="10"/>
      <c r="J51" s="14"/>
      <c r="K51" s="10"/>
      <c r="L51" s="10"/>
      <c r="M51" s="19"/>
      <c r="N51" s="10"/>
      <c r="O51" s="10"/>
      <c r="P51" s="14"/>
      <c r="Q51" s="10"/>
      <c r="R51" s="8"/>
      <c r="T51">
        <v>47</v>
      </c>
      <c r="U51" s="28" t="s">
        <v>96</v>
      </c>
      <c r="V51" t="s">
        <v>77</v>
      </c>
      <c r="W51" s="29" t="s">
        <v>97</v>
      </c>
      <c r="Z51" s="34"/>
      <c r="AA51" s="40"/>
      <c r="AB51" s="40"/>
      <c r="AC51" s="38" t="s">
        <v>159</v>
      </c>
      <c r="AD51" s="48"/>
      <c r="AE51" s="53" t="e">
        <f>LOOKUP(AD51,T$5:T$80,U$5:U$80)</f>
        <v>#N/A</v>
      </c>
      <c r="AF51" s="37" t="s">
        <v>157</v>
      </c>
      <c r="AG51" s="65" t="e">
        <f>LOOKUP(AD51,T$5:T$80,W$5:W$80)</f>
        <v>#N/A</v>
      </c>
    </row>
    <row r="52" spans="4:33" ht="13" thickBot="1">
      <c r="E52" s="10"/>
      <c r="F52" s="10"/>
      <c r="G52" s="10"/>
      <c r="H52" s="13" t="s">
        <v>20</v>
      </c>
      <c r="I52" s="9" t="str">
        <f>IF(OR(H51="",H53=""),"",+IF(H51&gt;H53,E51,E53))</f>
        <v/>
      </c>
      <c r="J52" s="16"/>
      <c r="K52" s="10"/>
      <c r="L52" s="10"/>
      <c r="M52" s="19"/>
      <c r="N52" s="10"/>
      <c r="O52" s="10"/>
      <c r="P52" s="14"/>
      <c r="Q52" s="10"/>
      <c r="R52" s="8"/>
      <c r="T52">
        <v>48</v>
      </c>
      <c r="U52" s="28" t="s">
        <v>98</v>
      </c>
      <c r="V52" t="s">
        <v>77</v>
      </c>
      <c r="W52" s="29" t="s">
        <v>99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9">
        <v>23</v>
      </c>
      <c r="F53" s="9"/>
      <c r="G53" s="9">
        <f>E53</f>
        <v>23</v>
      </c>
      <c r="H53" s="11"/>
      <c r="I53" s="10"/>
      <c r="J53" s="10"/>
      <c r="K53" s="10"/>
      <c r="L53" s="10"/>
      <c r="M53" s="19"/>
      <c r="N53" s="10"/>
      <c r="O53" s="10"/>
      <c r="P53" s="14"/>
      <c r="Q53" s="10"/>
      <c r="R53" s="8"/>
      <c r="T53">
        <v>49</v>
      </c>
      <c r="U53" s="28" t="s">
        <v>100</v>
      </c>
      <c r="V53" t="s">
        <v>77</v>
      </c>
      <c r="W53" s="29" t="s">
        <v>101</v>
      </c>
      <c r="Z53" s="34"/>
      <c r="AA53" s="40"/>
      <c r="AB53" s="40"/>
      <c r="AC53" s="38" t="s">
        <v>159</v>
      </c>
      <c r="AD53" s="48"/>
      <c r="AE53" s="53" t="e">
        <f>LOOKUP(AD53,T$5:T$80,U$5:U$80)</f>
        <v>#N/A</v>
      </c>
      <c r="AF53" s="37" t="s">
        <v>157</v>
      </c>
      <c r="AG53" s="65" t="e">
        <f>LOOKUP(AD53,T$5:T$80,W$5:W$80)</f>
        <v>#N/A</v>
      </c>
    </row>
    <row r="54" spans="4:33" ht="13" thickBot="1">
      <c r="E54" s="10"/>
      <c r="F54" s="10"/>
      <c r="G54" s="10"/>
      <c r="H54" s="10"/>
      <c r="I54" s="10"/>
      <c r="J54" s="10"/>
      <c r="K54" s="10"/>
      <c r="L54" s="14" t="s">
        <v>61</v>
      </c>
      <c r="M54" s="9" t="str">
        <f>IF(OR(L49="",L58=""),"",+IF(L49&gt;L58,K49,K58))</f>
        <v/>
      </c>
      <c r="N54" s="17"/>
      <c r="O54" s="10"/>
      <c r="P54" s="14"/>
      <c r="Q54" s="10"/>
      <c r="R54" s="8"/>
      <c r="T54">
        <v>50</v>
      </c>
      <c r="U54" s="28" t="s">
        <v>102</v>
      </c>
      <c r="V54" t="s">
        <v>77</v>
      </c>
      <c r="W54" s="29" t="s">
        <v>103</v>
      </c>
      <c r="Z54" s="34"/>
      <c r="AA54" s="40"/>
      <c r="AB54" s="40"/>
      <c r="AC54" s="38" t="s">
        <v>159</v>
      </c>
      <c r="AD54" s="48"/>
      <c r="AE54" s="53" t="e">
        <f>LOOKUP(AD54,T$5:T$80,U$5:U$80)</f>
        <v>#N/A</v>
      </c>
      <c r="AF54" s="37" t="s">
        <v>157</v>
      </c>
      <c r="AG54" s="65" t="e">
        <f>LOOKUP(AD54,T$5:T$80,W$5:W$80)</f>
        <v>#N/A</v>
      </c>
    </row>
    <row r="55" spans="4:33" ht="13" thickBot="1">
      <c r="D55">
        <v>24</v>
      </c>
      <c r="E55" s="9">
        <v>24</v>
      </c>
      <c r="F55" s="9"/>
      <c r="G55" s="9">
        <f>E55</f>
        <v>24</v>
      </c>
      <c r="H55" s="11"/>
      <c r="I55" s="10"/>
      <c r="J55" s="10"/>
      <c r="K55" s="10"/>
      <c r="L55" s="10"/>
      <c r="M55" s="19"/>
      <c r="N55" s="13"/>
      <c r="O55" s="10"/>
      <c r="P55" s="14"/>
      <c r="Q55" s="10"/>
      <c r="R55" s="8"/>
      <c r="T55">
        <v>51</v>
      </c>
      <c r="U55" s="28" t="s">
        <v>104</v>
      </c>
      <c r="V55" t="s">
        <v>77</v>
      </c>
      <c r="W55" s="29" t="s">
        <v>105</v>
      </c>
      <c r="Z55" s="34"/>
      <c r="AA55" s="40"/>
      <c r="AB55" s="40"/>
      <c r="AC55" s="38" t="s">
        <v>159</v>
      </c>
      <c r="AD55" s="48"/>
      <c r="AE55" s="53" t="e">
        <f>LOOKUP(AD55,T$5:T$80,U$5:U$80)</f>
        <v>#N/A</v>
      </c>
      <c r="AF55" s="37" t="s">
        <v>157</v>
      </c>
      <c r="AG55" s="65" t="e">
        <f>LOOKUP(AD55,T$5:T$80,W$5:W$80)</f>
        <v>#N/A</v>
      </c>
    </row>
    <row r="56" spans="4:33" ht="13" thickBot="1">
      <c r="E56" s="10"/>
      <c r="F56" s="10"/>
      <c r="G56" s="12"/>
      <c r="H56" s="13" t="s">
        <v>21</v>
      </c>
      <c r="I56" s="9" t="str">
        <f>IF(OR(H55="",H57=""),"",+IF(H55&gt;H57,E55,E57))</f>
        <v/>
      </c>
      <c r="J56" s="17"/>
      <c r="K56" s="10"/>
      <c r="L56" s="10"/>
      <c r="M56" s="19"/>
      <c r="N56" s="14"/>
      <c r="O56" s="10"/>
      <c r="P56" s="14"/>
      <c r="Q56" s="10"/>
      <c r="R56" s="8"/>
      <c r="T56">
        <v>52</v>
      </c>
      <c r="U56" s="28" t="s">
        <v>106</v>
      </c>
      <c r="V56" t="s">
        <v>77</v>
      </c>
      <c r="W56" s="29" t="s">
        <v>107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9">
        <v>25</v>
      </c>
      <c r="F57" s="9"/>
      <c r="G57" s="9">
        <f>E57</f>
        <v>25</v>
      </c>
      <c r="H57" s="16"/>
      <c r="I57" s="10"/>
      <c r="J57" s="14"/>
      <c r="K57" s="10"/>
      <c r="L57" s="10"/>
      <c r="M57" s="19"/>
      <c r="N57" s="14"/>
      <c r="O57" s="10"/>
      <c r="P57" s="14"/>
      <c r="Q57" s="10"/>
      <c r="R57" s="8"/>
      <c r="T57">
        <v>53</v>
      </c>
      <c r="U57" s="28" t="s">
        <v>108</v>
      </c>
      <c r="V57" t="s">
        <v>77</v>
      </c>
      <c r="W57" s="29" t="s">
        <v>109</v>
      </c>
    </row>
    <row r="58" spans="4:33" ht="13" thickBot="1">
      <c r="E58" s="10"/>
      <c r="F58" s="10"/>
      <c r="G58" s="12"/>
      <c r="H58" s="10"/>
      <c r="I58" s="10"/>
      <c r="J58" s="14" t="s">
        <v>48</v>
      </c>
      <c r="K58" s="9" t="str">
        <f>IF(OR(J56="",J60=""),"",+IF(J56&gt;J60,I56,I60))</f>
        <v/>
      </c>
      <c r="L58" s="16"/>
      <c r="M58" s="19"/>
      <c r="N58" s="14"/>
      <c r="O58" s="10"/>
      <c r="P58" s="14"/>
      <c r="Q58" s="10"/>
      <c r="R58" s="8"/>
      <c r="T58">
        <v>54</v>
      </c>
      <c r="U58" s="28" t="s">
        <v>110</v>
      </c>
      <c r="V58" t="s">
        <v>77</v>
      </c>
      <c r="W58" s="29" t="s">
        <v>111</v>
      </c>
    </row>
    <row r="59" spans="4:33" ht="13" thickBot="1">
      <c r="D59">
        <v>26</v>
      </c>
      <c r="E59" s="9">
        <v>26</v>
      </c>
      <c r="F59" s="9"/>
      <c r="G59" s="9">
        <f>E59</f>
        <v>26</v>
      </c>
      <c r="H59" s="11"/>
      <c r="I59" s="10"/>
      <c r="J59" s="14"/>
      <c r="K59" s="10"/>
      <c r="L59" s="10"/>
      <c r="M59" s="10"/>
      <c r="N59" s="14"/>
      <c r="O59" s="10"/>
      <c r="P59" s="14"/>
      <c r="Q59" s="10"/>
      <c r="R59" s="8"/>
      <c r="T59">
        <v>55</v>
      </c>
      <c r="U59" s="28" t="s">
        <v>112</v>
      </c>
      <c r="V59" t="s">
        <v>77</v>
      </c>
      <c r="W59" s="29" t="s">
        <v>113</v>
      </c>
    </row>
    <row r="60" spans="4:33" ht="13" thickBot="1">
      <c r="E60" s="10"/>
      <c r="F60" s="10"/>
      <c r="G60" s="12"/>
      <c r="H60" s="13" t="s">
        <v>22</v>
      </c>
      <c r="I60" s="9" t="str">
        <f>IF(OR(H59="",H61=""),"",+IF(H59&gt;H61,E59,E61))</f>
        <v/>
      </c>
      <c r="J60" s="16"/>
      <c r="K60" s="10"/>
      <c r="L60" s="10"/>
      <c r="M60" s="10"/>
      <c r="N60" s="14"/>
      <c r="O60" s="10"/>
      <c r="P60" s="14"/>
      <c r="Q60" s="10"/>
      <c r="R60" s="8"/>
      <c r="T60">
        <v>56</v>
      </c>
      <c r="U60" s="28" t="s">
        <v>114</v>
      </c>
      <c r="V60" t="s">
        <v>77</v>
      </c>
      <c r="W60" s="29" t="s">
        <v>115</v>
      </c>
    </row>
    <row r="61" spans="4:33" ht="13" thickBot="1">
      <c r="D61">
        <v>27</v>
      </c>
      <c r="E61" s="9">
        <v>27</v>
      </c>
      <c r="F61" s="9"/>
      <c r="G61" s="9">
        <f>E61</f>
        <v>27</v>
      </c>
      <c r="H61" s="16"/>
      <c r="I61" s="10"/>
      <c r="J61" s="10"/>
      <c r="K61" s="10"/>
      <c r="L61" s="10"/>
      <c r="M61" s="10"/>
      <c r="N61" s="14"/>
      <c r="O61" s="10"/>
      <c r="P61" s="14"/>
      <c r="Q61" s="10"/>
      <c r="R61" s="8"/>
      <c r="T61">
        <v>57</v>
      </c>
      <c r="U61" s="28" t="s">
        <v>116</v>
      </c>
      <c r="V61" t="s">
        <v>77</v>
      </c>
      <c r="W61" s="29" t="s">
        <v>117</v>
      </c>
    </row>
    <row r="62" spans="4:33">
      <c r="E62" s="10"/>
      <c r="F62" s="10"/>
      <c r="G62" s="10"/>
      <c r="H62" s="10"/>
      <c r="I62" s="10"/>
      <c r="J62" s="10"/>
      <c r="K62" s="10"/>
      <c r="L62" s="10"/>
      <c r="M62" s="10"/>
      <c r="N62" s="14"/>
      <c r="O62" s="10"/>
      <c r="P62" s="14"/>
      <c r="Q62" s="10"/>
      <c r="R62" s="8"/>
      <c r="T62">
        <v>58</v>
      </c>
      <c r="U62" s="28" t="s">
        <v>118</v>
      </c>
      <c r="V62" t="s">
        <v>77</v>
      </c>
      <c r="W62" s="29" t="s">
        <v>119</v>
      </c>
    </row>
    <row r="63" spans="4:33" ht="13" thickBot="1">
      <c r="D63">
        <v>28</v>
      </c>
      <c r="E63" s="10">
        <v>28</v>
      </c>
      <c r="F63" s="9"/>
      <c r="G63" s="9">
        <f>E63</f>
        <v>28</v>
      </c>
      <c r="H63" s="11"/>
      <c r="I63" s="10"/>
      <c r="J63" s="10"/>
      <c r="K63" s="10"/>
      <c r="L63" s="10"/>
      <c r="M63" s="10"/>
      <c r="N63" s="14" t="s">
        <v>68</v>
      </c>
      <c r="O63" s="9" t="str">
        <f>IF(OR(N54="",N73=""),"",+IF(N54&gt;N73,M54,M73))</f>
        <v/>
      </c>
      <c r="P63" s="16"/>
      <c r="Q63" s="10"/>
      <c r="R63" s="8"/>
      <c r="T63">
        <v>59</v>
      </c>
      <c r="U63" s="28" t="s">
        <v>120</v>
      </c>
      <c r="V63" t="s">
        <v>77</v>
      </c>
      <c r="W63" s="29" t="s">
        <v>121</v>
      </c>
    </row>
    <row r="64" spans="4:33">
      <c r="E64" s="12"/>
      <c r="F64" s="10"/>
      <c r="G64" s="10"/>
      <c r="H64" s="13"/>
      <c r="I64" s="10"/>
      <c r="J64" s="10"/>
      <c r="K64" s="10"/>
      <c r="L64" s="10"/>
      <c r="M64" s="10"/>
      <c r="N64" s="14"/>
      <c r="O64" s="10"/>
      <c r="P64" s="10"/>
      <c r="Q64" s="10"/>
      <c r="R64" s="8"/>
      <c r="T64">
        <v>60</v>
      </c>
      <c r="U64" s="28" t="s">
        <v>122</v>
      </c>
      <c r="V64" t="s">
        <v>77</v>
      </c>
      <c r="W64" s="29" t="s">
        <v>123</v>
      </c>
    </row>
    <row r="65" spans="4:23" ht="13" thickBot="1">
      <c r="E65" s="10"/>
      <c r="F65" s="10"/>
      <c r="G65" s="10"/>
      <c r="H65" s="14" t="s">
        <v>23</v>
      </c>
      <c r="I65" s="9" t="str">
        <f>IF(OR(H63="",H67=""),"",+IF(H63&gt;H67,G63,G67))</f>
        <v/>
      </c>
      <c r="J65" s="11"/>
      <c r="K65" s="10"/>
      <c r="L65" s="10"/>
      <c r="M65" s="10"/>
      <c r="N65" s="14"/>
      <c r="O65" s="10"/>
      <c r="P65" s="10"/>
      <c r="Q65" s="10"/>
      <c r="R65" s="8"/>
      <c r="T65">
        <v>61</v>
      </c>
      <c r="U65" s="28" t="s">
        <v>124</v>
      </c>
      <c r="V65" t="s">
        <v>77</v>
      </c>
      <c r="W65" s="29" t="s">
        <v>125</v>
      </c>
    </row>
    <row r="66" spans="4:23" ht="13" thickBot="1">
      <c r="D66">
        <v>29</v>
      </c>
      <c r="E66" s="10">
        <v>29</v>
      </c>
      <c r="F66" s="11"/>
      <c r="G66" s="10"/>
      <c r="H66" s="14"/>
      <c r="I66" s="10"/>
      <c r="J66" s="13"/>
      <c r="K66" s="10"/>
      <c r="L66" s="10"/>
      <c r="M66" s="10"/>
      <c r="N66" s="14"/>
      <c r="O66" s="10"/>
      <c r="P66" s="10"/>
      <c r="Q66" s="10"/>
      <c r="R66" s="8"/>
      <c r="T66">
        <v>62</v>
      </c>
      <c r="U66" s="28" t="s">
        <v>126</v>
      </c>
      <c r="V66" t="s">
        <v>77</v>
      </c>
      <c r="W66" s="29" t="s">
        <v>127</v>
      </c>
    </row>
    <row r="67" spans="4:23" ht="13" thickBot="1">
      <c r="E67" s="12"/>
      <c r="F67" s="13" t="s">
        <v>4</v>
      </c>
      <c r="G67" s="9" t="str">
        <f>IF(OR(F66="",F68=""),"",+IF(F66&gt;F68,E66,E68))</f>
        <v/>
      </c>
      <c r="H67" s="16"/>
      <c r="I67" s="10"/>
      <c r="J67" s="14"/>
      <c r="K67" s="10"/>
      <c r="L67" s="10"/>
      <c r="M67" s="10"/>
      <c r="N67" s="14"/>
      <c r="O67" s="10"/>
      <c r="P67" s="10"/>
      <c r="Q67" s="10"/>
      <c r="R67" s="8"/>
      <c r="T67">
        <v>63</v>
      </c>
      <c r="U67" s="28" t="s">
        <v>130</v>
      </c>
      <c r="V67" t="s">
        <v>77</v>
      </c>
      <c r="W67" s="29" t="s">
        <v>128</v>
      </c>
    </row>
    <row r="68" spans="4:23" ht="13" thickBot="1">
      <c r="D68">
        <v>30</v>
      </c>
      <c r="E68" s="10">
        <v>30</v>
      </c>
      <c r="F68" s="16"/>
      <c r="G68" s="10"/>
      <c r="H68" s="10"/>
      <c r="I68" s="10"/>
      <c r="J68" s="14" t="s">
        <v>49</v>
      </c>
      <c r="K68" s="9" t="str">
        <f>IF(OR(J65="",J71=""),"",+IF(J65&gt;J71,I65,I71))</f>
        <v/>
      </c>
      <c r="L68" s="11"/>
      <c r="M68" s="10"/>
      <c r="N68" s="14"/>
      <c r="O68" s="10"/>
      <c r="P68" s="10"/>
      <c r="Q68" s="10"/>
      <c r="R68" s="8"/>
      <c r="T68">
        <v>64</v>
      </c>
      <c r="U68" s="28" t="s">
        <v>129</v>
      </c>
      <c r="V68" t="s">
        <v>77</v>
      </c>
      <c r="W68" s="29" t="s">
        <v>131</v>
      </c>
    </row>
    <row r="69" spans="4:23">
      <c r="E69" s="12"/>
      <c r="F69" s="10"/>
      <c r="G69" s="10"/>
      <c r="H69" s="10"/>
      <c r="I69" s="10"/>
      <c r="J69" s="14"/>
      <c r="K69" s="12"/>
      <c r="L69" s="13"/>
      <c r="M69" s="10"/>
      <c r="N69" s="14"/>
      <c r="O69" s="10"/>
      <c r="P69" s="10"/>
      <c r="Q69" s="10"/>
      <c r="R69" s="8"/>
      <c r="T69">
        <v>65</v>
      </c>
      <c r="U69" s="28" t="s">
        <v>132</v>
      </c>
      <c r="V69" t="s">
        <v>77</v>
      </c>
      <c r="W69" s="29" t="s">
        <v>133</v>
      </c>
    </row>
    <row r="70" spans="4:23" ht="13" thickBot="1">
      <c r="D70">
        <v>31</v>
      </c>
      <c r="E70" s="9">
        <v>31</v>
      </c>
      <c r="F70" s="9"/>
      <c r="G70" s="9">
        <f>E70</f>
        <v>31</v>
      </c>
      <c r="H70" s="11"/>
      <c r="I70" s="10"/>
      <c r="J70" s="14"/>
      <c r="K70" s="10"/>
      <c r="L70" s="14"/>
      <c r="M70" s="10"/>
      <c r="N70" s="14"/>
      <c r="O70" s="10"/>
      <c r="P70" s="10"/>
      <c r="Q70" s="10"/>
      <c r="R70" s="8"/>
      <c r="T70">
        <v>66</v>
      </c>
      <c r="U70" s="28" t="s">
        <v>134</v>
      </c>
      <c r="V70" t="s">
        <v>77</v>
      </c>
      <c r="W70" s="29" t="s">
        <v>135</v>
      </c>
    </row>
    <row r="71" spans="4:23" ht="13" thickBot="1">
      <c r="E71" s="10"/>
      <c r="F71" s="10"/>
      <c r="G71" s="10"/>
      <c r="H71" s="13" t="s">
        <v>24</v>
      </c>
      <c r="I71" s="9" t="str">
        <f>IF(OR(H70="",H72=""),"",+IF(H70&gt;H72,E70,E72))</f>
        <v/>
      </c>
      <c r="J71" s="16"/>
      <c r="K71" s="10"/>
      <c r="L71" s="14"/>
      <c r="M71" s="10"/>
      <c r="N71" s="14"/>
      <c r="O71" s="10"/>
      <c r="P71" s="10"/>
      <c r="Q71" s="10"/>
      <c r="R71" s="8"/>
      <c r="T71">
        <v>67</v>
      </c>
      <c r="U71" s="28" t="s">
        <v>136</v>
      </c>
      <c r="V71" t="s">
        <v>77</v>
      </c>
      <c r="W71" s="29" t="s">
        <v>137</v>
      </c>
    </row>
    <row r="72" spans="4:23" ht="13" thickBot="1">
      <c r="D72">
        <v>32</v>
      </c>
      <c r="E72" s="9">
        <v>32</v>
      </c>
      <c r="F72" s="9"/>
      <c r="G72" s="9">
        <f>E72</f>
        <v>32</v>
      </c>
      <c r="H72" s="16"/>
      <c r="I72" s="10"/>
      <c r="J72" s="10"/>
      <c r="K72" s="10"/>
      <c r="L72" s="14"/>
      <c r="M72" s="10"/>
      <c r="N72" s="14"/>
      <c r="O72" s="10"/>
      <c r="P72" s="10"/>
      <c r="Q72" s="10"/>
      <c r="R72" s="8"/>
      <c r="T72">
        <v>68</v>
      </c>
      <c r="U72" s="28" t="s">
        <v>138</v>
      </c>
      <c r="V72" t="s">
        <v>77</v>
      </c>
      <c r="W72" s="29" t="s">
        <v>144</v>
      </c>
    </row>
    <row r="73" spans="4:23" ht="13" thickBot="1">
      <c r="E73" s="10"/>
      <c r="F73" s="10"/>
      <c r="G73" s="10"/>
      <c r="H73" s="10"/>
      <c r="I73" s="10"/>
      <c r="J73" s="10"/>
      <c r="K73" s="10"/>
      <c r="L73" s="14" t="s">
        <v>62</v>
      </c>
      <c r="M73" s="9" t="str">
        <f>IF(OR(L68="",L78=""),"",+IF(L68&gt;L78,K68,K78))</f>
        <v/>
      </c>
      <c r="N73" s="16"/>
      <c r="O73" s="10"/>
      <c r="P73" s="10"/>
      <c r="Q73" s="10"/>
      <c r="R73" s="8"/>
      <c r="T73">
        <v>69</v>
      </c>
      <c r="U73" s="28" t="s">
        <v>139</v>
      </c>
      <c r="V73" t="s">
        <v>77</v>
      </c>
      <c r="W73" s="29" t="s">
        <v>140</v>
      </c>
    </row>
    <row r="74" spans="4:23" ht="13" thickBot="1">
      <c r="D74">
        <v>33</v>
      </c>
      <c r="E74" s="9">
        <v>33</v>
      </c>
      <c r="F74" s="9"/>
      <c r="G74" s="9">
        <f>E74</f>
        <v>33</v>
      </c>
      <c r="H74" s="11"/>
      <c r="I74" s="10"/>
      <c r="J74" s="10"/>
      <c r="K74" s="10"/>
      <c r="L74" s="14"/>
      <c r="M74" s="10"/>
      <c r="N74" s="10"/>
      <c r="O74" s="10"/>
      <c r="P74" s="10"/>
      <c r="Q74" s="10"/>
      <c r="R74" s="8"/>
      <c r="T74">
        <v>70</v>
      </c>
      <c r="U74" s="28" t="s">
        <v>141</v>
      </c>
      <c r="V74" t="s">
        <v>77</v>
      </c>
      <c r="W74" s="29" t="s">
        <v>143</v>
      </c>
    </row>
    <row r="75" spans="4:23" ht="13" thickBot="1">
      <c r="E75" s="10"/>
      <c r="F75" s="10"/>
      <c r="G75" s="10"/>
      <c r="H75" s="13" t="s">
        <v>25</v>
      </c>
      <c r="I75" s="9" t="str">
        <f>IF(OR(H74="",H76=""),"",+IF(H74&gt;H76,E74,E76))</f>
        <v/>
      </c>
      <c r="J75" s="17"/>
      <c r="K75" s="10"/>
      <c r="L75" s="14"/>
      <c r="M75" s="10"/>
      <c r="N75" s="10"/>
      <c r="O75" s="10"/>
      <c r="P75" s="10"/>
      <c r="Q75" s="10"/>
      <c r="R75" s="8"/>
      <c r="T75">
        <v>71</v>
      </c>
      <c r="U75" s="28" t="s">
        <v>142</v>
      </c>
      <c r="V75" t="s">
        <v>77</v>
      </c>
      <c r="W75" s="29" t="s">
        <v>145</v>
      </c>
    </row>
    <row r="76" spans="4:23" ht="13" thickBot="1">
      <c r="D76">
        <v>34</v>
      </c>
      <c r="E76" s="9">
        <v>34</v>
      </c>
      <c r="F76" s="9"/>
      <c r="G76" s="9">
        <f>E76</f>
        <v>34</v>
      </c>
      <c r="H76" s="16"/>
      <c r="I76" s="10"/>
      <c r="J76" s="13"/>
      <c r="K76" s="10"/>
      <c r="L76" s="14"/>
      <c r="M76" s="10"/>
      <c r="N76" s="10"/>
      <c r="O76" s="10"/>
      <c r="P76" s="10"/>
      <c r="Q76" s="10"/>
      <c r="R76" s="8"/>
      <c r="T76">
        <v>72</v>
      </c>
      <c r="U76" s="28" t="s">
        <v>146</v>
      </c>
      <c r="V76" t="s">
        <v>77</v>
      </c>
      <c r="W76" s="29" t="s">
        <v>147</v>
      </c>
    </row>
    <row r="77" spans="4:23">
      <c r="E77" s="10"/>
      <c r="F77" s="10"/>
      <c r="G77" s="10"/>
      <c r="H77" s="10"/>
      <c r="I77" s="10"/>
      <c r="J77" s="14"/>
      <c r="K77" s="10"/>
      <c r="L77" s="14"/>
      <c r="M77" s="10"/>
      <c r="N77" s="10"/>
      <c r="O77" s="10"/>
      <c r="P77" s="10"/>
      <c r="Q77" s="10"/>
      <c r="R77" s="8"/>
      <c r="T77">
        <v>73</v>
      </c>
      <c r="U77" s="28" t="s">
        <v>148</v>
      </c>
      <c r="V77" t="s">
        <v>77</v>
      </c>
      <c r="W77" s="29" t="s">
        <v>168</v>
      </c>
    </row>
    <row r="78" spans="4:23" ht="13" thickBot="1">
      <c r="D78">
        <v>35</v>
      </c>
      <c r="E78" s="10">
        <v>35</v>
      </c>
      <c r="F78" s="11"/>
      <c r="G78" s="10"/>
      <c r="H78" s="10"/>
      <c r="I78" s="10"/>
      <c r="J78" s="14" t="s">
        <v>50</v>
      </c>
      <c r="K78" s="18" t="str">
        <f>IF(OR(I75="",I80=""),"",+IF(J75&gt;J80,I75,I80))</f>
        <v/>
      </c>
      <c r="L78" s="16"/>
      <c r="M78" s="10"/>
      <c r="N78" s="10"/>
      <c r="O78" s="10"/>
      <c r="P78" s="10"/>
      <c r="Q78" s="10"/>
      <c r="R78" s="8"/>
    </row>
    <row r="79" spans="4:23" ht="13" thickBot="1">
      <c r="E79" s="12"/>
      <c r="F79" s="13" t="s">
        <v>5</v>
      </c>
      <c r="G79" s="9" t="str">
        <f>IF(OR(F78="",F80=""),"",+IF(F78&gt;F80,E78,E80))</f>
        <v/>
      </c>
      <c r="H79" s="17"/>
      <c r="I79" s="10"/>
      <c r="J79" s="14"/>
      <c r="K79" s="10"/>
      <c r="L79" s="10"/>
      <c r="M79" s="10"/>
      <c r="N79" s="10"/>
      <c r="O79" s="10"/>
      <c r="P79" s="10"/>
      <c r="Q79" s="10"/>
      <c r="R79" s="8"/>
    </row>
    <row r="80" spans="4:23" ht="13" thickBot="1">
      <c r="D80">
        <v>36</v>
      </c>
      <c r="E80" s="9">
        <v>36</v>
      </c>
      <c r="F80" s="16"/>
      <c r="G80" s="10"/>
      <c r="H80" s="13" t="s">
        <v>26</v>
      </c>
      <c r="I80" s="9" t="str">
        <f>IF(OR(H79="",H82=""),"",+IF(H79&gt;H82,G79,G82))</f>
        <v/>
      </c>
      <c r="J80" s="16"/>
      <c r="K80" s="10"/>
      <c r="L80" s="10"/>
      <c r="M80" s="10"/>
      <c r="N80" s="10"/>
      <c r="O80" s="10"/>
      <c r="P80" s="10"/>
      <c r="Q80" s="10"/>
      <c r="R80" s="8"/>
    </row>
    <row r="81" spans="4:18">
      <c r="E81" s="10"/>
      <c r="F81" s="10"/>
      <c r="G81" s="10"/>
      <c r="H81" s="14"/>
      <c r="I81" s="10"/>
      <c r="J81" s="10"/>
      <c r="K81" s="10"/>
      <c r="L81" s="10"/>
      <c r="M81" s="10"/>
      <c r="N81" s="10"/>
      <c r="O81" s="10"/>
      <c r="P81" s="10"/>
      <c r="Q81" s="10"/>
      <c r="R81" s="8"/>
    </row>
    <row r="82" spans="4:18" ht="13" thickBot="1">
      <c r="D82">
        <v>37</v>
      </c>
      <c r="E82" s="9">
        <v>37</v>
      </c>
      <c r="F82" s="9"/>
      <c r="G82" s="9">
        <f>E82</f>
        <v>37</v>
      </c>
      <c r="H82" s="16"/>
      <c r="I82" s="10"/>
      <c r="J82" s="10"/>
      <c r="K82" s="10"/>
      <c r="L82" s="10"/>
      <c r="M82" s="10"/>
      <c r="N82" s="10"/>
      <c r="O82" s="10"/>
      <c r="P82" s="10"/>
      <c r="Q82" s="10" t="s">
        <v>73</v>
      </c>
      <c r="R82" s="27"/>
    </row>
    <row r="83" spans="4:18">
      <c r="R83" s="8"/>
    </row>
    <row r="84" spans="4:18">
      <c r="R84" s="8"/>
    </row>
    <row r="85" spans="4:18" ht="13" thickBot="1">
      <c r="D85">
        <v>38</v>
      </c>
      <c r="E85" s="9">
        <v>38</v>
      </c>
      <c r="F85" s="9"/>
      <c r="G85" s="9">
        <f>E85</f>
        <v>38</v>
      </c>
      <c r="H85" s="11"/>
      <c r="I85" s="10"/>
      <c r="J85" s="10"/>
      <c r="K85" s="10"/>
      <c r="L85" s="10"/>
      <c r="M85" s="10"/>
      <c r="N85" s="10"/>
      <c r="O85" s="10"/>
      <c r="P85" s="10"/>
      <c r="Q85" s="10"/>
      <c r="R85" s="8"/>
    </row>
    <row r="86" spans="4:18">
      <c r="E86" s="12"/>
      <c r="F86" s="10"/>
      <c r="G86" s="10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8"/>
    </row>
    <row r="87" spans="4:18" ht="13" thickBot="1">
      <c r="E87" s="10"/>
      <c r="F87" s="10"/>
      <c r="G87" s="10"/>
      <c r="H87" s="14" t="s">
        <v>27</v>
      </c>
      <c r="I87" s="9" t="str">
        <f>IF(OR(H85="",H89=""),"",+IF(H85&gt;H89,E85,G89))</f>
        <v/>
      </c>
      <c r="J87" s="11"/>
      <c r="K87" s="10"/>
      <c r="L87" s="10"/>
      <c r="M87" s="10"/>
      <c r="N87" s="10"/>
      <c r="O87" s="10"/>
      <c r="P87" s="10"/>
      <c r="Q87" s="10"/>
      <c r="R87" s="8"/>
    </row>
    <row r="88" spans="4:18" ht="13" thickBot="1">
      <c r="D88">
        <v>39</v>
      </c>
      <c r="E88" s="10">
        <v>39</v>
      </c>
      <c r="F88" s="11"/>
      <c r="G88" s="10"/>
      <c r="H88" s="14"/>
      <c r="I88" s="10"/>
      <c r="J88" s="13"/>
      <c r="K88" s="10"/>
      <c r="L88" s="10"/>
      <c r="M88" s="10"/>
      <c r="N88" s="10"/>
      <c r="O88" s="10"/>
      <c r="P88" s="10"/>
      <c r="Q88" s="10"/>
      <c r="R88" s="8"/>
    </row>
    <row r="89" spans="4:18" ht="13" thickBot="1">
      <c r="E89" s="12"/>
      <c r="F89" s="13" t="s">
        <v>6</v>
      </c>
      <c r="G89" s="9" t="str">
        <f>IF(OR(F88="",F90=""),"",+IF(F88&gt;F90,E88,E90))</f>
        <v/>
      </c>
      <c r="H89" s="16"/>
      <c r="I89" s="10"/>
      <c r="J89" s="14"/>
      <c r="K89" s="10"/>
      <c r="L89" s="10"/>
      <c r="M89" s="10"/>
      <c r="N89" s="10"/>
      <c r="O89" s="10"/>
      <c r="P89" s="10"/>
      <c r="Q89" s="10"/>
      <c r="R89" s="8"/>
    </row>
    <row r="90" spans="4:18" ht="13" thickBot="1">
      <c r="D90">
        <v>40</v>
      </c>
      <c r="E90" s="10">
        <v>40</v>
      </c>
      <c r="F90" s="16"/>
      <c r="G90" s="10"/>
      <c r="H90" s="10"/>
      <c r="I90" s="10"/>
      <c r="J90" s="14" t="s">
        <v>51</v>
      </c>
      <c r="K90" s="9" t="str">
        <f>IF(OR(J87="",J93=""),"",+IF(J87&gt;J93,I87,I93))</f>
        <v/>
      </c>
      <c r="L90" s="17"/>
      <c r="M90" s="10"/>
      <c r="N90" s="10"/>
      <c r="O90" s="10"/>
      <c r="P90" s="10"/>
      <c r="Q90" s="10"/>
      <c r="R90" s="8"/>
    </row>
    <row r="91" spans="4:18">
      <c r="E91" s="12"/>
      <c r="F91" s="10"/>
      <c r="G91" s="10"/>
      <c r="H91" s="10"/>
      <c r="I91" s="10"/>
      <c r="J91" s="14"/>
      <c r="K91" s="10"/>
      <c r="L91" s="10"/>
      <c r="M91" s="19"/>
      <c r="N91" s="10"/>
      <c r="O91" s="10"/>
      <c r="P91" s="10"/>
      <c r="Q91" s="10"/>
      <c r="R91" s="8"/>
    </row>
    <row r="92" spans="4:18" ht="13" thickBot="1">
      <c r="D92">
        <v>41</v>
      </c>
      <c r="E92" s="9">
        <v>41</v>
      </c>
      <c r="F92" s="9"/>
      <c r="G92" s="9">
        <f>E92</f>
        <v>41</v>
      </c>
      <c r="H92" s="11"/>
      <c r="I92" s="10"/>
      <c r="J92" s="14"/>
      <c r="K92" s="10"/>
      <c r="L92" s="10"/>
      <c r="M92" s="19"/>
      <c r="N92" s="10"/>
      <c r="O92" s="10"/>
      <c r="P92" s="10"/>
      <c r="Q92" s="10"/>
      <c r="R92" s="8"/>
    </row>
    <row r="93" spans="4:18" ht="13" thickBot="1">
      <c r="E93" s="10"/>
      <c r="F93" s="10"/>
      <c r="G93" s="10"/>
      <c r="H93" s="13" t="s">
        <v>28</v>
      </c>
      <c r="I93" s="9" t="str">
        <f>IF(OR(H92="",H94=""),"",+IF(H92&gt;H94,E92,E94))</f>
        <v/>
      </c>
      <c r="J93" s="16"/>
      <c r="K93" s="10"/>
      <c r="L93" s="10"/>
      <c r="M93" s="19"/>
      <c r="N93" s="10"/>
      <c r="O93" s="10"/>
      <c r="P93" s="10"/>
      <c r="Q93" s="10"/>
      <c r="R93" s="8"/>
    </row>
    <row r="94" spans="4:18" ht="13" thickBot="1">
      <c r="D94">
        <v>42</v>
      </c>
      <c r="E94" s="9">
        <v>42</v>
      </c>
      <c r="F94" s="9"/>
      <c r="G94" s="9">
        <f>E94</f>
        <v>42</v>
      </c>
      <c r="H94" s="16"/>
      <c r="I94" s="10"/>
      <c r="J94" s="10"/>
      <c r="K94" s="10"/>
      <c r="L94" s="10"/>
      <c r="M94" s="19"/>
      <c r="N94" s="10"/>
      <c r="O94" s="10"/>
      <c r="P94" s="10"/>
      <c r="Q94" s="10"/>
      <c r="R94" s="8"/>
    </row>
    <row r="95" spans="4:18" ht="13" thickBot="1">
      <c r="E95" s="10"/>
      <c r="F95" s="10"/>
      <c r="G95" s="10"/>
      <c r="H95" s="10"/>
      <c r="I95" s="10"/>
      <c r="J95" s="10"/>
      <c r="K95" s="10"/>
      <c r="L95" s="14" t="s">
        <v>63</v>
      </c>
      <c r="M95" s="9" t="str">
        <f>IF(OR(L90="",L99=""),"",+IF(L90&gt;L99,K90,K99))</f>
        <v/>
      </c>
      <c r="N95" s="17"/>
      <c r="O95" s="10"/>
      <c r="P95" s="10"/>
      <c r="Q95" s="10"/>
      <c r="R95" s="8"/>
    </row>
    <row r="96" spans="4:18" ht="13" thickBot="1">
      <c r="D96">
        <v>43</v>
      </c>
      <c r="E96" s="9">
        <v>43</v>
      </c>
      <c r="F96" s="9"/>
      <c r="G96" s="9">
        <f>E96</f>
        <v>43</v>
      </c>
      <c r="H96" s="11"/>
      <c r="I96" s="10"/>
      <c r="J96" s="10"/>
      <c r="K96" s="10"/>
      <c r="L96" s="10"/>
      <c r="M96" s="19"/>
      <c r="N96" s="13"/>
      <c r="O96" s="10"/>
      <c r="P96" s="10"/>
      <c r="Q96" s="10"/>
      <c r="R96" s="8"/>
    </row>
    <row r="97" spans="4:18" ht="13" thickBot="1">
      <c r="E97" s="10"/>
      <c r="F97" s="10"/>
      <c r="G97" s="12"/>
      <c r="H97" s="13" t="s">
        <v>29</v>
      </c>
      <c r="I97" s="9" t="str">
        <f>IF(OR(H96="",H98=""),"",+IF(H96&gt;H98,E96,E98))</f>
        <v/>
      </c>
      <c r="J97" s="17"/>
      <c r="K97" s="10"/>
      <c r="L97" s="10"/>
      <c r="M97" s="19"/>
      <c r="N97" s="14"/>
      <c r="O97" s="10"/>
      <c r="P97" s="10"/>
      <c r="Q97" s="10"/>
      <c r="R97" s="8"/>
    </row>
    <row r="98" spans="4:18" ht="13" thickBot="1">
      <c r="D98">
        <v>44</v>
      </c>
      <c r="E98" s="9">
        <v>44</v>
      </c>
      <c r="F98" s="9"/>
      <c r="G98" s="9">
        <f>E98</f>
        <v>44</v>
      </c>
      <c r="H98" s="16"/>
      <c r="I98" s="10"/>
      <c r="J98" s="14"/>
      <c r="K98" s="10"/>
      <c r="L98" s="10"/>
      <c r="M98" s="19"/>
      <c r="N98" s="14"/>
      <c r="O98" s="10"/>
      <c r="P98" s="10"/>
      <c r="Q98" s="10"/>
      <c r="R98" s="8"/>
    </row>
    <row r="99" spans="4:18" ht="13" thickBot="1">
      <c r="E99" s="10"/>
      <c r="F99" s="10"/>
      <c r="G99" s="12"/>
      <c r="H99" s="10"/>
      <c r="I99" s="10"/>
      <c r="J99" s="14" t="s">
        <v>52</v>
      </c>
      <c r="K99" s="9" t="str">
        <f>IF(OR(J97="",J101=""),"",+IF(J97&gt;J101,I97,I101))</f>
        <v/>
      </c>
      <c r="L99" s="16"/>
      <c r="M99" s="19"/>
      <c r="N99" s="14"/>
      <c r="O99" s="10"/>
      <c r="P99" s="10"/>
      <c r="Q99" s="10"/>
      <c r="R99" s="8"/>
    </row>
    <row r="100" spans="4:18" ht="13" thickBot="1">
      <c r="D100">
        <v>45</v>
      </c>
      <c r="E100" s="9">
        <v>45</v>
      </c>
      <c r="F100" s="9"/>
      <c r="G100" s="9">
        <f>E100</f>
        <v>45</v>
      </c>
      <c r="H100" s="11"/>
      <c r="I100" s="10"/>
      <c r="J100" s="14"/>
      <c r="K100" s="10"/>
      <c r="L100" s="10"/>
      <c r="M100" s="10"/>
      <c r="N100" s="14"/>
      <c r="O100" s="10"/>
      <c r="P100" s="10"/>
      <c r="Q100" s="10"/>
      <c r="R100" s="8"/>
    </row>
    <row r="101" spans="4:18" ht="13" thickBot="1">
      <c r="E101" s="10"/>
      <c r="F101" s="10"/>
      <c r="G101" s="12"/>
      <c r="H101" s="13" t="s">
        <v>30</v>
      </c>
      <c r="I101" s="9" t="str">
        <f>IF(OR(H100="",H102=""),"",+IF(H100&gt;H102,E100,E102))</f>
        <v/>
      </c>
      <c r="J101" s="16"/>
      <c r="K101" s="10"/>
      <c r="L101" s="10"/>
      <c r="M101" s="10"/>
      <c r="N101" s="14"/>
      <c r="O101" s="10"/>
      <c r="P101" s="10"/>
      <c r="Q101" s="10"/>
      <c r="R101" s="8"/>
    </row>
    <row r="102" spans="4:18" ht="13" thickBot="1">
      <c r="D102">
        <v>46</v>
      </c>
      <c r="E102" s="9">
        <v>46</v>
      </c>
      <c r="F102" s="9"/>
      <c r="G102" s="9">
        <f>E102</f>
        <v>46</v>
      </c>
      <c r="H102" s="16"/>
      <c r="I102" s="10"/>
      <c r="J102" s="10"/>
      <c r="K102" s="10"/>
      <c r="L102" s="10"/>
      <c r="M102" s="10"/>
      <c r="N102" s="14"/>
      <c r="O102" s="10"/>
      <c r="P102" s="10"/>
      <c r="Q102" s="10"/>
      <c r="R102" s="8"/>
    </row>
    <row r="103" spans="4:18" ht="13" thickBot="1">
      <c r="E103" s="10"/>
      <c r="F103" s="10"/>
      <c r="G103" s="10"/>
      <c r="H103" s="10"/>
      <c r="I103" s="10"/>
      <c r="J103" s="10"/>
      <c r="K103" s="10"/>
      <c r="L103" s="10"/>
      <c r="M103" s="10"/>
      <c r="N103" s="14" t="s">
        <v>69</v>
      </c>
      <c r="O103" s="9" t="str">
        <f>IF(OR(N95="",N111=""),"",+IF(N95&gt;N111,M95,M111))</f>
        <v/>
      </c>
      <c r="P103" s="17"/>
      <c r="Q103" s="10"/>
      <c r="R103" s="8"/>
    </row>
    <row r="104" spans="4:18" ht="13" thickBot="1">
      <c r="D104">
        <v>47</v>
      </c>
      <c r="E104" s="9">
        <v>47</v>
      </c>
      <c r="F104" s="9"/>
      <c r="G104" s="9">
        <f>E104</f>
        <v>47</v>
      </c>
      <c r="H104" s="11"/>
      <c r="I104" s="10"/>
      <c r="J104" s="10"/>
      <c r="K104" s="10"/>
      <c r="L104" s="10"/>
      <c r="M104" s="10"/>
      <c r="N104" s="14"/>
      <c r="O104" s="10"/>
      <c r="P104" s="14"/>
      <c r="Q104" s="10"/>
      <c r="R104" s="8"/>
    </row>
    <row r="105" spans="4:18" ht="13" thickBot="1">
      <c r="E105" s="10"/>
      <c r="F105" s="10"/>
      <c r="G105" s="12"/>
      <c r="H105" s="13" t="s">
        <v>31</v>
      </c>
      <c r="I105" s="9" t="str">
        <f>IF(OR(H104="",H106=""),"",+IF(H104&gt;H106,E104,E106))</f>
        <v/>
      </c>
      <c r="J105" s="17"/>
      <c r="K105" s="10"/>
      <c r="L105" s="10"/>
      <c r="M105" s="10"/>
      <c r="N105" s="14"/>
      <c r="O105" s="10"/>
      <c r="P105" s="14"/>
      <c r="Q105" s="10"/>
      <c r="R105" s="8"/>
    </row>
    <row r="106" spans="4:18" ht="13" thickBot="1">
      <c r="D106">
        <v>48</v>
      </c>
      <c r="E106" s="9">
        <v>48</v>
      </c>
      <c r="F106" s="9"/>
      <c r="G106" s="9">
        <f>E106</f>
        <v>48</v>
      </c>
      <c r="H106" s="16"/>
      <c r="I106" s="10"/>
      <c r="J106" s="14"/>
      <c r="K106" s="10"/>
      <c r="L106" s="10"/>
      <c r="M106" s="10"/>
      <c r="N106" s="14"/>
      <c r="O106" s="10"/>
      <c r="P106" s="14"/>
      <c r="Q106" s="10"/>
      <c r="R106" s="8"/>
    </row>
    <row r="107" spans="4:18" ht="13" thickBot="1">
      <c r="E107" s="10"/>
      <c r="F107" s="10"/>
      <c r="G107" s="12"/>
      <c r="H107" s="10"/>
      <c r="I107" s="10"/>
      <c r="J107" s="14" t="s">
        <v>53</v>
      </c>
      <c r="K107" s="9" t="str">
        <f>IF(OR(J105="",J109=""),"",+IF(J105&gt;J109,I105,I109))</f>
        <v/>
      </c>
      <c r="L107" s="17"/>
      <c r="M107" s="10"/>
      <c r="N107" s="14"/>
      <c r="O107" s="10"/>
      <c r="P107" s="14"/>
      <c r="Q107" s="10"/>
      <c r="R107" s="8"/>
    </row>
    <row r="108" spans="4:18" ht="13" thickBot="1">
      <c r="D108">
        <v>49</v>
      </c>
      <c r="E108" s="9">
        <v>49</v>
      </c>
      <c r="F108" s="9"/>
      <c r="G108" s="9">
        <f>E108</f>
        <v>49</v>
      </c>
      <c r="H108" s="11"/>
      <c r="I108" s="10"/>
      <c r="J108" s="14"/>
      <c r="K108" s="10"/>
      <c r="L108" s="14"/>
      <c r="M108" s="10"/>
      <c r="N108" s="14"/>
      <c r="O108" s="10"/>
      <c r="P108" s="14"/>
      <c r="Q108" s="10"/>
      <c r="R108" s="8"/>
    </row>
    <row r="109" spans="4:18" ht="13" thickBot="1">
      <c r="E109" s="10"/>
      <c r="F109" s="10"/>
      <c r="G109" s="12"/>
      <c r="H109" s="13" t="s">
        <v>32</v>
      </c>
      <c r="I109" s="9" t="str">
        <f>IF(OR(H108="",H110=""),"",+IF(H108&gt;H110,E108,E110))</f>
        <v/>
      </c>
      <c r="J109" s="16"/>
      <c r="K109" s="10"/>
      <c r="L109" s="14"/>
      <c r="M109" s="10"/>
      <c r="N109" s="14"/>
      <c r="O109" s="10"/>
      <c r="P109" s="14"/>
      <c r="Q109" s="10"/>
      <c r="R109" s="8"/>
    </row>
    <row r="110" spans="4:18" ht="13" thickBot="1">
      <c r="D110">
        <v>50</v>
      </c>
      <c r="E110" s="9">
        <v>50</v>
      </c>
      <c r="F110" s="9"/>
      <c r="G110" s="9">
        <f>E110</f>
        <v>50</v>
      </c>
      <c r="H110" s="16"/>
      <c r="I110" s="10"/>
      <c r="J110" s="10"/>
      <c r="K110" s="10"/>
      <c r="L110" s="14"/>
      <c r="M110" s="10"/>
      <c r="N110" s="14"/>
      <c r="O110" s="10"/>
      <c r="P110" s="14"/>
      <c r="Q110" s="10"/>
      <c r="R110" s="8"/>
    </row>
    <row r="111" spans="4:18" ht="13" thickBot="1">
      <c r="E111" s="10"/>
      <c r="F111" s="10"/>
      <c r="G111" s="10"/>
      <c r="H111" s="10"/>
      <c r="I111" s="10"/>
      <c r="J111" s="10"/>
      <c r="K111" s="10"/>
      <c r="L111" s="14" t="s">
        <v>64</v>
      </c>
      <c r="M111" s="9" t="str">
        <f>IF(OR(L107="",L116=""),"",+IF(L107&gt;L116,K107,K116))</f>
        <v/>
      </c>
      <c r="N111" s="16"/>
      <c r="O111" s="10"/>
      <c r="P111" s="14"/>
      <c r="Q111" s="10"/>
      <c r="R111" s="8"/>
    </row>
    <row r="112" spans="4:18" ht="13" thickBot="1">
      <c r="D112">
        <v>51</v>
      </c>
      <c r="E112" s="9">
        <v>51</v>
      </c>
      <c r="F112" s="9"/>
      <c r="G112" s="9">
        <f>E112</f>
        <v>51</v>
      </c>
      <c r="H112" s="11"/>
      <c r="I112" s="10"/>
      <c r="J112" s="10"/>
      <c r="K112" s="10"/>
      <c r="L112" s="14"/>
      <c r="M112" s="10"/>
      <c r="N112" s="10"/>
      <c r="O112" s="10"/>
      <c r="P112" s="14"/>
      <c r="Q112" s="10"/>
      <c r="R112" s="8"/>
    </row>
    <row r="113" spans="4:18" ht="13" thickBot="1">
      <c r="E113" s="10"/>
      <c r="F113" s="10"/>
      <c r="G113" s="12"/>
      <c r="H113" s="13" t="s">
        <v>33</v>
      </c>
      <c r="I113" s="9" t="str">
        <f>IF(OR(H112="",H114=""),"",+IF(H112&gt;H114,E112,E114))</f>
        <v/>
      </c>
      <c r="J113" s="17"/>
      <c r="K113" s="10"/>
      <c r="L113" s="14"/>
      <c r="M113" s="10"/>
      <c r="N113" s="10"/>
      <c r="O113" s="10"/>
      <c r="P113" s="14"/>
      <c r="Q113" s="10"/>
      <c r="R113" s="8"/>
    </row>
    <row r="114" spans="4:18" ht="13" thickBot="1">
      <c r="D114">
        <v>52</v>
      </c>
      <c r="E114" s="9">
        <v>52</v>
      </c>
      <c r="F114" s="9"/>
      <c r="G114" s="9">
        <f>E114</f>
        <v>52</v>
      </c>
      <c r="H114" s="16"/>
      <c r="I114" s="10"/>
      <c r="J114" s="14"/>
      <c r="K114" s="10"/>
      <c r="L114" s="14"/>
      <c r="M114" s="10"/>
      <c r="N114" s="10"/>
      <c r="O114" s="10"/>
      <c r="P114" s="14"/>
      <c r="Q114" s="10"/>
      <c r="R114" s="8"/>
    </row>
    <row r="115" spans="4:18">
      <c r="E115" s="10"/>
      <c r="F115" s="10"/>
      <c r="G115" s="10"/>
      <c r="H115" s="10"/>
      <c r="I115" s="10"/>
      <c r="J115" s="14"/>
      <c r="K115" s="10"/>
      <c r="L115" s="14"/>
      <c r="M115" s="10"/>
      <c r="N115" s="10"/>
      <c r="O115" s="10"/>
      <c r="P115" s="14"/>
      <c r="Q115" s="10"/>
      <c r="R115" s="8"/>
    </row>
    <row r="116" spans="4:18" ht="13" thickBot="1">
      <c r="D116">
        <v>53</v>
      </c>
      <c r="E116" s="10">
        <v>53</v>
      </c>
      <c r="F116" s="11"/>
      <c r="G116" s="10"/>
      <c r="H116" s="10"/>
      <c r="I116" s="10"/>
      <c r="J116" s="14" t="s">
        <v>54</v>
      </c>
      <c r="K116" s="9" t="str">
        <f>IF(OR(J113="",J119=""),"",+IF(J113&gt;J119,I113,I119))</f>
        <v/>
      </c>
      <c r="L116" s="16"/>
      <c r="M116" s="10"/>
      <c r="N116" s="10"/>
      <c r="O116" s="10"/>
      <c r="P116" s="14"/>
      <c r="Q116" s="10"/>
      <c r="R116" s="8"/>
    </row>
    <row r="117" spans="4:18" ht="13" thickBot="1">
      <c r="E117" s="12"/>
      <c r="F117" s="13" t="s">
        <v>7</v>
      </c>
      <c r="G117" s="9" t="str">
        <f>IF(OR(F116="",F118=""),"",+IF(F116&gt;F118,E116,E118))</f>
        <v/>
      </c>
      <c r="H117" s="11"/>
      <c r="I117" s="10"/>
      <c r="J117" s="14"/>
      <c r="K117" s="10"/>
      <c r="L117" s="10"/>
      <c r="M117" s="10"/>
      <c r="N117" s="10"/>
      <c r="O117" s="10"/>
      <c r="P117" s="14"/>
      <c r="Q117" s="10"/>
      <c r="R117" s="8"/>
    </row>
    <row r="118" spans="4:18" ht="13" thickBot="1">
      <c r="D118">
        <v>54</v>
      </c>
      <c r="E118" s="9">
        <v>54</v>
      </c>
      <c r="F118" s="16"/>
      <c r="G118" s="10"/>
      <c r="H118" s="13"/>
      <c r="I118" s="10"/>
      <c r="J118" s="14"/>
      <c r="K118" s="10"/>
      <c r="L118" s="10"/>
      <c r="M118" s="10"/>
      <c r="N118" s="10"/>
      <c r="O118" s="10"/>
      <c r="P118" s="14"/>
      <c r="Q118" s="10"/>
      <c r="R118" s="8"/>
    </row>
    <row r="119" spans="4:18" ht="13" thickBot="1">
      <c r="E119" s="10"/>
      <c r="F119" s="10"/>
      <c r="G119" s="10"/>
      <c r="H119" s="14" t="s">
        <v>34</v>
      </c>
      <c r="I119" s="9" t="str">
        <f>IF(OR(H117="",H120=""),"",+IF(H117&gt;H120,G117,E120))</f>
        <v/>
      </c>
      <c r="J119" s="16"/>
      <c r="K119" s="10"/>
      <c r="L119" s="10"/>
      <c r="M119" s="10"/>
      <c r="N119" s="10"/>
      <c r="O119" s="10"/>
      <c r="P119" s="14"/>
      <c r="Q119" s="10"/>
      <c r="R119" s="8"/>
    </row>
    <row r="120" spans="4:18" ht="13" thickBot="1">
      <c r="D120">
        <v>55</v>
      </c>
      <c r="E120" s="9">
        <v>55</v>
      </c>
      <c r="F120" s="9"/>
      <c r="G120" s="9">
        <f>E120</f>
        <v>55</v>
      </c>
      <c r="H120" s="16"/>
      <c r="I120" s="10"/>
      <c r="J120" s="10"/>
      <c r="K120" s="10"/>
      <c r="L120" s="10"/>
      <c r="M120" s="10"/>
      <c r="N120" s="10"/>
      <c r="O120" s="10"/>
      <c r="P120" s="14"/>
      <c r="Q120" s="10"/>
      <c r="R120" s="8"/>
    </row>
    <row r="121" spans="4:18" ht="13" thickBot="1"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4" t="s">
        <v>72</v>
      </c>
      <c r="Q121" s="9" t="str">
        <f>IF(OR(P103="",P141=""),"",+IF(P103&gt;P141,O103,O141))</f>
        <v/>
      </c>
      <c r="R121" s="8"/>
    </row>
    <row r="122" spans="4:18" ht="13" thickBot="1">
      <c r="D122">
        <v>56</v>
      </c>
      <c r="E122" s="9">
        <v>56</v>
      </c>
      <c r="F122" s="9"/>
      <c r="G122" s="9">
        <f>E122</f>
        <v>56</v>
      </c>
      <c r="H122" s="11"/>
      <c r="I122" s="10"/>
      <c r="J122" s="10"/>
      <c r="K122" s="10"/>
      <c r="L122" s="10"/>
      <c r="M122" s="10"/>
      <c r="N122" s="10"/>
      <c r="O122" s="10"/>
      <c r="P122" s="14"/>
      <c r="Q122" s="10"/>
    </row>
    <row r="123" spans="4:18">
      <c r="E123" s="12"/>
      <c r="F123" s="10"/>
      <c r="G123" s="10"/>
      <c r="H123" s="13"/>
      <c r="I123" s="10"/>
      <c r="J123" s="10"/>
      <c r="K123" s="10"/>
      <c r="L123" s="10"/>
      <c r="M123" s="10"/>
      <c r="N123" s="10"/>
      <c r="O123" s="10"/>
      <c r="P123" s="14"/>
      <c r="Q123" s="10"/>
    </row>
    <row r="124" spans="4:18" ht="13" thickBot="1">
      <c r="E124" s="10"/>
      <c r="F124" s="10"/>
      <c r="G124" s="10"/>
      <c r="H124" s="14" t="s">
        <v>35</v>
      </c>
      <c r="I124" s="9" t="str">
        <f>IF(OR(H122="",H126=""),"",+IF(H122&gt;H126,E122,G126))</f>
        <v/>
      </c>
      <c r="J124" s="11"/>
      <c r="K124" s="10"/>
      <c r="L124" s="10"/>
      <c r="M124" s="10"/>
      <c r="N124" s="10"/>
      <c r="O124" s="10"/>
      <c r="P124" s="14"/>
      <c r="Q124" s="10"/>
    </row>
    <row r="125" spans="4:18" ht="13" thickBot="1">
      <c r="D125">
        <v>57</v>
      </c>
      <c r="E125" s="10">
        <v>57</v>
      </c>
      <c r="F125" s="11"/>
      <c r="G125" s="10"/>
      <c r="H125" s="14"/>
      <c r="I125" s="10"/>
      <c r="J125" s="13"/>
      <c r="K125" s="10"/>
      <c r="L125" s="10"/>
      <c r="M125" s="10"/>
      <c r="N125" s="10"/>
      <c r="O125" s="10"/>
      <c r="P125" s="14"/>
      <c r="Q125" s="10"/>
    </row>
    <row r="126" spans="4:18" ht="13" thickBot="1">
      <c r="E126" s="12"/>
      <c r="F126" s="13" t="s">
        <v>8</v>
      </c>
      <c r="G126" s="9" t="str">
        <f>IF(OR(F125="",F127=""),"",+IF(F125&gt;F127,E125,E127))</f>
        <v/>
      </c>
      <c r="H126" s="16"/>
      <c r="I126" s="10"/>
      <c r="J126" s="14"/>
      <c r="K126" s="10"/>
      <c r="L126" s="10"/>
      <c r="M126" s="10"/>
      <c r="N126" s="10"/>
      <c r="O126" s="10"/>
      <c r="P126" s="14"/>
      <c r="Q126" s="10"/>
    </row>
    <row r="127" spans="4:18" ht="13" thickBot="1">
      <c r="D127">
        <v>58</v>
      </c>
      <c r="E127" s="10">
        <v>58</v>
      </c>
      <c r="F127" s="16"/>
      <c r="G127" s="10"/>
      <c r="H127" s="10"/>
      <c r="I127" s="10"/>
      <c r="J127" s="14" t="s">
        <v>55</v>
      </c>
      <c r="K127" s="9" t="str">
        <f>IF(OR(J124="",J130=""),"",+IF(J124&gt;J130,I124,I130))</f>
        <v/>
      </c>
      <c r="L127" s="17"/>
      <c r="M127" s="10"/>
      <c r="N127" s="10"/>
      <c r="O127" s="10"/>
      <c r="P127" s="14"/>
      <c r="Q127" s="10"/>
    </row>
    <row r="128" spans="4:18">
      <c r="E128" s="12"/>
      <c r="F128" s="10"/>
      <c r="G128" s="10"/>
      <c r="H128" s="10"/>
      <c r="I128" s="10"/>
      <c r="J128" s="14"/>
      <c r="K128" s="10"/>
      <c r="L128" s="10"/>
      <c r="M128" s="19"/>
      <c r="N128" s="10"/>
      <c r="O128" s="10"/>
      <c r="P128" s="14"/>
      <c r="Q128" s="10"/>
    </row>
    <row r="129" spans="4:17" ht="13" thickBot="1">
      <c r="D129">
        <v>59</v>
      </c>
      <c r="E129" s="9">
        <v>59</v>
      </c>
      <c r="F129" s="9"/>
      <c r="G129" s="9">
        <f>E129</f>
        <v>59</v>
      </c>
      <c r="H129" s="11"/>
      <c r="I129" s="10"/>
      <c r="J129" s="14"/>
      <c r="K129" s="10"/>
      <c r="L129" s="10"/>
      <c r="M129" s="19"/>
      <c r="N129" s="10"/>
      <c r="O129" s="10"/>
      <c r="P129" s="14"/>
      <c r="Q129" s="10"/>
    </row>
    <row r="130" spans="4:17" ht="13" thickBot="1">
      <c r="E130" s="10"/>
      <c r="F130" s="10"/>
      <c r="G130" s="10"/>
      <c r="H130" s="13" t="s">
        <v>36</v>
      </c>
      <c r="I130" s="9" t="str">
        <f>IF(OR(H129="",H131=""),"",+IF(H129&gt;H131,E129,E131))</f>
        <v/>
      </c>
      <c r="J130" s="16"/>
      <c r="K130" s="10"/>
      <c r="L130" s="10"/>
      <c r="M130" s="19"/>
      <c r="N130" s="10"/>
      <c r="O130" s="10"/>
      <c r="P130" s="14"/>
      <c r="Q130" s="10"/>
    </row>
    <row r="131" spans="4:17" ht="13" thickBot="1">
      <c r="D131">
        <v>60</v>
      </c>
      <c r="E131" s="9">
        <v>60</v>
      </c>
      <c r="F131" s="9"/>
      <c r="G131" s="9">
        <f>E131</f>
        <v>60</v>
      </c>
      <c r="H131" s="11"/>
      <c r="I131" s="10"/>
      <c r="J131" s="10"/>
      <c r="K131" s="10"/>
      <c r="L131" s="10"/>
      <c r="M131" s="19"/>
      <c r="N131" s="10"/>
      <c r="O131" s="10"/>
      <c r="P131" s="14"/>
      <c r="Q131" s="10"/>
    </row>
    <row r="132" spans="4:17" ht="13" thickBot="1">
      <c r="E132" s="10"/>
      <c r="F132" s="10"/>
      <c r="G132" s="10"/>
      <c r="H132" s="10"/>
      <c r="I132" s="10"/>
      <c r="J132" s="10"/>
      <c r="K132" s="10"/>
      <c r="L132" s="14" t="s">
        <v>65</v>
      </c>
      <c r="M132" s="9" t="str">
        <f>IF(OR(L127="",L136=""),"",+IF(L127&gt;L136,K127,K136))</f>
        <v/>
      </c>
      <c r="N132" s="17"/>
      <c r="O132" s="10"/>
      <c r="P132" s="14"/>
      <c r="Q132" s="10"/>
    </row>
    <row r="133" spans="4:17" ht="13" thickBot="1">
      <c r="D133">
        <v>61</v>
      </c>
      <c r="E133" s="9">
        <v>61</v>
      </c>
      <c r="F133" s="9"/>
      <c r="G133" s="9">
        <f>E133</f>
        <v>61</v>
      </c>
      <c r="H133" s="11"/>
      <c r="I133" s="10"/>
      <c r="J133" s="10"/>
      <c r="K133" s="10"/>
      <c r="L133" s="10"/>
      <c r="M133" s="19"/>
      <c r="N133" s="13"/>
      <c r="O133" s="10"/>
      <c r="P133" s="14"/>
      <c r="Q133" s="10"/>
    </row>
    <row r="134" spans="4:17" ht="13" thickBot="1">
      <c r="E134" s="10"/>
      <c r="F134" s="10"/>
      <c r="G134" s="12"/>
      <c r="H134" s="13" t="s">
        <v>37</v>
      </c>
      <c r="I134" s="9" t="str">
        <f>IF(OR(H133="",H135=""),"",+IF(H133&gt;H135,E133,E135))</f>
        <v/>
      </c>
      <c r="J134" s="17"/>
      <c r="K134" s="10"/>
      <c r="L134" s="10"/>
      <c r="M134" s="19"/>
      <c r="N134" s="14"/>
      <c r="O134" s="10"/>
      <c r="P134" s="14"/>
      <c r="Q134" s="10"/>
    </row>
    <row r="135" spans="4:17" ht="13" thickBot="1">
      <c r="D135">
        <v>62</v>
      </c>
      <c r="E135" s="9">
        <v>62</v>
      </c>
      <c r="F135" s="9"/>
      <c r="G135" s="9">
        <f>E135</f>
        <v>62</v>
      </c>
      <c r="H135" s="16"/>
      <c r="I135" s="10"/>
      <c r="J135" s="14"/>
      <c r="K135" s="10"/>
      <c r="L135" s="10"/>
      <c r="M135" s="19"/>
      <c r="N135" s="14"/>
      <c r="O135" s="10"/>
      <c r="P135" s="14"/>
      <c r="Q135" s="10"/>
    </row>
    <row r="136" spans="4:17" ht="13" thickBot="1">
      <c r="E136" s="10"/>
      <c r="F136" s="10"/>
      <c r="G136" s="12"/>
      <c r="H136" s="10"/>
      <c r="I136" s="10"/>
      <c r="J136" s="14" t="s">
        <v>56</v>
      </c>
      <c r="K136" s="9" t="str">
        <f>IF(OR(J134="",J138=""),"",+IF(J134&gt;J138,I134,I138))</f>
        <v/>
      </c>
      <c r="L136" s="16"/>
      <c r="M136" s="19"/>
      <c r="N136" s="14"/>
      <c r="O136" s="10"/>
      <c r="P136" s="14"/>
      <c r="Q136" s="10"/>
    </row>
    <row r="137" spans="4:17" ht="13" thickBot="1">
      <c r="D137">
        <v>63</v>
      </c>
      <c r="E137" s="9">
        <v>63</v>
      </c>
      <c r="F137" s="9"/>
      <c r="G137" s="9">
        <f>E137</f>
        <v>63</v>
      </c>
      <c r="H137" s="11"/>
      <c r="I137" s="10"/>
      <c r="J137" s="14"/>
      <c r="K137" s="10"/>
      <c r="L137" s="10"/>
      <c r="M137" s="10"/>
      <c r="N137" s="14"/>
      <c r="O137" s="10"/>
      <c r="P137" s="14"/>
      <c r="Q137" s="10"/>
    </row>
    <row r="138" spans="4:17" ht="13" thickBot="1">
      <c r="E138" s="10"/>
      <c r="F138" s="10"/>
      <c r="G138" s="12"/>
      <c r="H138" s="13" t="s">
        <v>38</v>
      </c>
      <c r="I138" s="9" t="str">
        <f>IF(OR(H137="",H139=""),"",+IF(H137&gt;H139,E137,E139))</f>
        <v/>
      </c>
      <c r="J138" s="16"/>
      <c r="K138" s="10"/>
      <c r="L138" s="10"/>
      <c r="M138" s="10"/>
      <c r="N138" s="14"/>
      <c r="O138" s="10"/>
      <c r="P138" s="14"/>
      <c r="Q138" s="10"/>
    </row>
    <row r="139" spans="4:17" ht="13" thickBot="1">
      <c r="D139">
        <v>64</v>
      </c>
      <c r="E139" s="9">
        <v>64</v>
      </c>
      <c r="F139" s="9"/>
      <c r="G139" s="9">
        <f>E139</f>
        <v>64</v>
      </c>
      <c r="H139" s="16"/>
      <c r="I139" s="10"/>
      <c r="J139" s="10"/>
      <c r="K139" s="10"/>
      <c r="L139" s="10"/>
      <c r="M139" s="10"/>
      <c r="N139" s="14"/>
      <c r="O139" s="10"/>
      <c r="P139" s="14"/>
      <c r="Q139" s="10"/>
    </row>
    <row r="140" spans="4:17">
      <c r="E140" s="10"/>
      <c r="F140" s="10"/>
      <c r="G140" s="10"/>
      <c r="H140" s="10"/>
      <c r="I140" s="10"/>
      <c r="J140" s="10"/>
      <c r="K140" s="10"/>
      <c r="L140" s="10"/>
      <c r="M140" s="10"/>
      <c r="N140" s="14"/>
      <c r="O140" s="10"/>
      <c r="P140" s="14"/>
      <c r="Q140" s="10"/>
    </row>
    <row r="141" spans="4:17" ht="13" thickBot="1">
      <c r="D141">
        <v>65</v>
      </c>
      <c r="E141" s="10">
        <v>65</v>
      </c>
      <c r="F141" s="9"/>
      <c r="G141" s="9">
        <f>E141</f>
        <v>65</v>
      </c>
      <c r="H141" s="11"/>
      <c r="I141" s="10"/>
      <c r="J141" s="10"/>
      <c r="K141" s="10"/>
      <c r="L141" s="10"/>
      <c r="M141" s="10"/>
      <c r="N141" s="14" t="s">
        <v>70</v>
      </c>
      <c r="O141" s="9" t="str">
        <f>IF(OR(N132="",N151=""),"",+IF(N132&gt;N151,M132,M151))</f>
        <v/>
      </c>
      <c r="P141" s="16"/>
      <c r="Q141" s="10"/>
    </row>
    <row r="142" spans="4:17">
      <c r="E142" s="12"/>
      <c r="F142" s="10"/>
      <c r="G142" s="10"/>
      <c r="H142" s="13"/>
      <c r="I142" s="10"/>
      <c r="J142" s="10"/>
      <c r="K142" s="10"/>
      <c r="L142" s="10"/>
      <c r="M142" s="10"/>
      <c r="N142" s="14"/>
      <c r="O142" s="10"/>
      <c r="P142" s="10"/>
      <c r="Q142" s="10"/>
    </row>
    <row r="143" spans="4:17" ht="13" thickBot="1">
      <c r="E143" s="10"/>
      <c r="F143" s="10"/>
      <c r="G143" s="10"/>
      <c r="H143" s="14" t="s">
        <v>39</v>
      </c>
      <c r="I143" s="9" t="str">
        <f>IF(OR(H141="",H145=""),"",+IF(H141&gt;H145,G141,G145))</f>
        <v/>
      </c>
      <c r="J143" s="11"/>
      <c r="K143" s="10"/>
      <c r="L143" s="10"/>
      <c r="M143" s="10"/>
      <c r="N143" s="14"/>
      <c r="O143" s="10"/>
      <c r="P143" s="10"/>
      <c r="Q143" s="10"/>
    </row>
    <row r="144" spans="4:17" ht="13" thickBot="1">
      <c r="D144">
        <v>66</v>
      </c>
      <c r="E144" s="10">
        <v>66</v>
      </c>
      <c r="F144" s="11"/>
      <c r="G144" s="10"/>
      <c r="H144" s="14"/>
      <c r="I144" s="10"/>
      <c r="J144" s="13"/>
      <c r="K144" s="10"/>
      <c r="L144" s="10"/>
      <c r="M144" s="10"/>
      <c r="N144" s="14"/>
      <c r="O144" s="10"/>
      <c r="P144" s="10"/>
      <c r="Q144" s="10"/>
    </row>
    <row r="145" spans="4:17" ht="13" thickBot="1">
      <c r="E145" s="12"/>
      <c r="F145" s="13" t="s">
        <v>9</v>
      </c>
      <c r="G145" s="9" t="str">
        <f>IF(OR(F144="",F146=""),"",+IF(F144&gt;F146,E144,E146))</f>
        <v/>
      </c>
      <c r="H145" s="16"/>
      <c r="I145" s="10"/>
      <c r="J145" s="14"/>
      <c r="K145" s="10"/>
      <c r="L145" s="10"/>
      <c r="M145" s="10"/>
      <c r="N145" s="14"/>
      <c r="O145" s="10"/>
      <c r="P145" s="10"/>
      <c r="Q145" s="10"/>
    </row>
    <row r="146" spans="4:17" ht="13" thickBot="1">
      <c r="D146">
        <v>67</v>
      </c>
      <c r="E146" s="10">
        <v>67</v>
      </c>
      <c r="F146" s="16"/>
      <c r="G146" s="10"/>
      <c r="H146" s="10"/>
      <c r="I146" s="10"/>
      <c r="J146" s="14" t="s">
        <v>57</v>
      </c>
      <c r="K146" s="9" t="str">
        <f>IF(OR(J143="",J149=""),"",+IF(J143&gt;J149,I143,I149))</f>
        <v/>
      </c>
      <c r="L146" s="11"/>
      <c r="M146" s="10"/>
      <c r="N146" s="14"/>
      <c r="O146" s="10"/>
      <c r="P146" s="10"/>
      <c r="Q146" s="10"/>
    </row>
    <row r="147" spans="4:17">
      <c r="E147" s="12"/>
      <c r="F147" s="10"/>
      <c r="G147" s="10"/>
      <c r="H147" s="10"/>
      <c r="I147" s="10"/>
      <c r="J147" s="14"/>
      <c r="K147" s="12"/>
      <c r="L147" s="13"/>
      <c r="M147" s="10"/>
      <c r="N147" s="14"/>
      <c r="O147" s="10"/>
      <c r="P147" s="10"/>
      <c r="Q147" s="10"/>
    </row>
    <row r="148" spans="4:17" ht="13" thickBot="1">
      <c r="D148">
        <v>68</v>
      </c>
      <c r="E148" s="9">
        <v>68</v>
      </c>
      <c r="F148" s="9"/>
      <c r="G148" s="9">
        <f>E148</f>
        <v>68</v>
      </c>
      <c r="H148" s="11"/>
      <c r="I148" s="10"/>
      <c r="J148" s="14"/>
      <c r="K148" s="10"/>
      <c r="L148" s="14"/>
      <c r="M148" s="10"/>
      <c r="N148" s="14"/>
      <c r="O148" s="10"/>
      <c r="P148" s="10"/>
      <c r="Q148" s="10"/>
    </row>
    <row r="149" spans="4:17" ht="13" thickBot="1">
      <c r="E149" s="10"/>
      <c r="F149" s="10"/>
      <c r="G149" s="10"/>
      <c r="H149" s="13" t="s">
        <v>40</v>
      </c>
      <c r="I149" s="9" t="str">
        <f>IF(OR(H148="",H150=""),"",+IF(H148&gt;H150,E148,E150))</f>
        <v/>
      </c>
      <c r="J149" s="16"/>
      <c r="K149" s="10"/>
      <c r="L149" s="14"/>
      <c r="M149" s="10"/>
      <c r="N149" s="14"/>
      <c r="O149" s="10"/>
      <c r="P149" s="10"/>
      <c r="Q149" s="10"/>
    </row>
    <row r="150" spans="4:17" ht="13" thickBot="1">
      <c r="D150">
        <v>69</v>
      </c>
      <c r="E150" s="9">
        <v>69</v>
      </c>
      <c r="F150" s="9"/>
      <c r="G150" s="9">
        <f>E150</f>
        <v>69</v>
      </c>
      <c r="H150" s="16"/>
      <c r="I150" s="10"/>
      <c r="J150" s="10"/>
      <c r="K150" s="10"/>
      <c r="L150" s="14"/>
      <c r="M150" s="10"/>
      <c r="N150" s="14"/>
      <c r="O150" s="10"/>
      <c r="P150" s="10"/>
      <c r="Q150" s="10"/>
    </row>
    <row r="151" spans="4:17" ht="13" thickBot="1">
      <c r="E151" s="10"/>
      <c r="F151" s="10"/>
      <c r="G151" s="10"/>
      <c r="H151" s="10"/>
      <c r="I151" s="10"/>
      <c r="J151" s="10"/>
      <c r="K151" s="10"/>
      <c r="L151" s="14" t="s">
        <v>66</v>
      </c>
      <c r="M151" s="9" t="str">
        <f>IF(OR(L146="",L156=""),"",+IF(L146&gt;L156,K146,K156))</f>
        <v/>
      </c>
      <c r="N151" s="16"/>
      <c r="O151" s="10"/>
      <c r="P151" s="10"/>
      <c r="Q151" s="10"/>
    </row>
    <row r="152" spans="4:17" ht="13" thickBot="1">
      <c r="D152">
        <v>70</v>
      </c>
      <c r="E152" s="9">
        <v>70</v>
      </c>
      <c r="F152" s="9"/>
      <c r="G152" s="9">
        <f>E152</f>
        <v>70</v>
      </c>
      <c r="H152" s="11"/>
      <c r="I152" s="10"/>
      <c r="J152" s="10"/>
      <c r="K152" s="10"/>
      <c r="L152" s="14"/>
      <c r="M152" s="10"/>
      <c r="N152" s="10"/>
      <c r="O152" s="10"/>
      <c r="P152" s="10"/>
      <c r="Q152" s="10"/>
    </row>
    <row r="153" spans="4:17" ht="13" thickBot="1">
      <c r="E153" s="10"/>
      <c r="F153" s="10"/>
      <c r="G153" s="10"/>
      <c r="H153" s="13" t="s">
        <v>41</v>
      </c>
      <c r="I153" s="9" t="str">
        <f>IF(OR(H152="",H154=""),"",+IF(H152&gt;H154,E152,E154))</f>
        <v/>
      </c>
      <c r="J153" s="17"/>
      <c r="K153" s="10"/>
      <c r="L153" s="14"/>
      <c r="M153" s="10"/>
      <c r="N153" s="10"/>
      <c r="O153" s="10"/>
      <c r="P153" s="10"/>
      <c r="Q153" s="10"/>
    </row>
    <row r="154" spans="4:17" ht="13" thickBot="1">
      <c r="D154">
        <v>71</v>
      </c>
      <c r="E154" s="9">
        <v>71</v>
      </c>
      <c r="F154" s="9"/>
      <c r="G154" s="9">
        <f>E154</f>
        <v>71</v>
      </c>
      <c r="H154" s="16"/>
      <c r="I154" s="10"/>
      <c r="J154" s="13"/>
      <c r="K154" s="10"/>
      <c r="L154" s="14"/>
      <c r="M154" s="10"/>
      <c r="N154" s="10"/>
      <c r="O154" s="10"/>
      <c r="P154" s="10"/>
      <c r="Q154" s="10"/>
    </row>
    <row r="155" spans="4:17">
      <c r="E155" s="10"/>
      <c r="F155" s="10"/>
      <c r="G155" s="10"/>
      <c r="H155" s="10"/>
      <c r="I155" s="10"/>
      <c r="J155" s="14"/>
      <c r="K155" s="10"/>
      <c r="L155" s="14"/>
      <c r="M155" s="10"/>
      <c r="N155" s="10"/>
      <c r="O155" s="10"/>
      <c r="P155" s="10"/>
      <c r="Q155" s="10"/>
    </row>
    <row r="156" spans="4:17" ht="13" thickBot="1">
      <c r="D156">
        <v>72</v>
      </c>
      <c r="E156" s="10">
        <v>72</v>
      </c>
      <c r="F156" s="11"/>
      <c r="G156" s="10"/>
      <c r="H156" s="10"/>
      <c r="I156" s="10"/>
      <c r="J156" s="14" t="s">
        <v>58</v>
      </c>
      <c r="K156" s="18" t="str">
        <f>IF(OR(I153="",I158=""),"",+IF(J153&gt;J158,I153,I158))</f>
        <v/>
      </c>
      <c r="L156" s="16"/>
      <c r="M156" s="10"/>
      <c r="N156" s="10"/>
      <c r="O156" s="10"/>
      <c r="P156" s="10"/>
      <c r="Q156" s="10"/>
    </row>
    <row r="157" spans="4:17" ht="13" thickBot="1">
      <c r="E157" s="12"/>
      <c r="F157" s="13" t="s">
        <v>10</v>
      </c>
      <c r="G157" s="9" t="str">
        <f>IF(OR(F156="",F158=""),"",+IF(F156&gt;F158,E156,E158))</f>
        <v/>
      </c>
      <c r="H157" s="17"/>
      <c r="I157" s="10"/>
      <c r="J157" s="14"/>
      <c r="K157" s="10"/>
      <c r="L157" s="10"/>
      <c r="M157" s="10"/>
      <c r="N157" s="10"/>
      <c r="O157" s="10"/>
      <c r="P157" s="10"/>
      <c r="Q157" s="10"/>
    </row>
    <row r="158" spans="4:17" ht="13" thickBot="1">
      <c r="D158">
        <v>73</v>
      </c>
      <c r="E158" s="9">
        <v>73</v>
      </c>
      <c r="F158" s="16"/>
      <c r="G158" s="10"/>
      <c r="H158" s="13" t="s">
        <v>42</v>
      </c>
      <c r="I158" s="9" t="str">
        <f>IF(OR(H157="",H160=""),"",+IF(H157&gt;H160,G157,G160))</f>
        <v/>
      </c>
      <c r="J158" s="16"/>
      <c r="K158" s="10"/>
      <c r="L158" s="10"/>
      <c r="M158" s="10"/>
      <c r="N158" s="10"/>
      <c r="O158" s="10"/>
      <c r="P158" s="10"/>
      <c r="Q158" s="10"/>
    </row>
    <row r="159" spans="4:17">
      <c r="E159" s="10"/>
      <c r="F159" s="10"/>
      <c r="G159" s="10"/>
      <c r="H159" s="14"/>
      <c r="I159" s="10"/>
      <c r="J159" s="10"/>
      <c r="K159" s="10"/>
      <c r="L159" s="10"/>
      <c r="M159" s="10"/>
      <c r="N159" s="10"/>
      <c r="O159" s="10"/>
      <c r="P159" s="10"/>
      <c r="Q159" s="10"/>
    </row>
    <row r="160" spans="4:17" ht="13" thickBot="1">
      <c r="D160">
        <v>74</v>
      </c>
      <c r="E160" s="9">
        <v>74</v>
      </c>
      <c r="F160" s="9"/>
      <c r="G160" s="9">
        <f>E160</f>
        <v>74</v>
      </c>
      <c r="H160" s="16"/>
      <c r="I160" s="10"/>
      <c r="J160" s="10"/>
      <c r="K160" s="10"/>
      <c r="L160" s="10"/>
      <c r="M160" s="10"/>
      <c r="N160" s="10"/>
      <c r="O160" s="10"/>
      <c r="P160" s="10"/>
      <c r="Q160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1"/>
  <dimension ref="D4:AG157"/>
  <sheetViews>
    <sheetView showGridLines="0" topLeftCell="A58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6" max="16" width="3.64453125" customWidth="1"/>
    <col min="17" max="17" width="19.64453125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11718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2</v>
      </c>
      <c r="V5" t="s">
        <v>77</v>
      </c>
      <c r="W5" s="29">
        <f>E12</f>
        <v>3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E38</f>
        <v>16</v>
      </c>
      <c r="V6" t="s">
        <v>77</v>
      </c>
      <c r="W6" s="29">
        <f>E40</f>
        <v>17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>
        <f>D7</f>
        <v>1</v>
      </c>
      <c r="F7" s="9"/>
      <c r="G7" s="9">
        <f>E7</f>
        <v>1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E47</f>
        <v>20</v>
      </c>
      <c r="V7" t="s">
        <v>77</v>
      </c>
      <c r="W7" s="29">
        <f>E49</f>
        <v>21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>
        <f t="shared" ref="E8:E71" si="0">D8</f>
        <v>0</v>
      </c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E75</f>
        <v>34</v>
      </c>
      <c r="V8" t="s">
        <v>77</v>
      </c>
      <c r="W8" s="29">
        <f>E77</f>
        <v>35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>
        <f t="shared" si="0"/>
        <v>0</v>
      </c>
      <c r="F9" s="10"/>
      <c r="G9" s="10"/>
      <c r="H9" s="14" t="s">
        <v>10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E85</f>
        <v>38</v>
      </c>
      <c r="V9" t="s">
        <v>77</v>
      </c>
      <c r="W9" s="29">
        <f>E87</f>
        <v>39</v>
      </c>
      <c r="Z9" s="34"/>
      <c r="AA9" s="40"/>
      <c r="AB9" s="40"/>
      <c r="AC9" s="38" t="s">
        <v>159</v>
      </c>
      <c r="AD9" s="48"/>
      <c r="AE9" s="53" t="e">
        <f>LOOKUP(AD9,T$5:T$80,U$5:U$80)</f>
        <v>#N/A</v>
      </c>
      <c r="AF9" s="37" t="s">
        <v>157</v>
      </c>
      <c r="AG9" s="65" t="e">
        <f>LOOKUP(AD9,T$5:T$80,W$5:W$80)</f>
        <v>#N/A</v>
      </c>
    </row>
    <row r="10" spans="4:33" ht="13" thickBot="1">
      <c r="D10">
        <v>2</v>
      </c>
      <c r="E10" s="10">
        <f t="shared" si="0"/>
        <v>2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E113</f>
        <v>52</v>
      </c>
      <c r="V10" t="s">
        <v>77</v>
      </c>
      <c r="W10" s="29">
        <f>E115</f>
        <v>53</v>
      </c>
      <c r="Z10" s="34"/>
      <c r="AA10" s="40"/>
      <c r="AB10" s="40"/>
      <c r="AC10" s="38" t="s">
        <v>159</v>
      </c>
      <c r="AD10" s="48"/>
      <c r="AE10" s="53" t="e">
        <f>LOOKUP(AD10,T$5:T$80,U$5:U$80)</f>
        <v>#N/A</v>
      </c>
      <c r="AF10" s="37" t="s">
        <v>157</v>
      </c>
      <c r="AG10" s="65" t="e">
        <f>LOOKUP(AD10,T$5:T$80,W$5:W$80)</f>
        <v>#N/A</v>
      </c>
    </row>
    <row r="11" spans="4:33" ht="13" thickBot="1">
      <c r="E11" s="12">
        <f t="shared" si="0"/>
        <v>0</v>
      </c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E122</f>
        <v>56</v>
      </c>
      <c r="V11" t="s">
        <v>77</v>
      </c>
      <c r="W11" s="29">
        <f>E124</f>
        <v>57</v>
      </c>
      <c r="Z11" s="34"/>
      <c r="AA11" s="40"/>
      <c r="AB11" s="40"/>
      <c r="AC11" s="38" t="s">
        <v>159</v>
      </c>
      <c r="AD11" s="48"/>
      <c r="AE11" s="53" t="e">
        <f>LOOKUP(AD11,T$5:T$80,U$5:U$80)</f>
        <v>#N/A</v>
      </c>
      <c r="AF11" s="37" t="s">
        <v>157</v>
      </c>
      <c r="AG11" s="65" t="e">
        <f>LOOKUP(AD11,T$5:T$80,W$5:W$80)</f>
        <v>#N/A</v>
      </c>
    </row>
    <row r="12" spans="4:33" ht="13" thickBot="1">
      <c r="D12">
        <v>3</v>
      </c>
      <c r="E12" s="10">
        <f t="shared" si="0"/>
        <v>3</v>
      </c>
      <c r="F12" s="16"/>
      <c r="G12" s="10"/>
      <c r="H12" s="10"/>
      <c r="I12" s="10"/>
      <c r="J12" s="14" t="s">
        <v>42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E141</f>
        <v>65</v>
      </c>
      <c r="V12" t="s">
        <v>77</v>
      </c>
      <c r="W12" s="29">
        <f>E143</f>
        <v>66</v>
      </c>
      <c r="Z12" s="34"/>
      <c r="AA12" s="40"/>
      <c r="AB12" s="40"/>
      <c r="AC12" s="38" t="s">
        <v>159</v>
      </c>
      <c r="AD12" s="48"/>
      <c r="AE12" s="53" t="e">
        <f>LOOKUP(AD12,T$5:T$80,U$5:U$80)</f>
        <v>#N/A</v>
      </c>
      <c r="AF12" s="37" t="s">
        <v>157</v>
      </c>
      <c r="AG12" s="65" t="e">
        <f>LOOKUP(AD12,T$5:T$80,W$5:W$80)</f>
        <v>#N/A</v>
      </c>
    </row>
    <row r="13" spans="4:33">
      <c r="E13" s="12">
        <f t="shared" si="0"/>
        <v>0</v>
      </c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E153</f>
        <v>71</v>
      </c>
      <c r="V13" t="s">
        <v>77</v>
      </c>
      <c r="W13" s="29">
        <f>E155</f>
        <v>72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>
        <f t="shared" si="0"/>
        <v>4</v>
      </c>
      <c r="F14" s="9"/>
      <c r="G14" s="9">
        <f>E14</f>
        <v>4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E7</f>
        <v>1</v>
      </c>
      <c r="V14" t="s">
        <v>77</v>
      </c>
      <c r="W14" s="29" t="s">
        <v>78</v>
      </c>
      <c r="Z14" s="34"/>
      <c r="AA14" s="40"/>
      <c r="AB14" s="40"/>
      <c r="AC14" s="38" t="s">
        <v>159</v>
      </c>
      <c r="AD14" s="48"/>
      <c r="AE14" s="53" t="e">
        <f>LOOKUP(AD14,T$5:T$80,U$5:U$80)</f>
        <v>#N/A</v>
      </c>
      <c r="AF14" s="37" t="s">
        <v>157</v>
      </c>
      <c r="AG14" s="65" t="e">
        <f>LOOKUP(AD14,T$5:T$80,W$5:W$80)</f>
        <v>#N/A</v>
      </c>
    </row>
    <row r="15" spans="4:33" ht="13" thickBot="1">
      <c r="E15" s="10">
        <f t="shared" si="0"/>
        <v>0</v>
      </c>
      <c r="F15" s="10"/>
      <c r="G15" s="10"/>
      <c r="H15" s="13" t="s">
        <v>11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E14</f>
        <v>4</v>
      </c>
      <c r="V15" t="s">
        <v>77</v>
      </c>
      <c r="W15" s="29">
        <f>E16</f>
        <v>5</v>
      </c>
      <c r="Z15" s="34"/>
      <c r="AA15" s="40"/>
      <c r="AB15" s="40"/>
      <c r="AC15" s="38" t="s">
        <v>159</v>
      </c>
      <c r="AD15" s="48"/>
      <c r="AE15" s="53" t="e">
        <f>LOOKUP(AD15,T$5:T$80,U$5:U$80)</f>
        <v>#N/A</v>
      </c>
      <c r="AF15" s="37" t="s">
        <v>157</v>
      </c>
      <c r="AG15" s="65" t="e">
        <f>LOOKUP(AD15,T$5:T$80,W$5:W$80)</f>
        <v>#N/A</v>
      </c>
    </row>
    <row r="16" spans="4:33" ht="13" thickBot="1">
      <c r="D16">
        <v>5</v>
      </c>
      <c r="E16" s="9">
        <f t="shared" si="0"/>
        <v>5</v>
      </c>
      <c r="F16" s="9"/>
      <c r="G16" s="9">
        <f>E16</f>
        <v>5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E18</f>
        <v>6</v>
      </c>
      <c r="V16" t="s">
        <v>77</v>
      </c>
      <c r="W16" s="29">
        <f>E20</f>
        <v>7</v>
      </c>
      <c r="Z16" s="34"/>
      <c r="AA16" s="40"/>
      <c r="AB16" s="40"/>
      <c r="AC16" s="38" t="s">
        <v>159</v>
      </c>
      <c r="AD16" s="48"/>
      <c r="AE16" s="53" t="e">
        <f>LOOKUP(AD16,T$5:T$80,U$5:U$80)</f>
        <v>#N/A</v>
      </c>
      <c r="AF16" s="37" t="s">
        <v>157</v>
      </c>
      <c r="AG16" s="65" t="e">
        <f>LOOKUP(AD16,T$5:T$80,W$5:W$80)</f>
        <v>#N/A</v>
      </c>
    </row>
    <row r="17" spans="4:33" ht="13" thickBot="1">
      <c r="E17" s="10">
        <f t="shared" si="0"/>
        <v>0</v>
      </c>
      <c r="F17" s="10"/>
      <c r="G17" s="10"/>
      <c r="H17" s="10"/>
      <c r="I17" s="10"/>
      <c r="J17" s="10"/>
      <c r="K17" s="10"/>
      <c r="L17" s="14" t="s">
        <v>58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E22</f>
        <v>8</v>
      </c>
      <c r="V17" t="s">
        <v>77</v>
      </c>
      <c r="W17" s="29">
        <f>E24</f>
        <v>9</v>
      </c>
      <c r="Z17" s="34"/>
      <c r="AA17" s="40"/>
      <c r="AB17" s="40"/>
      <c r="AC17" s="38" t="s">
        <v>159</v>
      </c>
      <c r="AD17" s="48"/>
      <c r="AE17" s="53" t="e">
        <f>LOOKUP(AD17,T$5:T$80,U$5:U$80)</f>
        <v>#N/A</v>
      </c>
      <c r="AF17" s="37" t="s">
        <v>157</v>
      </c>
      <c r="AG17" s="65" t="e">
        <f>LOOKUP(AD17,T$5:T$80,W$5:W$80)</f>
        <v>#N/A</v>
      </c>
    </row>
    <row r="18" spans="4:33" ht="13" thickBot="1">
      <c r="D18">
        <v>6</v>
      </c>
      <c r="E18" s="9">
        <f t="shared" si="0"/>
        <v>6</v>
      </c>
      <c r="F18" s="9"/>
      <c r="G18" s="9">
        <f>E18</f>
        <v>6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E26</f>
        <v>10</v>
      </c>
      <c r="V18" t="s">
        <v>77</v>
      </c>
      <c r="W18" s="29">
        <f>E28</f>
        <v>11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>
        <f t="shared" si="0"/>
        <v>0</v>
      </c>
      <c r="F19" s="10"/>
      <c r="G19" s="12"/>
      <c r="H19" s="13" t="s">
        <v>12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E30</f>
        <v>12</v>
      </c>
      <c r="V19" t="s">
        <v>77</v>
      </c>
      <c r="W19" s="29">
        <f>E32</f>
        <v>13</v>
      </c>
      <c r="Z19" s="34"/>
      <c r="AA19" s="40"/>
      <c r="AB19" s="40"/>
      <c r="AC19" s="38" t="s">
        <v>159</v>
      </c>
      <c r="AD19" s="48"/>
      <c r="AE19" s="53" t="e">
        <f>LOOKUP(AD19,T$5:T$80,U$5:U$80)</f>
        <v>#N/A</v>
      </c>
      <c r="AF19" s="37" t="s">
        <v>157</v>
      </c>
      <c r="AG19" s="65" t="e">
        <f>LOOKUP(AD19,T$5:T$80,W$5:W$80)</f>
        <v>#N/A</v>
      </c>
    </row>
    <row r="20" spans="4:33" ht="13" thickBot="1">
      <c r="D20">
        <v>7</v>
      </c>
      <c r="E20" s="9">
        <f t="shared" si="0"/>
        <v>7</v>
      </c>
      <c r="F20" s="9"/>
      <c r="G20" s="9">
        <f>E20</f>
        <v>7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E34</f>
        <v>14</v>
      </c>
      <c r="V20" t="s">
        <v>77</v>
      </c>
      <c r="W20" s="29">
        <f>E36</f>
        <v>15</v>
      </c>
      <c r="Z20" s="34"/>
      <c r="AA20" s="40"/>
      <c r="AB20" s="40"/>
      <c r="AC20" s="38" t="s">
        <v>159</v>
      </c>
      <c r="AD20" s="48"/>
      <c r="AE20" s="53" t="e">
        <f>LOOKUP(AD20,T$5:T$80,U$5:U$80)</f>
        <v>#N/A</v>
      </c>
      <c r="AF20" s="37" t="s">
        <v>157</v>
      </c>
      <c r="AG20" s="65" t="e">
        <f>LOOKUP(AD20,T$5:T$80,W$5:W$80)</f>
        <v>#N/A</v>
      </c>
    </row>
    <row r="21" spans="4:33" ht="13" thickBot="1">
      <c r="E21" s="10">
        <f t="shared" si="0"/>
        <v>0</v>
      </c>
      <c r="F21" s="10"/>
      <c r="G21" s="12"/>
      <c r="H21" s="10"/>
      <c r="I21" s="10"/>
      <c r="J21" s="14" t="s">
        <v>43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 t="s">
        <v>160</v>
      </c>
      <c r="V21" t="s">
        <v>77</v>
      </c>
      <c r="W21" s="29">
        <f>E42</f>
        <v>18</v>
      </c>
      <c r="Z21" s="34"/>
      <c r="AA21" s="40"/>
      <c r="AB21" s="40"/>
      <c r="AC21" s="38" t="s">
        <v>159</v>
      </c>
      <c r="AD21" s="48"/>
      <c r="AE21" s="53" t="e">
        <f>LOOKUP(AD21,T$5:T$80,U$5:U$80)</f>
        <v>#N/A</v>
      </c>
      <c r="AF21" s="37" t="s">
        <v>157</v>
      </c>
      <c r="AG21" s="65" t="e">
        <f>LOOKUP(AD21,T$5:T$80,W$5:W$80)</f>
        <v>#N/A</v>
      </c>
    </row>
    <row r="22" spans="4:33" ht="13" thickBot="1">
      <c r="D22">
        <v>8</v>
      </c>
      <c r="E22" s="9">
        <f t="shared" si="0"/>
        <v>8</v>
      </c>
      <c r="F22" s="9"/>
      <c r="G22" s="9">
        <f>E22</f>
        <v>8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E44</f>
        <v>19</v>
      </c>
      <c r="V22" t="s">
        <v>77</v>
      </c>
      <c r="W22" s="29" t="s">
        <v>161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0">
        <f t="shared" si="0"/>
        <v>0</v>
      </c>
      <c r="F23" s="10"/>
      <c r="G23" s="12"/>
      <c r="H23" s="13" t="s">
        <v>13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E51</f>
        <v>22</v>
      </c>
      <c r="V23" t="s">
        <v>77</v>
      </c>
      <c r="W23" s="29">
        <f>E53</f>
        <v>23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>
        <f t="shared" si="0"/>
        <v>9</v>
      </c>
      <c r="F24" s="9"/>
      <c r="G24" s="9">
        <f>E24</f>
        <v>9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>
        <f>E55</f>
        <v>24</v>
      </c>
      <c r="V24" t="s">
        <v>77</v>
      </c>
      <c r="W24" s="29">
        <f>E57</f>
        <v>25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0">
        <f t="shared" si="0"/>
        <v>0</v>
      </c>
      <c r="F25" s="10"/>
      <c r="G25" s="10"/>
      <c r="H25" s="10"/>
      <c r="I25" s="10"/>
      <c r="J25" s="10"/>
      <c r="K25" s="10"/>
      <c r="L25" s="10"/>
      <c r="M25" s="10"/>
      <c r="N25" s="14" t="s">
        <v>66</v>
      </c>
      <c r="O25" s="9" t="str">
        <f>IF(OR(N17="",N33=""),"",+IF(N17&gt;N33,M17,M33))</f>
        <v/>
      </c>
      <c r="P25" s="17"/>
      <c r="Q25" s="10"/>
      <c r="T25">
        <v>21</v>
      </c>
      <c r="U25" s="28">
        <f>E59</f>
        <v>26</v>
      </c>
      <c r="V25" t="s">
        <v>77</v>
      </c>
      <c r="W25" s="29">
        <f>E61</f>
        <v>27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>
        <f t="shared" si="0"/>
        <v>10</v>
      </c>
      <c r="F26" s="9"/>
      <c r="G26" s="9">
        <f>E26</f>
        <v>10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>
        <f>E63</f>
        <v>28</v>
      </c>
      <c r="V26" t="s">
        <v>77</v>
      </c>
      <c r="W26" s="29">
        <f>E65</f>
        <v>29</v>
      </c>
      <c r="Z26" s="34"/>
      <c r="AA26" s="40"/>
      <c r="AB26" s="40"/>
      <c r="AC26" s="38" t="s">
        <v>159</v>
      </c>
      <c r="AD26" s="48"/>
      <c r="AE26" s="53" t="e">
        <f>LOOKUP(AD26,T$5:T$80,U$5:U$80)</f>
        <v>#N/A</v>
      </c>
      <c r="AF26" s="37" t="s">
        <v>157</v>
      </c>
      <c r="AG26" s="65" t="e">
        <f>LOOKUP(AD26,T$5:T$80,W$5:W$80)</f>
        <v>#N/A</v>
      </c>
    </row>
    <row r="27" spans="4:33" ht="13" thickBot="1">
      <c r="E27" s="10">
        <f t="shared" si="0"/>
        <v>0</v>
      </c>
      <c r="F27" s="10"/>
      <c r="G27" s="12"/>
      <c r="H27" s="13" t="s">
        <v>14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>
        <f>E67</f>
        <v>30</v>
      </c>
      <c r="V27" t="s">
        <v>77</v>
      </c>
      <c r="W27" s="29">
        <f>E69</f>
        <v>31</v>
      </c>
      <c r="Z27" s="34"/>
      <c r="AA27" s="40"/>
      <c r="AB27" s="40"/>
      <c r="AC27" s="38" t="s">
        <v>159</v>
      </c>
      <c r="AD27" s="48"/>
      <c r="AE27" s="53" t="e">
        <f>LOOKUP(AD27,T$5:T$80,U$5:U$80)</f>
        <v>#N/A</v>
      </c>
      <c r="AF27" s="37" t="s">
        <v>157</v>
      </c>
      <c r="AG27" s="65" t="e">
        <f>LOOKUP(AD27,T$5:T$80,W$5:W$80)</f>
        <v>#N/A</v>
      </c>
    </row>
    <row r="28" spans="4:33" ht="13" thickBot="1">
      <c r="D28">
        <v>11</v>
      </c>
      <c r="E28" s="9">
        <f t="shared" si="0"/>
        <v>11</v>
      </c>
      <c r="F28" s="9"/>
      <c r="G28" s="9">
        <f>E28</f>
        <v>11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>
        <f>E71</f>
        <v>32</v>
      </c>
      <c r="V28" t="s">
        <v>77</v>
      </c>
      <c r="W28" s="29">
        <f>E73</f>
        <v>33</v>
      </c>
      <c r="Z28" s="34"/>
      <c r="AA28" s="40"/>
      <c r="AB28" s="40"/>
      <c r="AC28" s="38" t="s">
        <v>159</v>
      </c>
      <c r="AD28" s="48"/>
      <c r="AE28" s="53" t="e">
        <f>LOOKUP(AD28,T$5:T$80,U$5:U$80)</f>
        <v>#N/A</v>
      </c>
      <c r="AF28" s="37" t="s">
        <v>157</v>
      </c>
      <c r="AG28" s="65" t="e">
        <f>LOOKUP(AD28,T$5:T$80,W$5:W$80)</f>
        <v>#N/A</v>
      </c>
    </row>
    <row r="29" spans="4:33" ht="13" thickBot="1">
      <c r="E29" s="10">
        <f t="shared" si="0"/>
        <v>0</v>
      </c>
      <c r="F29" s="10"/>
      <c r="G29" s="12"/>
      <c r="H29" s="10"/>
      <c r="I29" s="10"/>
      <c r="J29" s="14" t="s">
        <v>44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 t="s">
        <v>81</v>
      </c>
      <c r="V29" t="s">
        <v>77</v>
      </c>
      <c r="W29" s="29">
        <f>E79</f>
        <v>36</v>
      </c>
      <c r="Z29" s="34"/>
      <c r="AA29" s="40"/>
      <c r="AB29" s="40"/>
      <c r="AC29" s="38" t="s">
        <v>159</v>
      </c>
      <c r="AD29" s="48"/>
      <c r="AE29" s="53" t="e">
        <f>LOOKUP(AD29,T$5:T$80,U$5:U$80)</f>
        <v>#N/A</v>
      </c>
      <c r="AF29" s="37" t="s">
        <v>157</v>
      </c>
      <c r="AG29" s="65" t="e">
        <f>LOOKUP(AD29,T$5:T$80,W$5:W$80)</f>
        <v>#N/A</v>
      </c>
    </row>
    <row r="30" spans="4:33" ht="13" thickBot="1">
      <c r="D30">
        <v>12</v>
      </c>
      <c r="E30" s="9">
        <f t="shared" si="0"/>
        <v>12</v>
      </c>
      <c r="F30" s="9"/>
      <c r="G30" s="9">
        <f>E30</f>
        <v>12</v>
      </c>
      <c r="H30" s="11"/>
      <c r="I30" s="10"/>
      <c r="J30" s="14"/>
      <c r="K30" s="10"/>
      <c r="L30" s="14"/>
      <c r="M30" s="10"/>
      <c r="N30" s="14"/>
      <c r="O30" s="10"/>
      <c r="P30" s="14"/>
      <c r="Q30" s="10"/>
      <c r="T30">
        <v>26</v>
      </c>
      <c r="U30" s="28">
        <f>E82</f>
        <v>37</v>
      </c>
      <c r="V30" t="s">
        <v>77</v>
      </c>
      <c r="W30" s="29" t="s">
        <v>162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>
        <f t="shared" si="0"/>
        <v>0</v>
      </c>
      <c r="F31" s="10"/>
      <c r="G31" s="12"/>
      <c r="H31" s="13" t="s">
        <v>15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>
        <f>E89</f>
        <v>40</v>
      </c>
      <c r="V31" t="s">
        <v>77</v>
      </c>
      <c r="W31" s="29">
        <f>E91</f>
        <v>41</v>
      </c>
      <c r="Z31" s="34"/>
      <c r="AA31" s="40"/>
      <c r="AB31" s="40"/>
      <c r="AC31" s="38" t="s">
        <v>159</v>
      </c>
      <c r="AD31" s="48"/>
      <c r="AE31" s="53" t="e">
        <f>LOOKUP(AD31,T$5:T$80,U$5:U$80)</f>
        <v>#N/A</v>
      </c>
      <c r="AF31" s="37" t="s">
        <v>157</v>
      </c>
      <c r="AG31" s="65" t="e">
        <f>LOOKUP(AD31,T$5:T$80,W$5:W$80)</f>
        <v>#N/A</v>
      </c>
    </row>
    <row r="32" spans="4:33" ht="13" thickBot="1">
      <c r="D32">
        <v>13</v>
      </c>
      <c r="E32" s="9">
        <f t="shared" si="0"/>
        <v>13</v>
      </c>
      <c r="F32" s="9"/>
      <c r="G32" s="9">
        <f>E32</f>
        <v>13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>
        <f>E93</f>
        <v>42</v>
      </c>
      <c r="V32" t="s">
        <v>77</v>
      </c>
      <c r="W32" s="29">
        <f>E95</f>
        <v>43</v>
      </c>
      <c r="Z32" s="34"/>
      <c r="AA32" s="40"/>
      <c r="AB32" s="40"/>
      <c r="AC32" s="38" t="s">
        <v>159</v>
      </c>
      <c r="AD32" s="48"/>
      <c r="AE32" s="53" t="e">
        <f>LOOKUP(AD32,T$5:T$80,U$5:U$80)</f>
        <v>#N/A</v>
      </c>
      <c r="AF32" s="37" t="s">
        <v>157</v>
      </c>
      <c r="AG32" s="65" t="e">
        <f>LOOKUP(AD32,T$5:T$80,W$5:W$80)</f>
        <v>#N/A</v>
      </c>
    </row>
    <row r="33" spans="4:33" ht="13" thickBot="1">
      <c r="E33" s="10">
        <f t="shared" si="0"/>
        <v>0</v>
      </c>
      <c r="F33" s="10"/>
      <c r="G33" s="10"/>
      <c r="H33" s="10"/>
      <c r="I33" s="10"/>
      <c r="J33" s="10"/>
      <c r="K33" s="10"/>
      <c r="L33" s="14" t="s">
        <v>59</v>
      </c>
      <c r="M33" s="9" t="str">
        <f>IF(OR(L29="",L38=""),"",+IF(L29&gt;L38,K29,K38))</f>
        <v/>
      </c>
      <c r="N33" s="16"/>
      <c r="O33" s="10"/>
      <c r="P33" s="14"/>
      <c r="Q33" s="10"/>
      <c r="T33">
        <v>29</v>
      </c>
      <c r="U33" s="28">
        <f>E97</f>
        <v>44</v>
      </c>
      <c r="V33" t="s">
        <v>77</v>
      </c>
      <c r="W33" s="29">
        <f>E99</f>
        <v>45</v>
      </c>
      <c r="Z33" s="34"/>
      <c r="AA33" s="40"/>
      <c r="AB33" s="40"/>
      <c r="AC33" s="38" t="s">
        <v>159</v>
      </c>
      <c r="AD33" s="48"/>
      <c r="AE33" s="53" t="e">
        <f>LOOKUP(AD33,T$5:T$80,U$5:U$80)</f>
        <v>#N/A</v>
      </c>
      <c r="AF33" s="37" t="s">
        <v>157</v>
      </c>
      <c r="AG33" s="65" t="e">
        <f>LOOKUP(AD33,T$5:T$80,W$5:W$80)</f>
        <v>#N/A</v>
      </c>
    </row>
    <row r="34" spans="4:33" ht="13" thickBot="1">
      <c r="D34">
        <v>14</v>
      </c>
      <c r="E34" s="9">
        <f t="shared" si="0"/>
        <v>14</v>
      </c>
      <c r="F34" s="9"/>
      <c r="G34" s="9">
        <f>E34</f>
        <v>14</v>
      </c>
      <c r="H34" s="11"/>
      <c r="I34" s="10"/>
      <c r="J34" s="10"/>
      <c r="K34" s="10"/>
      <c r="L34" s="14"/>
      <c r="M34" s="10"/>
      <c r="N34" s="10"/>
      <c r="O34" s="10"/>
      <c r="P34" s="14"/>
      <c r="Q34" s="10"/>
      <c r="T34">
        <v>30</v>
      </c>
      <c r="U34" s="28">
        <f>E101</f>
        <v>46</v>
      </c>
      <c r="V34" t="s">
        <v>77</v>
      </c>
      <c r="W34" s="29">
        <f>E103</f>
        <v>47</v>
      </c>
      <c r="Z34" s="34"/>
      <c r="AA34" s="40"/>
      <c r="AB34" s="40"/>
      <c r="AC34" s="38" t="s">
        <v>159</v>
      </c>
      <c r="AD34" s="48"/>
      <c r="AE34" s="53" t="e">
        <f>LOOKUP(AD34,T$5:T$80,U$5:U$80)</f>
        <v>#N/A</v>
      </c>
      <c r="AF34" s="37" t="s">
        <v>157</v>
      </c>
      <c r="AG34" s="65" t="e">
        <f>LOOKUP(AD34,T$5:T$80,W$5:W$80)</f>
        <v>#N/A</v>
      </c>
    </row>
    <row r="35" spans="4:33" ht="13" thickBot="1">
      <c r="E35" s="10">
        <f t="shared" si="0"/>
        <v>0</v>
      </c>
      <c r="F35" s="10"/>
      <c r="G35" s="12"/>
      <c r="H35" s="13" t="s">
        <v>16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>
        <f>E105</f>
        <v>48</v>
      </c>
      <c r="V35" t="s">
        <v>77</v>
      </c>
      <c r="W35" s="29">
        <f>E107</f>
        <v>49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>
        <f t="shared" si="0"/>
        <v>15</v>
      </c>
      <c r="F36" s="9"/>
      <c r="G36" s="9">
        <f>E36</f>
        <v>15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>
        <f>E109</f>
        <v>50</v>
      </c>
      <c r="V36" t="s">
        <v>77</v>
      </c>
      <c r="W36" s="29">
        <f>E111</f>
        <v>51</v>
      </c>
      <c r="Z36" s="34"/>
      <c r="AA36" s="40"/>
      <c r="AB36" s="40"/>
      <c r="AC36" s="38" t="s">
        <v>159</v>
      </c>
      <c r="AD36" s="48"/>
      <c r="AE36" s="53" t="e">
        <f>LOOKUP(AD36,T$5:T$80,U$5:U$80)</f>
        <v>#N/A</v>
      </c>
      <c r="AF36" s="37" t="s">
        <v>157</v>
      </c>
      <c r="AG36" s="65" t="e">
        <f>LOOKUP(AD36,T$5:T$80,W$5:W$80)</f>
        <v>#N/A</v>
      </c>
    </row>
    <row r="37" spans="4:33">
      <c r="E37" s="10">
        <f t="shared" si="0"/>
        <v>0</v>
      </c>
      <c r="F37" s="10"/>
      <c r="G37" s="10"/>
      <c r="H37" s="10"/>
      <c r="I37" s="10"/>
      <c r="J37" s="14"/>
      <c r="K37" s="10"/>
      <c r="L37" s="14"/>
      <c r="M37" s="10"/>
      <c r="N37" s="10"/>
      <c r="O37" s="10"/>
      <c r="P37" s="14"/>
      <c r="Q37" s="10"/>
      <c r="T37">
        <v>33</v>
      </c>
      <c r="U37" s="28" t="s">
        <v>163</v>
      </c>
      <c r="V37" t="s">
        <v>77</v>
      </c>
      <c r="W37" s="29">
        <f>E117</f>
        <v>54</v>
      </c>
      <c r="Z37" s="34"/>
      <c r="AA37" s="40"/>
      <c r="AB37" s="40"/>
      <c r="AC37" s="38" t="s">
        <v>159</v>
      </c>
      <c r="AD37" s="48"/>
      <c r="AE37" s="53" t="e">
        <f>LOOKUP(AD37,T$5:T$80,U$5:U$80)</f>
        <v>#N/A</v>
      </c>
      <c r="AF37" s="37" t="s">
        <v>157</v>
      </c>
      <c r="AG37" s="65" t="e">
        <f>LOOKUP(AD37,T$5:T$80,W$5:W$80)</f>
        <v>#N/A</v>
      </c>
    </row>
    <row r="38" spans="4:33" ht="13" thickBot="1">
      <c r="D38">
        <v>16</v>
      </c>
      <c r="E38" s="10">
        <f t="shared" si="0"/>
        <v>16</v>
      </c>
      <c r="F38" s="11"/>
      <c r="G38" s="10"/>
      <c r="H38" s="10"/>
      <c r="I38" s="10"/>
      <c r="J38" s="14" t="s">
        <v>45</v>
      </c>
      <c r="K38" s="9" t="str">
        <f>IF(OR(J35="",J41=""),"",+IF(J35&gt;J41,I35,I41))</f>
        <v/>
      </c>
      <c r="L38" s="16"/>
      <c r="M38" s="10"/>
      <c r="N38" s="10"/>
      <c r="O38" s="10"/>
      <c r="P38" s="14"/>
      <c r="Q38" s="10"/>
      <c r="T38">
        <v>34</v>
      </c>
      <c r="U38" s="28">
        <f>E119</f>
        <v>55</v>
      </c>
      <c r="V38" t="s">
        <v>77</v>
      </c>
      <c r="W38" s="29" t="s">
        <v>84</v>
      </c>
      <c r="Z38" s="34"/>
      <c r="AA38" s="40"/>
      <c r="AB38" s="40"/>
      <c r="AC38" s="38" t="s">
        <v>159</v>
      </c>
      <c r="AD38" s="48"/>
      <c r="AE38" s="53" t="e">
        <f>LOOKUP(AD38,T$5:T$80,U$5:U$80)</f>
        <v>#N/A</v>
      </c>
      <c r="AF38" s="37" t="s">
        <v>157</v>
      </c>
      <c r="AG38" s="65" t="e">
        <f>LOOKUP(AD38,T$5:T$80,W$5:W$80)</f>
        <v>#N/A</v>
      </c>
    </row>
    <row r="39" spans="4:33" ht="13" thickBot="1">
      <c r="E39" s="12">
        <f t="shared" si="0"/>
        <v>0</v>
      </c>
      <c r="F39" s="13" t="s">
        <v>2</v>
      </c>
      <c r="G39" s="9" t="str">
        <f>IF(OR(F38="",F40=""),"",+IF(F38&gt;F40,E38,E40))</f>
        <v/>
      </c>
      <c r="H39" s="11"/>
      <c r="I39" s="10"/>
      <c r="J39" s="14"/>
      <c r="K39" s="10"/>
      <c r="L39" s="10"/>
      <c r="M39" s="10"/>
      <c r="N39" s="10"/>
      <c r="O39" s="10"/>
      <c r="P39" s="14"/>
      <c r="Q39" s="10"/>
      <c r="T39">
        <v>35</v>
      </c>
      <c r="U39" s="28">
        <f>E126</f>
        <v>58</v>
      </c>
      <c r="V39" t="s">
        <v>77</v>
      </c>
      <c r="W39" s="29">
        <f>E128</f>
        <v>59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D40">
        <v>17</v>
      </c>
      <c r="E40" s="9">
        <f t="shared" si="0"/>
        <v>17</v>
      </c>
      <c r="F40" s="16"/>
      <c r="G40" s="10"/>
      <c r="H40" s="13"/>
      <c r="I40" s="10"/>
      <c r="J40" s="14"/>
      <c r="K40" s="10"/>
      <c r="L40" s="10"/>
      <c r="M40" s="10"/>
      <c r="N40" s="10"/>
      <c r="O40" s="10"/>
      <c r="P40" s="14"/>
      <c r="Q40" s="10"/>
      <c r="T40">
        <v>36</v>
      </c>
      <c r="U40" s="28">
        <f>E130</f>
        <v>60</v>
      </c>
      <c r="V40" t="s">
        <v>77</v>
      </c>
      <c r="W40" s="29">
        <f>E132</f>
        <v>61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>
        <f t="shared" si="0"/>
        <v>0</v>
      </c>
      <c r="F41" s="10"/>
      <c r="G41" s="10"/>
      <c r="H41" s="14" t="s">
        <v>17</v>
      </c>
      <c r="I41" s="9" t="str">
        <f>IF(OR(H39="",H42=""),"",+IF(H39&gt;H42,G39,E42))</f>
        <v/>
      </c>
      <c r="J41" s="16"/>
      <c r="K41" s="10"/>
      <c r="L41" s="10"/>
      <c r="M41" s="10"/>
      <c r="N41" s="10"/>
      <c r="O41" s="10"/>
      <c r="P41" s="14"/>
      <c r="Q41" s="10"/>
      <c r="T41">
        <v>37</v>
      </c>
      <c r="U41" s="28">
        <f>E134</f>
        <v>62</v>
      </c>
      <c r="V41" t="s">
        <v>77</v>
      </c>
      <c r="W41" s="29">
        <f>E136</f>
        <v>63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9">
        <f t="shared" si="0"/>
        <v>18</v>
      </c>
      <c r="F42" s="9"/>
      <c r="G42" s="9">
        <f>E42</f>
        <v>18</v>
      </c>
      <c r="H42" s="16"/>
      <c r="I42" s="10"/>
      <c r="J42" s="10"/>
      <c r="K42" s="10"/>
      <c r="L42" s="10"/>
      <c r="M42" s="10"/>
      <c r="N42" s="10"/>
      <c r="O42" s="10"/>
      <c r="P42" s="14"/>
      <c r="Q42" s="10"/>
      <c r="T42">
        <v>38</v>
      </c>
      <c r="U42" s="28">
        <f>E138</f>
        <v>64</v>
      </c>
      <c r="V42" t="s">
        <v>77</v>
      </c>
      <c r="W42" s="29" t="s">
        <v>164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>
      <c r="E43" s="10">
        <f t="shared" si="0"/>
        <v>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4"/>
      <c r="Q43" s="10"/>
      <c r="T43">
        <v>39</v>
      </c>
      <c r="U43" s="28">
        <f>E145</f>
        <v>67</v>
      </c>
      <c r="V43" t="s">
        <v>77</v>
      </c>
      <c r="W43" s="29">
        <f>E147</f>
        <v>68</v>
      </c>
      <c r="Z43" s="34"/>
      <c r="AA43" s="40"/>
      <c r="AB43" s="40"/>
      <c r="AC43" s="38" t="s">
        <v>159</v>
      </c>
      <c r="AD43" s="48"/>
      <c r="AE43" s="53" t="e">
        <f>LOOKUP(AD43,T$5:T$80,U$5:U$80)</f>
        <v>#N/A</v>
      </c>
      <c r="AF43" s="37" t="s">
        <v>157</v>
      </c>
      <c r="AG43" s="65" t="e">
        <f>LOOKUP(AD43,T$5:T$80,W$5:W$80)</f>
        <v>#N/A</v>
      </c>
    </row>
    <row r="44" spans="4:33" ht="13" thickBot="1">
      <c r="D44">
        <v>19</v>
      </c>
      <c r="E44" s="9">
        <f t="shared" si="0"/>
        <v>19</v>
      </c>
      <c r="F44" s="9"/>
      <c r="G44" s="9">
        <f>E44</f>
        <v>19</v>
      </c>
      <c r="H44" s="11"/>
      <c r="I44" s="10"/>
      <c r="J44" s="10"/>
      <c r="K44" s="10"/>
      <c r="L44" s="10"/>
      <c r="M44" s="10"/>
      <c r="N44" s="10"/>
      <c r="O44" s="10"/>
      <c r="P44" s="14"/>
      <c r="Q44" s="10"/>
      <c r="T44">
        <v>40</v>
      </c>
      <c r="U44" s="28">
        <f>E149</f>
        <v>69</v>
      </c>
      <c r="V44" t="s">
        <v>77</v>
      </c>
      <c r="W44" s="29">
        <f>E151</f>
        <v>70</v>
      </c>
      <c r="Z44" s="34"/>
      <c r="AA44" s="40"/>
      <c r="AB44" s="40"/>
      <c r="AC44" s="38" t="s">
        <v>159</v>
      </c>
      <c r="AD44" s="48"/>
      <c r="AE44" s="53" t="e">
        <f>LOOKUP(AD44,T$5:T$80,U$5:U$80)</f>
        <v>#N/A</v>
      </c>
      <c r="AF44" s="37" t="s">
        <v>157</v>
      </c>
      <c r="AG44" s="65" t="e">
        <f>LOOKUP(AD44,T$5:T$80,W$5:W$80)</f>
        <v>#N/A</v>
      </c>
    </row>
    <row r="45" spans="4:33" ht="13" thickBot="1">
      <c r="E45" s="12">
        <f t="shared" si="0"/>
        <v>0</v>
      </c>
      <c r="F45" s="10"/>
      <c r="G45" s="10"/>
      <c r="H45" s="13"/>
      <c r="I45" s="10"/>
      <c r="J45" s="10"/>
      <c r="K45" s="10"/>
      <c r="L45" s="10"/>
      <c r="M45" s="10"/>
      <c r="N45" s="10"/>
      <c r="O45" s="10"/>
      <c r="P45" s="14" t="s">
        <v>70</v>
      </c>
      <c r="Q45" s="9" t="str">
        <f>IF(OR(P25="",P62=""),"",+IF(P25&gt;P62,O25,O62))</f>
        <v/>
      </c>
      <c r="T45">
        <v>41</v>
      </c>
      <c r="U45" s="28" t="s">
        <v>86</v>
      </c>
      <c r="V45" t="s">
        <v>77</v>
      </c>
      <c r="W45" s="29">
        <f>E157</f>
        <v>73</v>
      </c>
      <c r="Z45" s="34"/>
      <c r="AA45" s="40"/>
      <c r="AB45" s="40"/>
      <c r="AC45" s="38" t="s">
        <v>159</v>
      </c>
      <c r="AD45" s="48"/>
      <c r="AE45" s="53" t="e">
        <f>LOOKUP(AD45,T$5:T$80,U$5:U$80)</f>
        <v>#N/A</v>
      </c>
      <c r="AF45" s="37" t="s">
        <v>157</v>
      </c>
      <c r="AG45" s="65" t="e">
        <f>LOOKUP(AD45,T$5:T$80,W$5:W$80)</f>
        <v>#N/A</v>
      </c>
    </row>
    <row r="46" spans="4:33" ht="13" thickBot="1">
      <c r="E46" s="10">
        <f t="shared" si="0"/>
        <v>0</v>
      </c>
      <c r="F46" s="10"/>
      <c r="G46" s="10"/>
      <c r="H46" s="14" t="s">
        <v>18</v>
      </c>
      <c r="I46" s="9" t="str">
        <f>IF(OR(H44="",H48=""),"",+IF(H44&gt;H48,E44,G48))</f>
        <v/>
      </c>
      <c r="J46" s="11"/>
      <c r="K46" s="10"/>
      <c r="L46" s="10"/>
      <c r="M46" s="10"/>
      <c r="N46" s="10"/>
      <c r="O46" s="10"/>
      <c r="P46" s="14"/>
      <c r="Q46" s="10"/>
      <c r="R46" s="8"/>
      <c r="T46">
        <v>42</v>
      </c>
      <c r="U46" s="28" t="s">
        <v>87</v>
      </c>
      <c r="V46" t="s">
        <v>77</v>
      </c>
      <c r="W46" s="29" t="s">
        <v>88</v>
      </c>
      <c r="Z46" s="34"/>
      <c r="AA46" s="40"/>
      <c r="AB46" s="40"/>
      <c r="AC46" s="38" t="s">
        <v>159</v>
      </c>
      <c r="AD46" s="48"/>
      <c r="AE46" s="53" t="e">
        <f>LOOKUP(AD46,T$5:T$80,U$5:U$80)</f>
        <v>#N/A</v>
      </c>
      <c r="AF46" s="37" t="s">
        <v>157</v>
      </c>
      <c r="AG46" s="65" t="e">
        <f>LOOKUP(AD46,T$5:T$80,W$5:W$80)</f>
        <v>#N/A</v>
      </c>
    </row>
    <row r="47" spans="4:33" ht="13" thickBot="1">
      <c r="D47">
        <v>20</v>
      </c>
      <c r="E47" s="10">
        <f t="shared" si="0"/>
        <v>20</v>
      </c>
      <c r="F47" s="11"/>
      <c r="G47" s="10"/>
      <c r="H47" s="14"/>
      <c r="I47" s="10"/>
      <c r="J47" s="13"/>
      <c r="K47" s="10"/>
      <c r="L47" s="10"/>
      <c r="M47" s="10"/>
      <c r="N47" s="10"/>
      <c r="O47" s="10"/>
      <c r="P47" s="14"/>
      <c r="Q47" s="10"/>
      <c r="R47" s="8"/>
      <c r="T47">
        <v>43</v>
      </c>
      <c r="U47" s="28" t="s">
        <v>89</v>
      </c>
      <c r="V47" t="s">
        <v>77</v>
      </c>
      <c r="W47" s="29" t="s">
        <v>90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>
        <f t="shared" si="0"/>
        <v>0</v>
      </c>
      <c r="F48" s="13" t="s">
        <v>3</v>
      </c>
      <c r="G48" s="9" t="str">
        <f>IF(OR(F47="",F49=""),"",+IF(F47&gt;F49,E47,E49))</f>
        <v/>
      </c>
      <c r="H48" s="16"/>
      <c r="I48" s="10"/>
      <c r="J48" s="14"/>
      <c r="K48" s="10"/>
      <c r="L48" s="10"/>
      <c r="M48" s="10"/>
      <c r="N48" s="10"/>
      <c r="O48" s="10"/>
      <c r="P48" s="14"/>
      <c r="Q48" s="10"/>
      <c r="R48" s="8"/>
      <c r="T48">
        <v>44</v>
      </c>
      <c r="U48" s="28" t="s">
        <v>91</v>
      </c>
      <c r="V48" t="s">
        <v>77</v>
      </c>
      <c r="W48" s="29" t="s">
        <v>92</v>
      </c>
      <c r="Z48" s="34"/>
      <c r="AA48" s="40"/>
      <c r="AB48" s="40"/>
      <c r="AC48" s="38" t="s">
        <v>159</v>
      </c>
      <c r="AD48" s="48"/>
      <c r="AE48" s="53" t="e">
        <f>LOOKUP(AD48,T$5:T$80,U$5:U$80)</f>
        <v>#N/A</v>
      </c>
      <c r="AF48" s="37" t="s">
        <v>157</v>
      </c>
      <c r="AG48" s="65" t="e">
        <f>LOOKUP(AD48,T$5:T$80,W$5:W$80)</f>
        <v>#N/A</v>
      </c>
    </row>
    <row r="49" spans="4:33" ht="13" thickBot="1">
      <c r="D49">
        <v>21</v>
      </c>
      <c r="E49" s="10">
        <f t="shared" si="0"/>
        <v>21</v>
      </c>
      <c r="F49" s="16"/>
      <c r="G49" s="10"/>
      <c r="H49" s="10"/>
      <c r="I49" s="10"/>
      <c r="J49" s="14" t="s">
        <v>46</v>
      </c>
      <c r="K49" s="9" t="str">
        <f>IF(OR(J46="",J52=""),"",+IF(J46&gt;J52,I46,I52))</f>
        <v/>
      </c>
      <c r="L49" s="17"/>
      <c r="M49" s="10"/>
      <c r="N49" s="10"/>
      <c r="O49" s="10"/>
      <c r="P49" s="14"/>
      <c r="Q49" s="10"/>
      <c r="R49" s="8"/>
      <c r="T49">
        <v>45</v>
      </c>
      <c r="U49" s="28" t="s">
        <v>165</v>
      </c>
      <c r="V49" t="s">
        <v>77</v>
      </c>
      <c r="W49" s="29" t="s">
        <v>94</v>
      </c>
      <c r="Z49" s="34"/>
      <c r="AA49" s="40"/>
      <c r="AB49" s="40"/>
      <c r="AC49" s="38" t="s">
        <v>159</v>
      </c>
      <c r="AD49" s="48"/>
      <c r="AE49" s="53" t="e">
        <f>LOOKUP(AD49,T$5:T$80,U$5:U$80)</f>
        <v>#N/A</v>
      </c>
      <c r="AF49" s="37" t="s">
        <v>157</v>
      </c>
      <c r="AG49" s="65" t="e">
        <f>LOOKUP(AD49,T$5:T$80,W$5:W$80)</f>
        <v>#N/A</v>
      </c>
    </row>
    <row r="50" spans="4:33">
      <c r="E50" s="12">
        <f t="shared" si="0"/>
        <v>0</v>
      </c>
      <c r="F50" s="10"/>
      <c r="G50" s="10"/>
      <c r="H50" s="10"/>
      <c r="I50" s="10"/>
      <c r="J50" s="14"/>
      <c r="K50" s="10"/>
      <c r="L50" s="10"/>
      <c r="M50" s="19"/>
      <c r="N50" s="10"/>
      <c r="O50" s="10"/>
      <c r="P50" s="14"/>
      <c r="Q50" s="10"/>
      <c r="R50" s="8"/>
      <c r="T50">
        <v>46</v>
      </c>
      <c r="U50" s="28" t="s">
        <v>95</v>
      </c>
      <c r="V50" t="s">
        <v>77</v>
      </c>
      <c r="W50" s="29" t="s">
        <v>96</v>
      </c>
      <c r="Z50" s="34"/>
      <c r="AA50" s="40"/>
      <c r="AB50" s="40"/>
      <c r="AC50" s="38" t="s">
        <v>159</v>
      </c>
      <c r="AD50" s="48"/>
      <c r="AE50" s="53" t="e">
        <f>LOOKUP(AD50,T$5:T$80,U$5:U$80)</f>
        <v>#N/A</v>
      </c>
      <c r="AF50" s="37" t="s">
        <v>157</v>
      </c>
      <c r="AG50" s="65" t="e">
        <f>LOOKUP(AD50,T$5:T$80,W$5:W$80)</f>
        <v>#N/A</v>
      </c>
    </row>
    <row r="51" spans="4:33" ht="13" thickBot="1">
      <c r="D51">
        <v>22</v>
      </c>
      <c r="E51" s="9">
        <f t="shared" si="0"/>
        <v>22</v>
      </c>
      <c r="F51" s="9"/>
      <c r="G51" s="9">
        <f>E51</f>
        <v>22</v>
      </c>
      <c r="H51" s="11"/>
      <c r="I51" s="10"/>
      <c r="J51" s="14"/>
      <c r="K51" s="10"/>
      <c r="L51" s="10"/>
      <c r="M51" s="19"/>
      <c r="N51" s="10"/>
      <c r="O51" s="10"/>
      <c r="P51" s="14"/>
      <c r="Q51" s="10"/>
      <c r="R51" s="8"/>
      <c r="T51">
        <v>47</v>
      </c>
      <c r="U51" s="28" t="s">
        <v>97</v>
      </c>
      <c r="V51" t="s">
        <v>77</v>
      </c>
      <c r="W51" s="29" t="s">
        <v>98</v>
      </c>
      <c r="Z51" s="34"/>
      <c r="AA51" s="40"/>
      <c r="AB51" s="40"/>
      <c r="AC51" s="38" t="s">
        <v>159</v>
      </c>
      <c r="AD51" s="48"/>
      <c r="AE51" s="53" t="e">
        <f>LOOKUP(AD51,T$5:T$80,U$5:U$80)</f>
        <v>#N/A</v>
      </c>
      <c r="AF51" s="37" t="s">
        <v>157</v>
      </c>
      <c r="AG51" s="65" t="e">
        <f>LOOKUP(AD51,T$5:T$80,W$5:W$80)</f>
        <v>#N/A</v>
      </c>
    </row>
    <row r="52" spans="4:33" ht="13" thickBot="1">
      <c r="E52" s="10">
        <f t="shared" si="0"/>
        <v>0</v>
      </c>
      <c r="F52" s="10"/>
      <c r="G52" s="10"/>
      <c r="H52" s="13" t="s">
        <v>19</v>
      </c>
      <c r="I52" s="9" t="str">
        <f>IF(OR(H51="",H53=""),"",+IF(H51&gt;H53,E51,E53))</f>
        <v/>
      </c>
      <c r="J52" s="16"/>
      <c r="K52" s="10"/>
      <c r="L52" s="10"/>
      <c r="M52" s="19"/>
      <c r="N52" s="10"/>
      <c r="O52" s="10"/>
      <c r="P52" s="14"/>
      <c r="Q52" s="10"/>
      <c r="R52" s="8"/>
      <c r="T52">
        <v>48</v>
      </c>
      <c r="U52" s="28" t="s">
        <v>99</v>
      </c>
      <c r="V52" t="s">
        <v>77</v>
      </c>
      <c r="W52" s="29" t="s">
        <v>100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9">
        <f t="shared" si="0"/>
        <v>23</v>
      </c>
      <c r="F53" s="9"/>
      <c r="G53" s="9">
        <f>E53</f>
        <v>23</v>
      </c>
      <c r="H53" s="16"/>
      <c r="I53" s="10"/>
      <c r="J53" s="10"/>
      <c r="K53" s="10"/>
      <c r="L53" s="10"/>
      <c r="M53" s="19"/>
      <c r="N53" s="10"/>
      <c r="O53" s="10"/>
      <c r="P53" s="14"/>
      <c r="Q53" s="10"/>
      <c r="R53" s="8"/>
      <c r="T53">
        <v>49</v>
      </c>
      <c r="U53" s="28" t="s">
        <v>101</v>
      </c>
      <c r="V53" t="s">
        <v>77</v>
      </c>
      <c r="W53" s="29" t="s">
        <v>102</v>
      </c>
      <c r="Z53" s="34"/>
      <c r="AA53" s="40"/>
      <c r="AB53" s="40"/>
      <c r="AC53" s="38" t="s">
        <v>159</v>
      </c>
      <c r="AD53" s="48"/>
      <c r="AE53" s="53" t="e">
        <f>LOOKUP(AD53,T$5:T$80,U$5:U$80)</f>
        <v>#N/A</v>
      </c>
      <c r="AF53" s="37" t="s">
        <v>157</v>
      </c>
      <c r="AG53" s="65" t="e">
        <f>LOOKUP(AD53,T$5:T$80,W$5:W$80)</f>
        <v>#N/A</v>
      </c>
    </row>
    <row r="54" spans="4:33" ht="13" thickBot="1">
      <c r="E54" s="10">
        <f t="shared" si="0"/>
        <v>0</v>
      </c>
      <c r="F54" s="10"/>
      <c r="G54" s="10"/>
      <c r="H54" s="10"/>
      <c r="I54" s="10"/>
      <c r="J54" s="10"/>
      <c r="K54" s="10"/>
      <c r="L54" s="14" t="s">
        <v>60</v>
      </c>
      <c r="M54" s="9" t="str">
        <f>IF(OR(L49="",L58=""),"",+IF(L49&gt;L58,K49,K58))</f>
        <v/>
      </c>
      <c r="N54" s="17"/>
      <c r="O54" s="10"/>
      <c r="P54" s="14"/>
      <c r="Q54" s="10"/>
      <c r="R54" s="8"/>
      <c r="T54">
        <v>50</v>
      </c>
      <c r="U54" s="28" t="s">
        <v>103</v>
      </c>
      <c r="V54" t="s">
        <v>77</v>
      </c>
      <c r="W54" s="29" t="s">
        <v>104</v>
      </c>
      <c r="Z54" s="34"/>
      <c r="AA54" s="40"/>
      <c r="AB54" s="40"/>
      <c r="AC54" s="38" t="s">
        <v>159</v>
      </c>
      <c r="AD54" s="48"/>
      <c r="AE54" s="53" t="e">
        <f>LOOKUP(AD54,T$5:T$80,U$5:U$80)</f>
        <v>#N/A</v>
      </c>
      <c r="AF54" s="37" t="s">
        <v>157</v>
      </c>
      <c r="AG54" s="65" t="e">
        <f>LOOKUP(AD54,T$5:T$80,W$5:W$80)</f>
        <v>#N/A</v>
      </c>
    </row>
    <row r="55" spans="4:33" ht="13" thickBot="1">
      <c r="D55">
        <v>24</v>
      </c>
      <c r="E55" s="9">
        <f t="shared" si="0"/>
        <v>24</v>
      </c>
      <c r="F55" s="9"/>
      <c r="G55" s="9">
        <f>E55</f>
        <v>24</v>
      </c>
      <c r="H55" s="11"/>
      <c r="I55" s="10"/>
      <c r="J55" s="10"/>
      <c r="K55" s="10"/>
      <c r="L55" s="10"/>
      <c r="M55" s="19"/>
      <c r="N55" s="13"/>
      <c r="O55" s="10"/>
      <c r="P55" s="14"/>
      <c r="Q55" s="10"/>
      <c r="R55" s="8"/>
      <c r="T55">
        <v>51</v>
      </c>
      <c r="U55" s="28" t="s">
        <v>105</v>
      </c>
      <c r="V55" t="s">
        <v>77</v>
      </c>
      <c r="W55" s="29" t="s">
        <v>106</v>
      </c>
      <c r="Z55" s="34"/>
      <c r="AA55" s="40"/>
      <c r="AB55" s="40"/>
      <c r="AC55" s="38" t="s">
        <v>159</v>
      </c>
      <c r="AD55" s="48"/>
      <c r="AE55" s="53" t="e">
        <f>LOOKUP(AD55,T$5:T$80,U$5:U$80)</f>
        <v>#N/A</v>
      </c>
      <c r="AF55" s="37" t="s">
        <v>157</v>
      </c>
      <c r="AG55" s="65" t="e">
        <f>LOOKUP(AD55,T$5:T$80,W$5:W$80)</f>
        <v>#N/A</v>
      </c>
    </row>
    <row r="56" spans="4:33" ht="13" thickBot="1">
      <c r="E56" s="10">
        <f t="shared" si="0"/>
        <v>0</v>
      </c>
      <c r="F56" s="10"/>
      <c r="G56" s="12"/>
      <c r="H56" s="13" t="s">
        <v>20</v>
      </c>
      <c r="I56" s="9" t="str">
        <f>IF(OR(H55="",H57=""),"",+IF(H55&gt;H57,E55,E57))</f>
        <v/>
      </c>
      <c r="J56" s="17"/>
      <c r="K56" s="10"/>
      <c r="L56" s="10"/>
      <c r="M56" s="19"/>
      <c r="N56" s="14"/>
      <c r="O56" s="10"/>
      <c r="P56" s="14"/>
      <c r="Q56" s="10"/>
      <c r="R56" s="8"/>
      <c r="T56">
        <v>52</v>
      </c>
      <c r="U56" s="28" t="s">
        <v>107</v>
      </c>
      <c r="V56" t="s">
        <v>77</v>
      </c>
      <c r="W56" s="29" t="s">
        <v>108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9">
        <f t="shared" si="0"/>
        <v>25</v>
      </c>
      <c r="F57" s="9"/>
      <c r="G57" s="9">
        <f>E57</f>
        <v>25</v>
      </c>
      <c r="H57" s="16"/>
      <c r="I57" s="10"/>
      <c r="J57" s="14"/>
      <c r="K57" s="10"/>
      <c r="L57" s="10"/>
      <c r="M57" s="19"/>
      <c r="N57" s="14"/>
      <c r="O57" s="10"/>
      <c r="P57" s="14"/>
      <c r="Q57" s="10"/>
      <c r="R57" s="8"/>
      <c r="T57">
        <v>53</v>
      </c>
      <c r="U57" s="28" t="s">
        <v>109</v>
      </c>
      <c r="V57" t="s">
        <v>77</v>
      </c>
      <c r="W57" s="29" t="s">
        <v>110</v>
      </c>
    </row>
    <row r="58" spans="4:33" ht="13" thickBot="1">
      <c r="E58" s="10">
        <f t="shared" si="0"/>
        <v>0</v>
      </c>
      <c r="F58" s="10"/>
      <c r="G58" s="12"/>
      <c r="H58" s="10"/>
      <c r="I58" s="10"/>
      <c r="J58" s="14" t="s">
        <v>47</v>
      </c>
      <c r="K58" s="9" t="str">
        <f>IF(OR(J56="",J60=""),"",+IF(J56&gt;J60,I56,I60))</f>
        <v/>
      </c>
      <c r="L58" s="16"/>
      <c r="M58" s="19"/>
      <c r="N58" s="14"/>
      <c r="O58" s="10"/>
      <c r="P58" s="14"/>
      <c r="Q58" s="10"/>
      <c r="R58" s="8"/>
      <c r="T58">
        <v>54</v>
      </c>
      <c r="U58" s="28" t="s">
        <v>111</v>
      </c>
      <c r="V58" t="s">
        <v>77</v>
      </c>
      <c r="W58" s="29" t="s">
        <v>112</v>
      </c>
    </row>
    <row r="59" spans="4:33" ht="13" thickBot="1">
      <c r="D59">
        <v>26</v>
      </c>
      <c r="E59" s="9">
        <f t="shared" si="0"/>
        <v>26</v>
      </c>
      <c r="F59" s="9"/>
      <c r="G59" s="9">
        <f>E59</f>
        <v>26</v>
      </c>
      <c r="H59" s="11"/>
      <c r="I59" s="10"/>
      <c r="J59" s="14"/>
      <c r="K59" s="10"/>
      <c r="L59" s="10"/>
      <c r="M59" s="10"/>
      <c r="N59" s="14"/>
      <c r="O59" s="10"/>
      <c r="P59" s="14"/>
      <c r="Q59" s="10"/>
      <c r="R59" s="8"/>
      <c r="T59">
        <v>55</v>
      </c>
      <c r="U59" s="28" t="s">
        <v>113</v>
      </c>
      <c r="V59" t="s">
        <v>77</v>
      </c>
      <c r="W59" s="29" t="s">
        <v>114</v>
      </c>
    </row>
    <row r="60" spans="4:33" ht="13" thickBot="1">
      <c r="E60" s="10">
        <f t="shared" si="0"/>
        <v>0</v>
      </c>
      <c r="F60" s="10"/>
      <c r="G60" s="12"/>
      <c r="H60" s="13" t="s">
        <v>21</v>
      </c>
      <c r="I60" s="9" t="str">
        <f>IF(OR(H59="",H61=""),"",+IF(H59&gt;H61,E59,E61))</f>
        <v/>
      </c>
      <c r="J60" s="16"/>
      <c r="K60" s="10"/>
      <c r="L60" s="10"/>
      <c r="M60" s="10"/>
      <c r="N60" s="14"/>
      <c r="O60" s="10"/>
      <c r="P60" s="14"/>
      <c r="Q60" s="10"/>
      <c r="R60" s="8"/>
      <c r="T60">
        <v>56</v>
      </c>
      <c r="U60" s="28" t="s">
        <v>115</v>
      </c>
      <c r="V60" t="s">
        <v>77</v>
      </c>
      <c r="W60" s="29" t="s">
        <v>116</v>
      </c>
    </row>
    <row r="61" spans="4:33" ht="13" thickBot="1">
      <c r="D61">
        <v>27</v>
      </c>
      <c r="E61" s="9">
        <f t="shared" si="0"/>
        <v>27</v>
      </c>
      <c r="F61" s="9"/>
      <c r="G61" s="9">
        <f>E61</f>
        <v>27</v>
      </c>
      <c r="H61" s="16"/>
      <c r="I61" s="10"/>
      <c r="J61" s="10"/>
      <c r="K61" s="10"/>
      <c r="L61" s="10"/>
      <c r="M61" s="10"/>
      <c r="N61" s="14"/>
      <c r="O61" s="10"/>
      <c r="P61" s="14"/>
      <c r="Q61" s="10"/>
      <c r="R61" s="8"/>
      <c r="T61">
        <v>57</v>
      </c>
      <c r="U61" s="28" t="s">
        <v>117</v>
      </c>
      <c r="V61" t="s">
        <v>77</v>
      </c>
      <c r="W61" s="29" t="s">
        <v>118</v>
      </c>
    </row>
    <row r="62" spans="4:33" ht="13" thickBot="1">
      <c r="E62" s="10">
        <f t="shared" si="0"/>
        <v>0</v>
      </c>
      <c r="F62" s="10"/>
      <c r="G62" s="10"/>
      <c r="H62" s="10"/>
      <c r="I62" s="10"/>
      <c r="J62" s="10"/>
      <c r="K62" s="10"/>
      <c r="L62" s="10"/>
      <c r="M62" s="10"/>
      <c r="N62" s="14"/>
      <c r="O62" s="9" t="str">
        <f>IF(OR(N54="",N70=""),"",+IF(N54&gt;N70,M54,M70))</f>
        <v/>
      </c>
      <c r="P62" s="16"/>
      <c r="Q62" s="10"/>
      <c r="R62" s="8"/>
      <c r="T62">
        <v>58</v>
      </c>
      <c r="U62" s="28" t="s">
        <v>119</v>
      </c>
      <c r="V62" t="s">
        <v>77</v>
      </c>
      <c r="W62" s="29" t="s">
        <v>120</v>
      </c>
    </row>
    <row r="63" spans="4:33" ht="13" thickBot="1">
      <c r="D63">
        <v>28</v>
      </c>
      <c r="E63" s="9">
        <f t="shared" si="0"/>
        <v>28</v>
      </c>
      <c r="F63" s="9"/>
      <c r="G63" s="9">
        <f>E63</f>
        <v>28</v>
      </c>
      <c r="H63" s="11"/>
      <c r="I63" s="10"/>
      <c r="J63" s="10"/>
      <c r="K63" s="10"/>
      <c r="L63" s="10"/>
      <c r="M63" s="10"/>
      <c r="N63" s="14" t="s">
        <v>67</v>
      </c>
      <c r="O63" s="10"/>
      <c r="P63" s="10"/>
      <c r="Q63" s="10"/>
      <c r="R63" s="8"/>
      <c r="T63">
        <v>59</v>
      </c>
      <c r="U63" s="28" t="s">
        <v>121</v>
      </c>
      <c r="V63" t="s">
        <v>77</v>
      </c>
      <c r="W63" s="29" t="s">
        <v>122</v>
      </c>
    </row>
    <row r="64" spans="4:33" ht="13" thickBot="1">
      <c r="E64" s="10">
        <f t="shared" si="0"/>
        <v>0</v>
      </c>
      <c r="F64" s="10"/>
      <c r="G64" s="12"/>
      <c r="H64" s="13" t="s">
        <v>22</v>
      </c>
      <c r="I64" s="9" t="str">
        <f>IF(OR(H63="",H65=""),"",+IF(H63&gt;H65,E63,E65))</f>
        <v/>
      </c>
      <c r="J64" s="17"/>
      <c r="K64" s="10"/>
      <c r="L64" s="10"/>
      <c r="M64" s="10"/>
      <c r="N64" s="14"/>
      <c r="O64" s="10"/>
      <c r="P64" s="10"/>
      <c r="Q64" s="10"/>
      <c r="R64" s="8"/>
      <c r="T64">
        <v>60</v>
      </c>
      <c r="U64" s="28" t="s">
        <v>123</v>
      </c>
      <c r="V64" t="s">
        <v>77</v>
      </c>
      <c r="W64" s="29" t="s">
        <v>124</v>
      </c>
    </row>
    <row r="65" spans="4:23" ht="13" thickBot="1">
      <c r="D65">
        <v>29</v>
      </c>
      <c r="E65" s="9">
        <f t="shared" si="0"/>
        <v>29</v>
      </c>
      <c r="F65" s="9"/>
      <c r="G65" s="9">
        <f>E65</f>
        <v>29</v>
      </c>
      <c r="H65" s="16"/>
      <c r="I65" s="10"/>
      <c r="J65" s="14"/>
      <c r="K65" s="10"/>
      <c r="L65" s="10"/>
      <c r="M65" s="10"/>
      <c r="N65" s="14"/>
      <c r="O65" s="10"/>
      <c r="P65" s="10"/>
      <c r="Q65" s="10"/>
      <c r="R65" s="8"/>
      <c r="T65">
        <v>61</v>
      </c>
      <c r="U65" s="28" t="s">
        <v>125</v>
      </c>
      <c r="V65" t="s">
        <v>77</v>
      </c>
      <c r="W65" s="29" t="s">
        <v>126</v>
      </c>
    </row>
    <row r="66" spans="4:23" ht="13" thickBot="1">
      <c r="E66" s="10">
        <f t="shared" si="0"/>
        <v>0</v>
      </c>
      <c r="F66" s="10"/>
      <c r="G66" s="12"/>
      <c r="H66" s="10"/>
      <c r="I66" s="10"/>
      <c r="J66" s="14" t="s">
        <v>48</v>
      </c>
      <c r="K66" s="9" t="str">
        <f>IF(OR(J64="",J68=""),"",+IF(J64&gt;J68,I64,I68))</f>
        <v/>
      </c>
      <c r="L66" s="17"/>
      <c r="M66" s="10"/>
      <c r="N66" s="14"/>
      <c r="O66" s="10"/>
      <c r="P66" s="10"/>
      <c r="Q66" s="10"/>
      <c r="R66" s="8"/>
      <c r="T66">
        <v>62</v>
      </c>
      <c r="U66" s="28" t="s">
        <v>127</v>
      </c>
      <c r="V66" t="s">
        <v>77</v>
      </c>
      <c r="W66" s="29" t="s">
        <v>130</v>
      </c>
    </row>
    <row r="67" spans="4:23" ht="13" thickBot="1">
      <c r="D67">
        <v>30</v>
      </c>
      <c r="E67" s="9">
        <f t="shared" si="0"/>
        <v>30</v>
      </c>
      <c r="F67" s="9"/>
      <c r="G67" s="9">
        <f>E67</f>
        <v>30</v>
      </c>
      <c r="H67" s="11"/>
      <c r="I67" s="10"/>
      <c r="J67" s="14"/>
      <c r="K67" s="10"/>
      <c r="L67" s="14"/>
      <c r="M67" s="10"/>
      <c r="N67" s="14"/>
      <c r="O67" s="10"/>
      <c r="P67" s="10"/>
      <c r="Q67" s="10"/>
      <c r="R67" s="8"/>
      <c r="T67">
        <v>63</v>
      </c>
      <c r="U67" s="28" t="s">
        <v>128</v>
      </c>
      <c r="V67" t="s">
        <v>77</v>
      </c>
      <c r="W67" s="29" t="s">
        <v>129</v>
      </c>
    </row>
    <row r="68" spans="4:23" ht="13" thickBot="1">
      <c r="E68" s="10">
        <f t="shared" si="0"/>
        <v>0</v>
      </c>
      <c r="F68" s="10"/>
      <c r="G68" s="12"/>
      <c r="H68" s="13" t="s">
        <v>23</v>
      </c>
      <c r="I68" s="9" t="str">
        <f>IF(OR(H67="",H69=""),"",+IF(H67&gt;H69,E67,E69))</f>
        <v/>
      </c>
      <c r="J68" s="16"/>
      <c r="K68" s="10"/>
      <c r="L68" s="14"/>
      <c r="M68" s="10"/>
      <c r="N68" s="14"/>
      <c r="O68" s="10"/>
      <c r="P68" s="10"/>
      <c r="Q68" s="10"/>
      <c r="R68" s="8"/>
      <c r="T68">
        <v>64</v>
      </c>
      <c r="U68" s="28" t="s">
        <v>131</v>
      </c>
      <c r="V68" t="s">
        <v>77</v>
      </c>
      <c r="W68" s="29" t="s">
        <v>132</v>
      </c>
    </row>
    <row r="69" spans="4:23" ht="13" thickBot="1">
      <c r="D69">
        <v>31</v>
      </c>
      <c r="E69" s="9">
        <f t="shared" si="0"/>
        <v>31</v>
      </c>
      <c r="F69" s="9"/>
      <c r="G69" s="9">
        <f>E69</f>
        <v>31</v>
      </c>
      <c r="H69" s="16"/>
      <c r="I69" s="10"/>
      <c r="J69" s="10"/>
      <c r="K69" s="10"/>
      <c r="L69" s="14"/>
      <c r="M69" s="10"/>
      <c r="N69" s="14"/>
      <c r="O69" s="10"/>
      <c r="P69" s="10"/>
      <c r="Q69" s="10"/>
      <c r="R69" s="8"/>
      <c r="T69">
        <v>65</v>
      </c>
      <c r="U69" s="28" t="s">
        <v>133</v>
      </c>
      <c r="V69" t="s">
        <v>77</v>
      </c>
      <c r="W69" s="29" t="s">
        <v>134</v>
      </c>
    </row>
    <row r="70" spans="4:23" ht="13" thickBot="1">
      <c r="E70" s="10">
        <f t="shared" si="0"/>
        <v>0</v>
      </c>
      <c r="F70" s="10"/>
      <c r="G70" s="10"/>
      <c r="H70" s="10"/>
      <c r="I70" s="10"/>
      <c r="J70" s="10"/>
      <c r="K70" s="10"/>
      <c r="L70" s="14" t="s">
        <v>61</v>
      </c>
      <c r="M70" s="9" t="str">
        <f>IF(OR(L66="",L75=""),"",+IF(L66&gt;L75,K66,K75))</f>
        <v/>
      </c>
      <c r="N70" s="16"/>
      <c r="O70" s="10"/>
      <c r="P70" s="10"/>
      <c r="Q70" s="10"/>
      <c r="R70" s="8"/>
      <c r="T70">
        <v>66</v>
      </c>
      <c r="U70" s="28" t="s">
        <v>135</v>
      </c>
      <c r="V70" t="s">
        <v>77</v>
      </c>
      <c r="W70" s="29" t="s">
        <v>136</v>
      </c>
    </row>
    <row r="71" spans="4:23" ht="13" thickBot="1">
      <c r="D71">
        <v>32</v>
      </c>
      <c r="E71" s="9">
        <f t="shared" si="0"/>
        <v>32</v>
      </c>
      <c r="F71" s="9"/>
      <c r="G71" s="9">
        <f>E71</f>
        <v>32</v>
      </c>
      <c r="H71" s="11"/>
      <c r="I71" s="10"/>
      <c r="J71" s="10"/>
      <c r="K71" s="10"/>
      <c r="L71" s="14"/>
      <c r="M71" s="10"/>
      <c r="N71" s="10"/>
      <c r="O71" s="10"/>
      <c r="P71" s="10"/>
      <c r="Q71" s="10"/>
      <c r="R71" s="8"/>
      <c r="T71">
        <v>67</v>
      </c>
      <c r="U71" s="28" t="s">
        <v>137</v>
      </c>
      <c r="V71" t="s">
        <v>77</v>
      </c>
      <c r="W71" s="29" t="s">
        <v>138</v>
      </c>
    </row>
    <row r="72" spans="4:23" ht="13" thickBot="1">
      <c r="E72" s="10">
        <f t="shared" ref="E72:E135" si="1">D72</f>
        <v>0</v>
      </c>
      <c r="F72" s="10"/>
      <c r="G72" s="12"/>
      <c r="H72" s="13" t="s">
        <v>24</v>
      </c>
      <c r="I72" s="9" t="str">
        <f>IF(OR(H71="",H73=""),"",+IF(H71&gt;H73,E71,E73))</f>
        <v/>
      </c>
      <c r="J72" s="17"/>
      <c r="K72" s="10"/>
      <c r="L72" s="14"/>
      <c r="M72" s="10"/>
      <c r="N72" s="10"/>
      <c r="O72" s="10"/>
      <c r="P72" s="10"/>
      <c r="Q72" s="10"/>
      <c r="R72" s="8"/>
      <c r="T72">
        <v>68</v>
      </c>
      <c r="U72" s="28" t="s">
        <v>144</v>
      </c>
      <c r="V72" t="s">
        <v>77</v>
      </c>
      <c r="W72" s="29" t="s">
        <v>139</v>
      </c>
    </row>
    <row r="73" spans="4:23" ht="13" thickBot="1">
      <c r="D73">
        <v>33</v>
      </c>
      <c r="E73" s="9">
        <f t="shared" si="1"/>
        <v>33</v>
      </c>
      <c r="F73" s="9"/>
      <c r="G73" s="9">
        <f>E73</f>
        <v>33</v>
      </c>
      <c r="H73" s="16"/>
      <c r="I73" s="10"/>
      <c r="J73" s="14"/>
      <c r="K73" s="10"/>
      <c r="L73" s="14"/>
      <c r="M73" s="10"/>
      <c r="N73" s="10"/>
      <c r="O73" s="10"/>
      <c r="P73" s="10"/>
      <c r="Q73" s="10"/>
      <c r="R73" s="8"/>
      <c r="T73">
        <v>69</v>
      </c>
      <c r="U73" s="28" t="s">
        <v>140</v>
      </c>
      <c r="V73" t="s">
        <v>77</v>
      </c>
      <c r="W73" s="29" t="s">
        <v>141</v>
      </c>
    </row>
    <row r="74" spans="4:23">
      <c r="E74" s="10">
        <f t="shared" si="1"/>
        <v>0</v>
      </c>
      <c r="F74" s="10"/>
      <c r="G74" s="10"/>
      <c r="H74" s="10"/>
      <c r="I74" s="10"/>
      <c r="J74" s="14"/>
      <c r="K74" s="10"/>
      <c r="L74" s="14"/>
      <c r="M74" s="10"/>
      <c r="N74" s="10"/>
      <c r="O74" s="10"/>
      <c r="P74" s="10"/>
      <c r="Q74" s="10"/>
      <c r="R74" s="8"/>
      <c r="T74">
        <v>70</v>
      </c>
      <c r="U74" s="28" t="s">
        <v>143</v>
      </c>
      <c r="V74" t="s">
        <v>77</v>
      </c>
      <c r="W74" s="29" t="s">
        <v>142</v>
      </c>
    </row>
    <row r="75" spans="4:23" ht="13" thickBot="1">
      <c r="D75">
        <v>34</v>
      </c>
      <c r="E75" s="10">
        <f t="shared" si="1"/>
        <v>34</v>
      </c>
      <c r="F75" s="11"/>
      <c r="G75" s="10"/>
      <c r="H75" s="10"/>
      <c r="I75" s="10"/>
      <c r="J75" s="14" t="s">
        <v>49</v>
      </c>
      <c r="K75" s="9" t="str">
        <f>IF(OR(J72="",J78=""),"",+IF(J72&gt;J78,I72,I78))</f>
        <v/>
      </c>
      <c r="L75" s="16"/>
      <c r="M75" s="10"/>
      <c r="N75" s="10"/>
      <c r="O75" s="10"/>
      <c r="P75" s="10"/>
      <c r="Q75" s="10"/>
      <c r="R75" s="8"/>
      <c r="T75">
        <v>71</v>
      </c>
      <c r="U75" s="28" t="s">
        <v>145</v>
      </c>
      <c r="V75" t="s">
        <v>77</v>
      </c>
      <c r="W75" s="29" t="s">
        <v>146</v>
      </c>
    </row>
    <row r="76" spans="4:23" ht="13" thickBot="1">
      <c r="E76" s="12">
        <f t="shared" si="1"/>
        <v>0</v>
      </c>
      <c r="F76" s="13" t="s">
        <v>4</v>
      </c>
      <c r="G76" s="9" t="str">
        <f>IF(OR(F75="",F77=""),"",+IF(F75&gt;F77,E75,E77))</f>
        <v/>
      </c>
      <c r="H76" s="11"/>
      <c r="I76" s="10"/>
      <c r="J76" s="14"/>
      <c r="K76" s="10"/>
      <c r="L76" s="10"/>
      <c r="M76" s="10"/>
      <c r="N76" s="10"/>
      <c r="O76" s="10"/>
      <c r="P76" s="10"/>
      <c r="Q76" s="10"/>
      <c r="R76" s="8"/>
      <c r="T76">
        <v>72</v>
      </c>
      <c r="U76" s="28" t="s">
        <v>147</v>
      </c>
      <c r="V76" t="s">
        <v>77</v>
      </c>
      <c r="W76" s="29" t="s">
        <v>148</v>
      </c>
    </row>
    <row r="77" spans="4:23" ht="13" thickBot="1">
      <c r="D77">
        <v>35</v>
      </c>
      <c r="E77" s="21">
        <f t="shared" si="1"/>
        <v>35</v>
      </c>
      <c r="F77" s="16"/>
      <c r="G77" s="10"/>
      <c r="H77" s="13" t="s">
        <v>25</v>
      </c>
      <c r="I77" s="10"/>
      <c r="J77" s="14"/>
      <c r="K77" s="10"/>
      <c r="L77" s="10"/>
      <c r="M77" s="10"/>
      <c r="N77" s="10"/>
      <c r="O77" s="10"/>
      <c r="P77" s="10"/>
      <c r="Q77" s="10"/>
      <c r="R77" s="8"/>
    </row>
    <row r="78" spans="4:23" ht="13" thickBot="1">
      <c r="E78" s="10">
        <f t="shared" si="1"/>
        <v>0</v>
      </c>
      <c r="F78" s="10"/>
      <c r="G78" s="10"/>
      <c r="H78" s="14"/>
      <c r="I78" s="9" t="str">
        <f>IF(OR(H76="",H79=""),"",+IF(H76&gt;H79,G76,E79))</f>
        <v/>
      </c>
      <c r="J78" s="16"/>
      <c r="K78" s="10"/>
      <c r="L78" s="10"/>
      <c r="M78" s="10"/>
      <c r="N78" s="10"/>
      <c r="O78" s="10"/>
      <c r="P78" s="10"/>
      <c r="Q78" s="10"/>
      <c r="R78" s="8"/>
    </row>
    <row r="79" spans="4:23" ht="13" thickBot="1">
      <c r="D79">
        <v>36</v>
      </c>
      <c r="E79" s="9">
        <f t="shared" si="1"/>
        <v>36</v>
      </c>
      <c r="F79" s="9"/>
      <c r="G79" s="9">
        <f>E79</f>
        <v>36</v>
      </c>
      <c r="H79" s="16"/>
      <c r="I79" s="10"/>
      <c r="J79" s="10"/>
      <c r="K79" s="10"/>
      <c r="L79" s="10"/>
      <c r="M79" s="10"/>
      <c r="N79" s="10"/>
      <c r="O79" s="10"/>
      <c r="P79" s="10"/>
      <c r="Q79" s="10"/>
      <c r="R79" s="8"/>
    </row>
    <row r="80" spans="4:23">
      <c r="E80">
        <f t="shared" si="1"/>
        <v>0</v>
      </c>
      <c r="R80" s="8"/>
    </row>
    <row r="81" spans="4:18" ht="13" thickBot="1">
      <c r="E81">
        <f t="shared" si="1"/>
        <v>0</v>
      </c>
      <c r="Q81" s="28" t="s">
        <v>72</v>
      </c>
      <c r="R81" s="27"/>
    </row>
    <row r="82" spans="4:18" ht="13" thickBot="1">
      <c r="D82">
        <v>37</v>
      </c>
      <c r="E82" s="9">
        <f t="shared" si="1"/>
        <v>37</v>
      </c>
      <c r="F82" s="9"/>
      <c r="G82" s="9">
        <f>E82</f>
        <v>37</v>
      </c>
      <c r="H82" s="11"/>
      <c r="I82" s="10"/>
      <c r="J82" s="10"/>
      <c r="K82" s="10"/>
      <c r="L82" s="10"/>
      <c r="M82" s="10"/>
      <c r="N82" s="10"/>
      <c r="O82" s="10"/>
      <c r="P82" s="10"/>
      <c r="Q82" s="10"/>
      <c r="R82" s="8"/>
    </row>
    <row r="83" spans="4:18">
      <c r="E83" s="12">
        <f t="shared" si="1"/>
        <v>0</v>
      </c>
      <c r="F83" s="10"/>
      <c r="G83" s="10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8"/>
    </row>
    <row r="84" spans="4:18" ht="13" thickBot="1">
      <c r="E84" s="10">
        <f t="shared" si="1"/>
        <v>0</v>
      </c>
      <c r="F84" s="10"/>
      <c r="G84" s="10"/>
      <c r="H84" s="14" t="s">
        <v>26</v>
      </c>
      <c r="I84" s="9" t="str">
        <f>IF(OR(H82="",H86=""),"",+IF(H82&gt;H86,E82,G86))</f>
        <v/>
      </c>
      <c r="J84" s="11"/>
      <c r="K84" s="10"/>
      <c r="L84" s="10"/>
      <c r="M84" s="10"/>
      <c r="N84" s="10"/>
      <c r="O84" s="10"/>
      <c r="P84" s="10"/>
      <c r="Q84" s="10"/>
      <c r="R84" s="8"/>
    </row>
    <row r="85" spans="4:18" ht="13" thickBot="1">
      <c r="D85">
        <v>38</v>
      </c>
      <c r="E85" s="10">
        <f t="shared" si="1"/>
        <v>38</v>
      </c>
      <c r="F85" s="11"/>
      <c r="G85" s="10"/>
      <c r="H85" s="14"/>
      <c r="I85" s="10"/>
      <c r="J85" s="13"/>
      <c r="K85" s="10"/>
      <c r="L85" s="10"/>
      <c r="M85" s="10"/>
      <c r="N85" s="10"/>
      <c r="O85" s="10"/>
      <c r="P85" s="10"/>
      <c r="Q85" s="10"/>
      <c r="R85" s="8"/>
    </row>
    <row r="86" spans="4:18" ht="13" thickBot="1">
      <c r="E86" s="12">
        <f t="shared" si="1"/>
        <v>0</v>
      </c>
      <c r="F86" s="13" t="s">
        <v>5</v>
      </c>
      <c r="G86" s="9" t="str">
        <f>IF(OR(F85="",F87=""),"",+IF(F85&gt;F87,E85,E87))</f>
        <v/>
      </c>
      <c r="H86" s="16"/>
      <c r="I86" s="10"/>
      <c r="J86" s="14"/>
      <c r="K86" s="10"/>
      <c r="L86" s="10"/>
      <c r="M86" s="10"/>
      <c r="N86" s="10"/>
      <c r="O86" s="10"/>
      <c r="P86" s="10"/>
      <c r="Q86" s="10"/>
      <c r="R86" s="8"/>
    </row>
    <row r="87" spans="4:18" ht="13" thickBot="1">
      <c r="D87">
        <v>39</v>
      </c>
      <c r="E87" s="10">
        <f t="shared" si="1"/>
        <v>39</v>
      </c>
      <c r="F87" s="16"/>
      <c r="G87" s="10"/>
      <c r="H87" s="10"/>
      <c r="I87" s="10"/>
      <c r="J87" s="14" t="s">
        <v>50</v>
      </c>
      <c r="K87" s="9" t="str">
        <f>IF(OR(J84="",J90=""),"",+IF(J84&gt;J90,I84,I90))</f>
        <v/>
      </c>
      <c r="L87" s="17"/>
      <c r="M87" s="10"/>
      <c r="N87" s="10"/>
      <c r="O87" s="10"/>
      <c r="P87" s="10"/>
      <c r="Q87" s="10"/>
      <c r="R87" s="8"/>
    </row>
    <row r="88" spans="4:18">
      <c r="E88" s="12">
        <f t="shared" si="1"/>
        <v>0</v>
      </c>
      <c r="F88" s="10"/>
      <c r="G88" s="10"/>
      <c r="H88" s="10"/>
      <c r="I88" s="10"/>
      <c r="J88" s="14"/>
      <c r="K88" s="10"/>
      <c r="L88" s="10"/>
      <c r="M88" s="19"/>
      <c r="N88" s="10"/>
      <c r="O88" s="10"/>
      <c r="P88" s="10"/>
      <c r="Q88" s="10"/>
      <c r="R88" s="8"/>
    </row>
    <row r="89" spans="4:18" ht="13" thickBot="1">
      <c r="D89">
        <v>40</v>
      </c>
      <c r="E89" s="9">
        <f t="shared" si="1"/>
        <v>40</v>
      </c>
      <c r="F89" s="9"/>
      <c r="G89" s="9">
        <f>E89</f>
        <v>40</v>
      </c>
      <c r="H89" s="11"/>
      <c r="I89" s="10"/>
      <c r="J89" s="14"/>
      <c r="K89" s="10"/>
      <c r="L89" s="10"/>
      <c r="M89" s="19"/>
      <c r="N89" s="10"/>
      <c r="O89" s="10"/>
      <c r="P89" s="10"/>
      <c r="Q89" s="10"/>
      <c r="R89" s="8"/>
    </row>
    <row r="90" spans="4:18" ht="13" thickBot="1">
      <c r="E90" s="10">
        <f t="shared" si="1"/>
        <v>0</v>
      </c>
      <c r="F90" s="10"/>
      <c r="G90" s="10"/>
      <c r="H90" s="13" t="s">
        <v>27</v>
      </c>
      <c r="I90" s="9" t="str">
        <f>IF(OR(H89="",H91=""),"",+IF(H89&gt;H91,E89,E91))</f>
        <v/>
      </c>
      <c r="J90" s="16"/>
      <c r="K90" s="10"/>
      <c r="L90" s="10"/>
      <c r="M90" s="19"/>
      <c r="N90" s="10"/>
      <c r="O90" s="10"/>
      <c r="P90" s="10"/>
      <c r="Q90" s="10"/>
      <c r="R90" s="8"/>
    </row>
    <row r="91" spans="4:18" ht="13" thickBot="1">
      <c r="D91">
        <v>41</v>
      </c>
      <c r="E91" s="9">
        <f t="shared" si="1"/>
        <v>41</v>
      </c>
      <c r="F91" s="9"/>
      <c r="G91" s="9">
        <f>E91</f>
        <v>41</v>
      </c>
      <c r="H91" s="16"/>
      <c r="I91" s="10"/>
      <c r="J91" s="10"/>
      <c r="K91" s="10"/>
      <c r="L91" s="10"/>
      <c r="M91" s="19"/>
      <c r="N91" s="10"/>
      <c r="O91" s="10"/>
      <c r="P91" s="10"/>
      <c r="Q91" s="10"/>
      <c r="R91" s="8"/>
    </row>
    <row r="92" spans="4:18" ht="13" thickBot="1">
      <c r="E92" s="10">
        <f t="shared" si="1"/>
        <v>0</v>
      </c>
      <c r="F92" s="10"/>
      <c r="G92" s="10"/>
      <c r="H92" s="10"/>
      <c r="I92" s="10"/>
      <c r="J92" s="10"/>
      <c r="K92" s="10"/>
      <c r="L92" s="14" t="s">
        <v>62</v>
      </c>
      <c r="M92" s="9" t="str">
        <f>IF(OR(L87="",L96=""),"",+IF(L87&gt;L96,K87,K96))</f>
        <v/>
      </c>
      <c r="N92" s="17"/>
      <c r="O92" s="10"/>
      <c r="P92" s="10"/>
      <c r="Q92" s="10"/>
      <c r="R92" s="8"/>
    </row>
    <row r="93" spans="4:18" ht="13" thickBot="1">
      <c r="D93">
        <v>42</v>
      </c>
      <c r="E93" s="9">
        <f t="shared" si="1"/>
        <v>42</v>
      </c>
      <c r="F93" s="9"/>
      <c r="G93" s="9">
        <f>E93</f>
        <v>42</v>
      </c>
      <c r="H93" s="11"/>
      <c r="I93" s="10"/>
      <c r="J93" s="10"/>
      <c r="K93" s="10"/>
      <c r="L93" s="10"/>
      <c r="M93" s="19"/>
      <c r="N93" s="13"/>
      <c r="O93" s="10"/>
      <c r="P93" s="10"/>
      <c r="Q93" s="10"/>
      <c r="R93" s="8"/>
    </row>
    <row r="94" spans="4:18" ht="13" thickBot="1">
      <c r="E94" s="10">
        <f t="shared" si="1"/>
        <v>0</v>
      </c>
      <c r="F94" s="10"/>
      <c r="G94" s="12"/>
      <c r="H94" s="13" t="s">
        <v>28</v>
      </c>
      <c r="I94" s="9" t="str">
        <f>IF(OR(H93="",H95=""),"",+IF(H93&gt;H95,E93,E95))</f>
        <v/>
      </c>
      <c r="J94" s="17"/>
      <c r="K94" s="10"/>
      <c r="L94" s="10"/>
      <c r="M94" s="19"/>
      <c r="N94" s="14"/>
      <c r="O94" s="10"/>
      <c r="P94" s="10"/>
      <c r="Q94" s="10"/>
      <c r="R94" s="8"/>
    </row>
    <row r="95" spans="4:18" ht="13" thickBot="1">
      <c r="D95">
        <v>43</v>
      </c>
      <c r="E95" s="9">
        <f t="shared" si="1"/>
        <v>43</v>
      </c>
      <c r="F95" s="9"/>
      <c r="G95" s="9">
        <f>E95</f>
        <v>43</v>
      </c>
      <c r="H95" s="16"/>
      <c r="I95" s="10"/>
      <c r="J95" s="14"/>
      <c r="K95" s="10"/>
      <c r="L95" s="10"/>
      <c r="M95" s="19"/>
      <c r="N95" s="14"/>
      <c r="O95" s="10"/>
      <c r="P95" s="10"/>
      <c r="Q95" s="10"/>
      <c r="R95" s="8"/>
    </row>
    <row r="96" spans="4:18" ht="13" thickBot="1">
      <c r="E96" s="10">
        <f t="shared" si="1"/>
        <v>0</v>
      </c>
      <c r="F96" s="10"/>
      <c r="G96" s="12"/>
      <c r="H96" s="10"/>
      <c r="I96" s="10"/>
      <c r="J96" s="14" t="s">
        <v>51</v>
      </c>
      <c r="K96" s="9" t="str">
        <f>IF(OR(J94="",J98=""),"",+IF(J94&gt;J98,I94,I98))</f>
        <v/>
      </c>
      <c r="L96" s="16"/>
      <c r="M96" s="19"/>
      <c r="N96" s="14"/>
      <c r="O96" s="10"/>
      <c r="P96" s="10"/>
      <c r="Q96" s="10"/>
      <c r="R96" s="8"/>
    </row>
    <row r="97" spans="4:18" ht="13" thickBot="1">
      <c r="D97">
        <v>44</v>
      </c>
      <c r="E97" s="9">
        <f t="shared" si="1"/>
        <v>44</v>
      </c>
      <c r="F97" s="9"/>
      <c r="G97" s="9">
        <f>E97</f>
        <v>44</v>
      </c>
      <c r="H97" s="11"/>
      <c r="I97" s="10"/>
      <c r="J97" s="14"/>
      <c r="K97" s="10"/>
      <c r="L97" s="10"/>
      <c r="M97" s="10"/>
      <c r="N97" s="14"/>
      <c r="O97" s="10"/>
      <c r="P97" s="10"/>
      <c r="Q97" s="10"/>
      <c r="R97" s="8"/>
    </row>
    <row r="98" spans="4:18" ht="13" thickBot="1">
      <c r="E98" s="10">
        <f t="shared" si="1"/>
        <v>0</v>
      </c>
      <c r="F98" s="10"/>
      <c r="G98" s="12"/>
      <c r="H98" s="13" t="s">
        <v>29</v>
      </c>
      <c r="I98" s="9" t="str">
        <f>IF(OR(H97="",H99=""),"",+IF(H97&gt;H99,E97,E99))</f>
        <v/>
      </c>
      <c r="J98" s="16"/>
      <c r="K98" s="10"/>
      <c r="L98" s="10"/>
      <c r="M98" s="10"/>
      <c r="N98" s="14"/>
      <c r="O98" s="10"/>
      <c r="P98" s="10"/>
      <c r="Q98" s="10"/>
      <c r="R98" s="8"/>
    </row>
    <row r="99" spans="4:18" ht="13" thickBot="1">
      <c r="D99">
        <v>45</v>
      </c>
      <c r="E99" s="9">
        <f t="shared" si="1"/>
        <v>45</v>
      </c>
      <c r="F99" s="9"/>
      <c r="G99" s="9">
        <f>E99</f>
        <v>45</v>
      </c>
      <c r="H99" s="16"/>
      <c r="I99" s="10"/>
      <c r="J99" s="10"/>
      <c r="K99" s="10"/>
      <c r="L99" s="10"/>
      <c r="M99" s="10"/>
      <c r="N99" s="14"/>
      <c r="O99" s="10"/>
      <c r="P99" s="10"/>
      <c r="Q99" s="10"/>
      <c r="R99" s="8"/>
    </row>
    <row r="100" spans="4:18" ht="13" thickBot="1">
      <c r="E100" s="10">
        <f t="shared" si="1"/>
        <v>0</v>
      </c>
      <c r="F100" s="10"/>
      <c r="G100" s="10"/>
      <c r="H100" s="10"/>
      <c r="I100" s="10"/>
      <c r="J100" s="10"/>
      <c r="K100" s="10"/>
      <c r="L100" s="10"/>
      <c r="M100" s="10"/>
      <c r="N100" s="14" t="s">
        <v>68</v>
      </c>
      <c r="O100" s="9" t="str">
        <f>IF(OR(N92="",N108=""),"",+IF(N92&gt;N108,M92,M108))</f>
        <v/>
      </c>
      <c r="P100" s="17"/>
      <c r="Q100" s="10"/>
      <c r="R100" s="8"/>
    </row>
    <row r="101" spans="4:18" ht="13" thickBot="1">
      <c r="D101">
        <v>46</v>
      </c>
      <c r="E101" s="9">
        <f t="shared" si="1"/>
        <v>46</v>
      </c>
      <c r="F101" s="9"/>
      <c r="G101" s="9">
        <f>E101</f>
        <v>46</v>
      </c>
      <c r="H101" s="11"/>
      <c r="I101" s="10"/>
      <c r="J101" s="10"/>
      <c r="K101" s="10"/>
      <c r="L101" s="10"/>
      <c r="M101" s="10"/>
      <c r="N101" s="14"/>
      <c r="O101" s="10"/>
      <c r="P101" s="14"/>
      <c r="Q101" s="10"/>
      <c r="R101" s="8"/>
    </row>
    <row r="102" spans="4:18" ht="13" thickBot="1">
      <c r="E102" s="10">
        <f t="shared" si="1"/>
        <v>0</v>
      </c>
      <c r="F102" s="10"/>
      <c r="G102" s="12"/>
      <c r="H102" s="13" t="s">
        <v>30</v>
      </c>
      <c r="I102" s="9" t="str">
        <f>IF(OR(H101="",H103=""),"",+IF(H101&gt;H103,E101,E103))</f>
        <v/>
      </c>
      <c r="J102" s="17"/>
      <c r="K102" s="10"/>
      <c r="L102" s="10"/>
      <c r="M102" s="10"/>
      <c r="N102" s="14"/>
      <c r="O102" s="10"/>
      <c r="P102" s="14"/>
      <c r="Q102" s="10"/>
      <c r="R102" s="8"/>
    </row>
    <row r="103" spans="4:18" ht="13" thickBot="1">
      <c r="D103">
        <v>47</v>
      </c>
      <c r="E103" s="9">
        <f t="shared" si="1"/>
        <v>47</v>
      </c>
      <c r="F103" s="9"/>
      <c r="G103" s="9">
        <f>E103</f>
        <v>47</v>
      </c>
      <c r="H103" s="16"/>
      <c r="I103" s="10"/>
      <c r="J103" s="14"/>
      <c r="K103" s="10"/>
      <c r="L103" s="10"/>
      <c r="M103" s="10"/>
      <c r="N103" s="14"/>
      <c r="O103" s="10"/>
      <c r="P103" s="14"/>
      <c r="Q103" s="10"/>
      <c r="R103" s="8"/>
    </row>
    <row r="104" spans="4:18" ht="13" thickBot="1">
      <c r="E104" s="10">
        <f t="shared" si="1"/>
        <v>0</v>
      </c>
      <c r="F104" s="10"/>
      <c r="G104" s="12"/>
      <c r="H104" s="10"/>
      <c r="I104" s="10"/>
      <c r="J104" s="14" t="s">
        <v>52</v>
      </c>
      <c r="K104" s="9" t="str">
        <f>IF(OR(J102="",J106=""),"",+IF(J102&gt;J106,I102,I106))</f>
        <v/>
      </c>
      <c r="L104" s="17"/>
      <c r="M104" s="10"/>
      <c r="N104" s="14"/>
      <c r="O104" s="10"/>
      <c r="P104" s="14"/>
      <c r="Q104" s="10"/>
      <c r="R104" s="8"/>
    </row>
    <row r="105" spans="4:18" ht="13" thickBot="1">
      <c r="D105">
        <v>48</v>
      </c>
      <c r="E105" s="9">
        <f t="shared" si="1"/>
        <v>48</v>
      </c>
      <c r="F105" s="9"/>
      <c r="G105" s="9">
        <f>E105</f>
        <v>48</v>
      </c>
      <c r="H105" s="11"/>
      <c r="I105" s="10"/>
      <c r="J105" s="14"/>
      <c r="K105" s="10"/>
      <c r="L105" s="14"/>
      <c r="M105" s="10"/>
      <c r="N105" s="14"/>
      <c r="O105" s="10"/>
      <c r="P105" s="14"/>
      <c r="Q105" s="10"/>
      <c r="R105" s="8"/>
    </row>
    <row r="106" spans="4:18" ht="13" thickBot="1">
      <c r="E106" s="10">
        <f t="shared" si="1"/>
        <v>0</v>
      </c>
      <c r="F106" s="10"/>
      <c r="G106" s="12"/>
      <c r="H106" s="13" t="s">
        <v>31</v>
      </c>
      <c r="I106" s="9" t="str">
        <f>IF(OR(H105="",H107=""),"",+IF(H105&gt;H107,E105,E107))</f>
        <v/>
      </c>
      <c r="J106" s="16"/>
      <c r="K106" s="10"/>
      <c r="L106" s="14"/>
      <c r="M106" s="10"/>
      <c r="N106" s="14"/>
      <c r="O106" s="10"/>
      <c r="P106" s="14"/>
      <c r="Q106" s="10"/>
      <c r="R106" s="8"/>
    </row>
    <row r="107" spans="4:18" ht="13" thickBot="1">
      <c r="D107">
        <v>49</v>
      </c>
      <c r="E107" s="9">
        <f t="shared" si="1"/>
        <v>49</v>
      </c>
      <c r="F107" s="9"/>
      <c r="G107" s="9">
        <f>E107</f>
        <v>49</v>
      </c>
      <c r="H107" s="16"/>
      <c r="I107" s="10"/>
      <c r="J107" s="10"/>
      <c r="K107" s="10"/>
      <c r="L107" s="14"/>
      <c r="M107" s="10"/>
      <c r="N107" s="14"/>
      <c r="O107" s="10"/>
      <c r="P107" s="14"/>
      <c r="Q107" s="10"/>
      <c r="R107" s="8"/>
    </row>
    <row r="108" spans="4:18" ht="13" thickBot="1">
      <c r="E108" s="10">
        <f t="shared" si="1"/>
        <v>0</v>
      </c>
      <c r="F108" s="10"/>
      <c r="G108" s="10"/>
      <c r="H108" s="10"/>
      <c r="I108" s="10"/>
      <c r="J108" s="10"/>
      <c r="K108" s="10"/>
      <c r="L108" s="14" t="s">
        <v>63</v>
      </c>
      <c r="M108" s="9" t="str">
        <f>IF(OR(L104="",L113=""),"",+IF(L104&gt;L113,K104,K113))</f>
        <v/>
      </c>
      <c r="N108" s="16"/>
      <c r="O108" s="10"/>
      <c r="P108" s="14"/>
      <c r="Q108" s="10"/>
      <c r="R108" s="8"/>
    </row>
    <row r="109" spans="4:18" ht="13" thickBot="1">
      <c r="D109">
        <v>50</v>
      </c>
      <c r="E109" s="9">
        <f t="shared" si="1"/>
        <v>50</v>
      </c>
      <c r="F109" s="9"/>
      <c r="G109" s="9">
        <f>E109</f>
        <v>50</v>
      </c>
      <c r="H109" s="11"/>
      <c r="I109" s="10"/>
      <c r="J109" s="10"/>
      <c r="K109" s="10"/>
      <c r="L109" s="14"/>
      <c r="M109" s="10"/>
      <c r="N109" s="10"/>
      <c r="O109" s="10"/>
      <c r="P109" s="14"/>
      <c r="Q109" s="10"/>
      <c r="R109" s="8"/>
    </row>
    <row r="110" spans="4:18" ht="13" thickBot="1">
      <c r="E110" s="10">
        <f t="shared" si="1"/>
        <v>0</v>
      </c>
      <c r="F110" s="10"/>
      <c r="G110" s="12"/>
      <c r="H110" s="13" t="s">
        <v>32</v>
      </c>
      <c r="I110" s="9" t="str">
        <f>IF(OR(H109="",H111=""),"",+IF(H109&gt;H111,E109,E111))</f>
        <v/>
      </c>
      <c r="J110" s="17"/>
      <c r="K110" s="10"/>
      <c r="L110" s="14"/>
      <c r="M110" s="10"/>
      <c r="N110" s="10"/>
      <c r="O110" s="10"/>
      <c r="P110" s="14"/>
      <c r="Q110" s="10"/>
      <c r="R110" s="8"/>
    </row>
    <row r="111" spans="4:18" ht="13" thickBot="1">
      <c r="D111">
        <v>51</v>
      </c>
      <c r="E111" s="9">
        <f t="shared" si="1"/>
        <v>51</v>
      </c>
      <c r="F111" s="9"/>
      <c r="G111" s="9">
        <f>E111</f>
        <v>51</v>
      </c>
      <c r="H111" s="16"/>
      <c r="I111" s="10"/>
      <c r="J111" s="14"/>
      <c r="K111" s="10"/>
      <c r="L111" s="14"/>
      <c r="M111" s="10"/>
      <c r="N111" s="10"/>
      <c r="O111" s="10"/>
      <c r="P111" s="14"/>
      <c r="Q111" s="10"/>
      <c r="R111" s="8"/>
    </row>
    <row r="112" spans="4:18">
      <c r="E112" s="10">
        <f t="shared" si="1"/>
        <v>0</v>
      </c>
      <c r="F112" s="10"/>
      <c r="G112" s="10"/>
      <c r="H112" s="10"/>
      <c r="I112" s="10"/>
      <c r="J112" s="14"/>
      <c r="K112" s="10"/>
      <c r="L112" s="14"/>
      <c r="M112" s="10"/>
      <c r="N112" s="10"/>
      <c r="O112" s="10"/>
      <c r="P112" s="14"/>
      <c r="Q112" s="10"/>
      <c r="R112" s="8"/>
    </row>
    <row r="113" spans="4:18" ht="13" thickBot="1">
      <c r="D113">
        <v>52</v>
      </c>
      <c r="E113" s="10">
        <f t="shared" si="1"/>
        <v>52</v>
      </c>
      <c r="F113" s="11"/>
      <c r="G113" s="10"/>
      <c r="H113" s="10"/>
      <c r="I113" s="10"/>
      <c r="J113" s="14" t="s">
        <v>53</v>
      </c>
      <c r="K113" s="9" t="str">
        <f>IF(OR(J110="",J116=""),"",+IF(J110&gt;J116,I110,I116))</f>
        <v/>
      </c>
      <c r="L113" s="16"/>
      <c r="M113" s="10"/>
      <c r="N113" s="10"/>
      <c r="O113" s="10"/>
      <c r="P113" s="14"/>
      <c r="Q113" s="10"/>
      <c r="R113" s="8"/>
    </row>
    <row r="114" spans="4:18" ht="13" thickBot="1">
      <c r="E114" s="12">
        <f t="shared" si="1"/>
        <v>0</v>
      </c>
      <c r="F114" s="13" t="s">
        <v>6</v>
      </c>
      <c r="G114" s="9" t="str">
        <f>IF(OR(F113="",F115=""),"",+IF(F113&gt;F115,E113,E115))</f>
        <v/>
      </c>
      <c r="H114" s="11"/>
      <c r="I114" s="10"/>
      <c r="J114" s="14"/>
      <c r="K114" s="10"/>
      <c r="L114" s="10"/>
      <c r="M114" s="10"/>
      <c r="N114" s="10"/>
      <c r="O114" s="10"/>
      <c r="P114" s="14"/>
      <c r="Q114" s="10"/>
      <c r="R114" s="8"/>
    </row>
    <row r="115" spans="4:18" ht="13" thickBot="1">
      <c r="D115">
        <v>53</v>
      </c>
      <c r="E115" s="9">
        <f t="shared" si="1"/>
        <v>53</v>
      </c>
      <c r="F115" s="16"/>
      <c r="G115" s="10"/>
      <c r="H115" s="13" t="s">
        <v>33</v>
      </c>
      <c r="I115" s="10"/>
      <c r="J115" s="14"/>
      <c r="K115" s="10"/>
      <c r="L115" s="10"/>
      <c r="M115" s="10"/>
      <c r="N115" s="10"/>
      <c r="O115" s="10"/>
      <c r="P115" s="14"/>
      <c r="Q115" s="10"/>
      <c r="R115" s="8"/>
    </row>
    <row r="116" spans="4:18" ht="13" thickBot="1">
      <c r="E116" s="10">
        <f t="shared" si="1"/>
        <v>0</v>
      </c>
      <c r="F116" s="10"/>
      <c r="G116" s="10"/>
      <c r="H116" s="14"/>
      <c r="I116" s="9" t="str">
        <f>IF(OR(H114="",H117=""),"",+IF(H114&gt;H117,G114,E117))</f>
        <v/>
      </c>
      <c r="J116" s="16"/>
      <c r="K116" s="10"/>
      <c r="L116" s="10"/>
      <c r="M116" s="10"/>
      <c r="N116" s="10"/>
      <c r="O116" s="10"/>
      <c r="P116" s="14"/>
      <c r="Q116" s="10"/>
      <c r="R116" s="8"/>
    </row>
    <row r="117" spans="4:18" ht="13" thickBot="1">
      <c r="D117">
        <v>54</v>
      </c>
      <c r="E117" s="9">
        <f t="shared" si="1"/>
        <v>54</v>
      </c>
      <c r="F117" s="9"/>
      <c r="G117" s="9">
        <f>E117</f>
        <v>54</v>
      </c>
      <c r="H117" s="16"/>
      <c r="I117" s="10"/>
      <c r="J117" s="10"/>
      <c r="K117" s="10"/>
      <c r="L117" s="10"/>
      <c r="M117" s="10"/>
      <c r="N117" s="10"/>
      <c r="O117" s="10"/>
      <c r="P117" s="14"/>
      <c r="Q117" s="10"/>
      <c r="R117" s="8"/>
    </row>
    <row r="118" spans="4:18" ht="13" thickBot="1">
      <c r="E118" s="10">
        <f t="shared" si="1"/>
        <v>0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4" t="s">
        <v>71</v>
      </c>
      <c r="Q118" s="9" t="str">
        <f>IF(OR(P100="",P138=""),"",+IF(P100&gt;P138,O100,O138))</f>
        <v/>
      </c>
      <c r="R118" s="8"/>
    </row>
    <row r="119" spans="4:18" ht="13" thickBot="1">
      <c r="D119">
        <v>55</v>
      </c>
      <c r="E119" s="9">
        <f t="shared" si="1"/>
        <v>55</v>
      </c>
      <c r="F119" s="9"/>
      <c r="G119" s="9">
        <f>E119</f>
        <v>55</v>
      </c>
      <c r="H119" s="11"/>
      <c r="I119" s="10"/>
      <c r="J119" s="10"/>
      <c r="K119" s="10"/>
      <c r="L119" s="10"/>
      <c r="M119" s="10"/>
      <c r="N119" s="10"/>
      <c r="O119" s="10"/>
      <c r="P119" s="14"/>
      <c r="Q119" s="10"/>
    </row>
    <row r="120" spans="4:18">
      <c r="E120" s="12">
        <f t="shared" si="1"/>
        <v>0</v>
      </c>
      <c r="F120" s="10"/>
      <c r="G120" s="10"/>
      <c r="H120" s="13"/>
      <c r="I120" s="10"/>
      <c r="J120" s="10"/>
      <c r="K120" s="10"/>
      <c r="L120" s="10"/>
      <c r="M120" s="10"/>
      <c r="N120" s="10"/>
      <c r="O120" s="10"/>
      <c r="P120" s="14"/>
      <c r="Q120" s="10"/>
    </row>
    <row r="121" spans="4:18" ht="13" thickBot="1">
      <c r="E121" s="10">
        <f t="shared" si="1"/>
        <v>0</v>
      </c>
      <c r="F121" s="10"/>
      <c r="G121" s="10"/>
      <c r="H121" s="14" t="s">
        <v>34</v>
      </c>
      <c r="I121" s="9" t="str">
        <f>IF(OR(H119="",H123=""),"",+IF(H119&gt;H123,E119,G123))</f>
        <v/>
      </c>
      <c r="J121" s="11"/>
      <c r="K121" s="10"/>
      <c r="L121" s="10"/>
      <c r="M121" s="10"/>
      <c r="N121" s="10"/>
      <c r="O121" s="10"/>
      <c r="P121" s="14"/>
      <c r="Q121" s="10"/>
    </row>
    <row r="122" spans="4:18" ht="13" thickBot="1">
      <c r="D122">
        <v>56</v>
      </c>
      <c r="E122" s="10">
        <f t="shared" si="1"/>
        <v>56</v>
      </c>
      <c r="F122" s="11"/>
      <c r="G122" s="10"/>
      <c r="H122" s="14"/>
      <c r="I122" s="10"/>
      <c r="J122" s="13"/>
      <c r="K122" s="10"/>
      <c r="L122" s="10"/>
      <c r="M122" s="10"/>
      <c r="N122" s="10"/>
      <c r="O122" s="10"/>
      <c r="P122" s="14"/>
      <c r="Q122" s="10"/>
    </row>
    <row r="123" spans="4:18" ht="13" thickBot="1">
      <c r="E123" s="12">
        <f t="shared" si="1"/>
        <v>0</v>
      </c>
      <c r="F123" s="13" t="s">
        <v>7</v>
      </c>
      <c r="G123" s="9" t="str">
        <f>IF(OR(F122="",F124=""),"",+IF(F122&gt;F124,E122,E124))</f>
        <v/>
      </c>
      <c r="H123" s="16"/>
      <c r="I123" s="10"/>
      <c r="J123" s="14"/>
      <c r="K123" s="10"/>
      <c r="L123" s="10"/>
      <c r="M123" s="10"/>
      <c r="N123" s="10"/>
      <c r="O123" s="10"/>
      <c r="P123" s="14"/>
      <c r="Q123" s="10"/>
    </row>
    <row r="124" spans="4:18" ht="13" thickBot="1">
      <c r="D124">
        <v>57</v>
      </c>
      <c r="E124" s="10">
        <f t="shared" si="1"/>
        <v>57</v>
      </c>
      <c r="F124" s="16"/>
      <c r="G124" s="10"/>
      <c r="H124" s="10"/>
      <c r="I124" s="10"/>
      <c r="J124" s="14" t="s">
        <v>54</v>
      </c>
      <c r="K124" s="9" t="str">
        <f>IF(OR(J121="",J127=""),"",+IF(J121&gt;J127,I121,I127))</f>
        <v/>
      </c>
      <c r="L124" s="17"/>
      <c r="M124" s="10"/>
      <c r="N124" s="10"/>
      <c r="O124" s="10"/>
      <c r="P124" s="14"/>
      <c r="Q124" s="10"/>
    </row>
    <row r="125" spans="4:18">
      <c r="E125" s="12">
        <f t="shared" si="1"/>
        <v>0</v>
      </c>
      <c r="F125" s="10"/>
      <c r="G125" s="10"/>
      <c r="H125" s="10"/>
      <c r="I125" s="10"/>
      <c r="J125" s="14"/>
      <c r="K125" s="10"/>
      <c r="L125" s="10"/>
      <c r="M125" s="19"/>
      <c r="N125" s="10"/>
      <c r="O125" s="10"/>
      <c r="P125" s="14"/>
      <c r="Q125" s="10"/>
    </row>
    <row r="126" spans="4:18" ht="13" thickBot="1">
      <c r="D126">
        <v>58</v>
      </c>
      <c r="E126" s="9">
        <f t="shared" si="1"/>
        <v>58</v>
      </c>
      <c r="F126" s="9"/>
      <c r="G126" s="9">
        <f>E126</f>
        <v>58</v>
      </c>
      <c r="H126" s="11"/>
      <c r="I126" s="10"/>
      <c r="J126" s="14"/>
      <c r="K126" s="10"/>
      <c r="L126" s="10"/>
      <c r="M126" s="19"/>
      <c r="N126" s="10"/>
      <c r="O126" s="10"/>
      <c r="P126" s="14"/>
      <c r="Q126" s="10"/>
    </row>
    <row r="127" spans="4:18" ht="13" thickBot="1">
      <c r="E127" s="10">
        <f t="shared" si="1"/>
        <v>0</v>
      </c>
      <c r="F127" s="10"/>
      <c r="G127" s="10"/>
      <c r="H127" s="13" t="s">
        <v>35</v>
      </c>
      <c r="I127" s="9" t="str">
        <f>IF(OR(H126="",H128=""),"",+IF(H126&gt;H128,E126,E128))</f>
        <v/>
      </c>
      <c r="J127" s="16"/>
      <c r="K127" s="10"/>
      <c r="L127" s="10"/>
      <c r="M127" s="19"/>
      <c r="N127" s="10"/>
      <c r="O127" s="10"/>
      <c r="P127" s="14"/>
      <c r="Q127" s="10"/>
    </row>
    <row r="128" spans="4:18" ht="13" thickBot="1">
      <c r="D128">
        <v>59</v>
      </c>
      <c r="E128" s="9">
        <f t="shared" si="1"/>
        <v>59</v>
      </c>
      <c r="F128" s="9"/>
      <c r="G128" s="9">
        <f>E128</f>
        <v>59</v>
      </c>
      <c r="H128" s="11"/>
      <c r="I128" s="10"/>
      <c r="J128" s="10"/>
      <c r="K128" s="10"/>
      <c r="L128" s="10"/>
      <c r="M128" s="19"/>
      <c r="N128" s="10"/>
      <c r="O128" s="10"/>
      <c r="P128" s="14"/>
      <c r="Q128" s="10"/>
    </row>
    <row r="129" spans="4:17" ht="13" thickBot="1">
      <c r="E129" s="10">
        <f t="shared" si="1"/>
        <v>0</v>
      </c>
      <c r="F129" s="10"/>
      <c r="G129" s="10"/>
      <c r="H129" s="10"/>
      <c r="I129" s="10"/>
      <c r="J129" s="10"/>
      <c r="K129" s="10"/>
      <c r="L129" s="14" t="s">
        <v>64</v>
      </c>
      <c r="M129" s="9" t="str">
        <f>IF(OR(L124="",L133=""),"",+IF(L124&gt;L133,K124,K133))</f>
        <v/>
      </c>
      <c r="N129" s="17"/>
      <c r="O129" s="10"/>
      <c r="P129" s="14"/>
      <c r="Q129" s="10"/>
    </row>
    <row r="130" spans="4:17" ht="13" thickBot="1">
      <c r="D130">
        <v>60</v>
      </c>
      <c r="E130" s="9">
        <f t="shared" si="1"/>
        <v>60</v>
      </c>
      <c r="F130" s="9"/>
      <c r="G130" s="9">
        <f>E130</f>
        <v>60</v>
      </c>
      <c r="H130" s="11"/>
      <c r="I130" s="10"/>
      <c r="J130" s="10"/>
      <c r="K130" s="10"/>
      <c r="L130" s="10"/>
      <c r="M130" s="19"/>
      <c r="N130" s="13"/>
      <c r="O130" s="10"/>
      <c r="P130" s="14"/>
      <c r="Q130" s="10"/>
    </row>
    <row r="131" spans="4:17" ht="13" thickBot="1">
      <c r="E131" s="10">
        <f t="shared" si="1"/>
        <v>0</v>
      </c>
      <c r="F131" s="10"/>
      <c r="G131" s="12"/>
      <c r="H131" s="13" t="s">
        <v>36</v>
      </c>
      <c r="I131" s="9" t="str">
        <f>IF(OR(H130="",H132=""),"",+IF(H130&gt;H132,E130,E132))</f>
        <v/>
      </c>
      <c r="J131" s="17"/>
      <c r="K131" s="10"/>
      <c r="L131" s="10"/>
      <c r="M131" s="19"/>
      <c r="N131" s="14"/>
      <c r="O131" s="10"/>
      <c r="P131" s="14"/>
      <c r="Q131" s="10"/>
    </row>
    <row r="132" spans="4:17" ht="13" thickBot="1">
      <c r="D132">
        <v>61</v>
      </c>
      <c r="E132" s="9">
        <f t="shared" si="1"/>
        <v>61</v>
      </c>
      <c r="F132" s="9"/>
      <c r="G132" s="9">
        <f>E132</f>
        <v>61</v>
      </c>
      <c r="H132" s="16"/>
      <c r="I132" s="10"/>
      <c r="J132" s="14"/>
      <c r="K132" s="10"/>
      <c r="L132" s="10"/>
      <c r="M132" s="19"/>
      <c r="N132" s="14"/>
      <c r="O132" s="10"/>
      <c r="P132" s="14"/>
      <c r="Q132" s="10"/>
    </row>
    <row r="133" spans="4:17" ht="13" thickBot="1">
      <c r="E133" s="10">
        <f t="shared" si="1"/>
        <v>0</v>
      </c>
      <c r="F133" s="10"/>
      <c r="G133" s="12"/>
      <c r="H133" s="10"/>
      <c r="I133" s="10"/>
      <c r="J133" s="14" t="s">
        <v>55</v>
      </c>
      <c r="K133" s="9" t="str">
        <f>IF(OR(J131="",J135=""),"",+IF(J131&gt;J135,I131,I135))</f>
        <v/>
      </c>
      <c r="L133" s="16"/>
      <c r="M133" s="19"/>
      <c r="N133" s="14"/>
      <c r="O133" s="10"/>
      <c r="P133" s="14"/>
      <c r="Q133" s="10"/>
    </row>
    <row r="134" spans="4:17" ht="13" thickBot="1">
      <c r="D134">
        <v>62</v>
      </c>
      <c r="E134" s="9">
        <f t="shared" si="1"/>
        <v>62</v>
      </c>
      <c r="F134" s="9"/>
      <c r="G134" s="9">
        <f>E134</f>
        <v>62</v>
      </c>
      <c r="H134" s="11"/>
      <c r="I134" s="10"/>
      <c r="J134" s="14"/>
      <c r="K134" s="10"/>
      <c r="L134" s="10"/>
      <c r="M134" s="10"/>
      <c r="N134" s="14"/>
      <c r="O134" s="10"/>
      <c r="P134" s="14"/>
      <c r="Q134" s="10"/>
    </row>
    <row r="135" spans="4:17" ht="13" thickBot="1">
      <c r="E135" s="10">
        <f t="shared" si="1"/>
        <v>0</v>
      </c>
      <c r="F135" s="10"/>
      <c r="G135" s="12"/>
      <c r="H135" s="13" t="s">
        <v>37</v>
      </c>
      <c r="I135" s="9" t="str">
        <f>IF(OR(H134="",H136=""),"",+IF(H134&gt;H136,E134,E136))</f>
        <v/>
      </c>
      <c r="J135" s="16"/>
      <c r="K135" s="10"/>
      <c r="L135" s="10"/>
      <c r="M135" s="10"/>
      <c r="N135" s="14"/>
      <c r="O135" s="10"/>
      <c r="P135" s="14"/>
      <c r="Q135" s="10"/>
    </row>
    <row r="136" spans="4:17" ht="13" thickBot="1">
      <c r="D136">
        <v>63</v>
      </c>
      <c r="E136" s="9">
        <f t="shared" ref="E136:E157" si="2">D136</f>
        <v>63</v>
      </c>
      <c r="F136" s="9"/>
      <c r="G136" s="9">
        <f>E136</f>
        <v>63</v>
      </c>
      <c r="H136" s="16"/>
      <c r="I136" s="10"/>
      <c r="J136" s="10"/>
      <c r="K136" s="10"/>
      <c r="L136" s="10"/>
      <c r="M136" s="10"/>
      <c r="N136" s="14"/>
      <c r="O136" s="10"/>
      <c r="P136" s="14"/>
      <c r="Q136" s="10"/>
    </row>
    <row r="137" spans="4:17">
      <c r="E137" s="10">
        <f t="shared" si="2"/>
        <v>0</v>
      </c>
      <c r="F137" s="10"/>
      <c r="G137" s="10"/>
      <c r="H137" s="10"/>
      <c r="I137" s="10"/>
      <c r="J137" s="10"/>
      <c r="K137" s="10"/>
      <c r="L137" s="10"/>
      <c r="M137" s="10"/>
      <c r="N137" s="14"/>
      <c r="O137" s="10"/>
      <c r="P137" s="14"/>
      <c r="Q137" s="10"/>
    </row>
    <row r="138" spans="4:17" ht="13" thickBot="1">
      <c r="D138">
        <v>64</v>
      </c>
      <c r="E138" s="10">
        <f t="shared" si="2"/>
        <v>64</v>
      </c>
      <c r="F138" s="9"/>
      <c r="G138" s="9">
        <f>E138</f>
        <v>64</v>
      </c>
      <c r="H138" s="11"/>
      <c r="I138" s="10"/>
      <c r="J138" s="10"/>
      <c r="K138" s="10"/>
      <c r="L138" s="10"/>
      <c r="M138" s="10"/>
      <c r="N138" s="14" t="s">
        <v>69</v>
      </c>
      <c r="O138" s="9" t="str">
        <f>IF(OR(N129="",N148=""),"",+IF(N129&gt;N148,M129,M148))</f>
        <v/>
      </c>
      <c r="P138" s="16"/>
      <c r="Q138" s="10"/>
    </row>
    <row r="139" spans="4:17">
      <c r="E139" s="12">
        <f t="shared" si="2"/>
        <v>0</v>
      </c>
      <c r="F139" s="10"/>
      <c r="G139" s="10"/>
      <c r="H139" s="13"/>
      <c r="I139" s="10"/>
      <c r="J139" s="10"/>
      <c r="K139" s="10"/>
      <c r="L139" s="10"/>
      <c r="M139" s="10"/>
      <c r="N139" s="14"/>
      <c r="O139" s="10"/>
      <c r="P139" s="10"/>
      <c r="Q139" s="10"/>
    </row>
    <row r="140" spans="4:17" ht="13" thickBot="1">
      <c r="E140" s="10">
        <f t="shared" si="2"/>
        <v>0</v>
      </c>
      <c r="F140" s="10"/>
      <c r="G140" s="10"/>
      <c r="H140" s="14" t="s">
        <v>38</v>
      </c>
      <c r="I140" s="9" t="str">
        <f>IF(OR(H138="",H142=""),"",+IF(H138&gt;H142,G138,G142))</f>
        <v/>
      </c>
      <c r="J140" s="11"/>
      <c r="K140" s="10"/>
      <c r="L140" s="10"/>
      <c r="M140" s="10"/>
      <c r="N140" s="14"/>
      <c r="O140" s="10"/>
      <c r="P140" s="10"/>
      <c r="Q140" s="10"/>
    </row>
    <row r="141" spans="4:17" ht="13" thickBot="1">
      <c r="D141">
        <v>65</v>
      </c>
      <c r="E141" s="10">
        <f t="shared" si="2"/>
        <v>65</v>
      </c>
      <c r="F141" s="11"/>
      <c r="G141" s="10"/>
      <c r="H141" s="14"/>
      <c r="I141" s="10"/>
      <c r="J141" s="13"/>
      <c r="K141" s="10"/>
      <c r="L141" s="10"/>
      <c r="M141" s="10"/>
      <c r="N141" s="14"/>
      <c r="O141" s="10"/>
      <c r="P141" s="10"/>
      <c r="Q141" s="10"/>
    </row>
    <row r="142" spans="4:17" ht="13" thickBot="1">
      <c r="E142" s="12">
        <f t="shared" si="2"/>
        <v>0</v>
      </c>
      <c r="F142" s="13" t="s">
        <v>8</v>
      </c>
      <c r="G142" s="9" t="str">
        <f>IF(OR(F141="",F143=""),"",+IF(F141&gt;F143,E141,E143))</f>
        <v/>
      </c>
      <c r="H142" s="16"/>
      <c r="I142" s="10"/>
      <c r="J142" s="14"/>
      <c r="K142" s="10"/>
      <c r="L142" s="10"/>
      <c r="M142" s="10"/>
      <c r="N142" s="14"/>
      <c r="O142" s="10"/>
      <c r="P142" s="10"/>
      <c r="Q142" s="10"/>
    </row>
    <row r="143" spans="4:17" ht="13" thickBot="1">
      <c r="D143">
        <v>66</v>
      </c>
      <c r="E143" s="10">
        <f t="shared" si="2"/>
        <v>66</v>
      </c>
      <c r="F143" s="16"/>
      <c r="G143" s="10"/>
      <c r="H143" s="10"/>
      <c r="I143" s="10"/>
      <c r="J143" s="14" t="s">
        <v>56</v>
      </c>
      <c r="K143" s="9" t="str">
        <f>IF(OR(J140="",J146=""),"",+IF(J140&gt;J146,I140,I146))</f>
        <v/>
      </c>
      <c r="L143" s="11"/>
      <c r="M143" s="10"/>
      <c r="N143" s="14"/>
      <c r="O143" s="10"/>
      <c r="P143" s="10"/>
      <c r="Q143" s="10"/>
    </row>
    <row r="144" spans="4:17">
      <c r="E144" s="12">
        <f t="shared" si="2"/>
        <v>0</v>
      </c>
      <c r="F144" s="10"/>
      <c r="G144" s="10"/>
      <c r="H144" s="10"/>
      <c r="I144" s="10"/>
      <c r="J144" s="14"/>
      <c r="K144" s="12"/>
      <c r="L144" s="13"/>
      <c r="M144" s="10"/>
      <c r="N144" s="14"/>
      <c r="O144" s="10"/>
      <c r="P144" s="10"/>
      <c r="Q144" s="10"/>
    </row>
    <row r="145" spans="4:17" ht="13" thickBot="1">
      <c r="D145">
        <v>67</v>
      </c>
      <c r="E145" s="9">
        <f t="shared" si="2"/>
        <v>67</v>
      </c>
      <c r="F145" s="9"/>
      <c r="G145" s="9">
        <f>E145</f>
        <v>67</v>
      </c>
      <c r="H145" s="11"/>
      <c r="I145" s="10"/>
      <c r="J145" s="14"/>
      <c r="K145" s="10"/>
      <c r="L145" s="14"/>
      <c r="M145" s="10"/>
      <c r="N145" s="14"/>
      <c r="O145" s="10"/>
      <c r="P145" s="10"/>
      <c r="Q145" s="10"/>
    </row>
    <row r="146" spans="4:17" ht="13" thickBot="1">
      <c r="E146" s="10">
        <f t="shared" si="2"/>
        <v>0</v>
      </c>
      <c r="F146" s="10"/>
      <c r="G146" s="10"/>
      <c r="H146" s="13" t="s">
        <v>39</v>
      </c>
      <c r="I146" s="9" t="str">
        <f>IF(OR(H145="",H147=""),"",+IF(H145&gt;H147,E145,E147))</f>
        <v/>
      </c>
      <c r="J146" s="16"/>
      <c r="K146" s="10"/>
      <c r="L146" s="14"/>
      <c r="M146" s="10"/>
      <c r="N146" s="14"/>
      <c r="O146" s="10"/>
      <c r="P146" s="10"/>
      <c r="Q146" s="10"/>
    </row>
    <row r="147" spans="4:17" ht="13" thickBot="1">
      <c r="D147">
        <v>68</v>
      </c>
      <c r="E147" s="9">
        <f t="shared" si="2"/>
        <v>68</v>
      </c>
      <c r="F147" s="9"/>
      <c r="G147" s="9">
        <f>E147</f>
        <v>68</v>
      </c>
      <c r="H147" s="16"/>
      <c r="I147" s="10"/>
      <c r="J147" s="10"/>
      <c r="K147" s="10"/>
      <c r="L147" s="14"/>
      <c r="M147" s="10"/>
      <c r="N147" s="14"/>
      <c r="O147" s="10"/>
      <c r="P147" s="10"/>
      <c r="Q147" s="10"/>
    </row>
    <row r="148" spans="4:17" ht="13" thickBot="1">
      <c r="E148" s="10">
        <f t="shared" si="2"/>
        <v>0</v>
      </c>
      <c r="F148" s="10"/>
      <c r="G148" s="10"/>
      <c r="H148" s="10"/>
      <c r="I148" s="10"/>
      <c r="J148" s="10"/>
      <c r="K148" s="10"/>
      <c r="L148" s="14" t="s">
        <v>65</v>
      </c>
      <c r="M148" s="9" t="str">
        <f>IF(OR(L143="",L153=""),"",+IF(L143&gt;L153,K143,K153))</f>
        <v/>
      </c>
      <c r="N148" s="16"/>
      <c r="O148" s="10"/>
      <c r="P148" s="10"/>
      <c r="Q148" s="10"/>
    </row>
    <row r="149" spans="4:17" ht="13" thickBot="1">
      <c r="D149">
        <v>69</v>
      </c>
      <c r="E149" s="9">
        <f t="shared" si="2"/>
        <v>69</v>
      </c>
      <c r="F149" s="9"/>
      <c r="G149" s="9">
        <f>E149</f>
        <v>69</v>
      </c>
      <c r="H149" s="11"/>
      <c r="I149" s="10"/>
      <c r="J149" s="10"/>
      <c r="K149" s="10"/>
      <c r="L149" s="14"/>
      <c r="M149" s="10"/>
      <c r="N149" s="10"/>
      <c r="O149" s="10"/>
      <c r="P149" s="10"/>
      <c r="Q149" s="10"/>
    </row>
    <row r="150" spans="4:17" ht="13" thickBot="1">
      <c r="E150" s="10">
        <f t="shared" si="2"/>
        <v>0</v>
      </c>
      <c r="F150" s="10"/>
      <c r="G150" s="10"/>
      <c r="H150" s="13" t="s">
        <v>40</v>
      </c>
      <c r="I150" s="9" t="str">
        <f>IF(OR(H149="",H151=""),"",+IF(H149&gt;H151,E149,E151))</f>
        <v/>
      </c>
      <c r="J150" s="17"/>
      <c r="K150" s="10"/>
      <c r="L150" s="14"/>
      <c r="M150" s="10"/>
      <c r="N150" s="10"/>
      <c r="O150" s="10"/>
      <c r="P150" s="10"/>
      <c r="Q150" s="10"/>
    </row>
    <row r="151" spans="4:17" ht="13" thickBot="1">
      <c r="D151">
        <v>70</v>
      </c>
      <c r="E151" s="9">
        <f t="shared" si="2"/>
        <v>70</v>
      </c>
      <c r="F151" s="9"/>
      <c r="G151" s="9">
        <f>E151</f>
        <v>70</v>
      </c>
      <c r="H151" s="16"/>
      <c r="I151" s="10"/>
      <c r="J151" s="13"/>
      <c r="K151" s="10"/>
      <c r="L151" s="14"/>
      <c r="M151" s="10"/>
      <c r="N151" s="10"/>
      <c r="O151" s="10"/>
      <c r="P151" s="10"/>
      <c r="Q151" s="10"/>
    </row>
    <row r="152" spans="4:17">
      <c r="E152" s="10">
        <f t="shared" si="2"/>
        <v>0</v>
      </c>
      <c r="F152" s="10"/>
      <c r="G152" s="10"/>
      <c r="H152" s="10"/>
      <c r="I152" s="10"/>
      <c r="J152" s="14"/>
      <c r="K152" s="10"/>
      <c r="L152" s="14"/>
      <c r="M152" s="10"/>
      <c r="N152" s="10"/>
      <c r="O152" s="10"/>
      <c r="P152" s="10"/>
      <c r="Q152" s="10"/>
    </row>
    <row r="153" spans="4:17" ht="13" thickBot="1">
      <c r="D153">
        <v>71</v>
      </c>
      <c r="E153" s="10">
        <f t="shared" si="2"/>
        <v>71</v>
      </c>
      <c r="F153" s="11"/>
      <c r="G153" s="10"/>
      <c r="H153" s="10"/>
      <c r="I153" s="10"/>
      <c r="J153" s="14" t="s">
        <v>57</v>
      </c>
      <c r="K153" s="18" t="str">
        <f>IF(OR(I150="",I155=""),"",+IF(J150&gt;J155,I150,I155))</f>
        <v/>
      </c>
      <c r="L153" s="16"/>
      <c r="M153" s="10"/>
      <c r="N153" s="10"/>
      <c r="O153" s="10"/>
      <c r="P153" s="10"/>
      <c r="Q153" s="10"/>
    </row>
    <row r="154" spans="4:17" ht="13" thickBot="1">
      <c r="E154" s="12">
        <f t="shared" si="2"/>
        <v>0</v>
      </c>
      <c r="F154" s="13" t="s">
        <v>9</v>
      </c>
      <c r="G154" s="9" t="str">
        <f>IF(OR(F153="",F155=""),"",+IF(F153&gt;F155,E153,E155))</f>
        <v/>
      </c>
      <c r="H154" s="17"/>
      <c r="I154" s="10"/>
      <c r="J154" s="14"/>
      <c r="K154" s="10"/>
      <c r="L154" s="10"/>
      <c r="M154" s="10"/>
      <c r="N154" s="10"/>
      <c r="O154" s="10"/>
      <c r="P154" s="10"/>
      <c r="Q154" s="10"/>
    </row>
    <row r="155" spans="4:17" ht="13" thickBot="1">
      <c r="D155">
        <v>72</v>
      </c>
      <c r="E155" s="9">
        <f t="shared" si="2"/>
        <v>72</v>
      </c>
      <c r="F155" s="16"/>
      <c r="G155" s="10"/>
      <c r="H155" s="13" t="s">
        <v>41</v>
      </c>
      <c r="I155" s="9" t="str">
        <f>IF(OR(H154="",H157=""),"",+IF(H154&gt;H157,G154,G157))</f>
        <v/>
      </c>
      <c r="J155" s="16"/>
      <c r="K155" s="10"/>
      <c r="L155" s="10"/>
      <c r="M155" s="10"/>
      <c r="N155" s="10"/>
      <c r="O155" s="10"/>
      <c r="P155" s="10"/>
      <c r="Q155" s="10"/>
    </row>
    <row r="156" spans="4:17">
      <c r="E156" s="10">
        <f t="shared" si="2"/>
        <v>0</v>
      </c>
      <c r="F156" s="10"/>
      <c r="G156" s="10"/>
      <c r="H156" s="14"/>
      <c r="I156" s="10"/>
      <c r="J156" s="10"/>
      <c r="K156" s="10"/>
      <c r="L156" s="10"/>
      <c r="M156" s="10"/>
      <c r="N156" s="10"/>
      <c r="O156" s="10"/>
      <c r="P156" s="10"/>
      <c r="Q156" s="10"/>
    </row>
    <row r="157" spans="4:17" ht="13" thickBot="1">
      <c r="D157">
        <v>73</v>
      </c>
      <c r="E157" s="9">
        <f t="shared" si="2"/>
        <v>73</v>
      </c>
      <c r="F157" s="9"/>
      <c r="G157" s="9">
        <f>E157</f>
        <v>73</v>
      </c>
      <c r="H157" s="16"/>
      <c r="I157" s="10"/>
      <c r="J157" s="10"/>
      <c r="K157" s="10"/>
      <c r="L157" s="10"/>
      <c r="M157" s="10"/>
      <c r="N157" s="10"/>
      <c r="O157" s="10"/>
      <c r="P157" s="10"/>
      <c r="Q157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2"/>
  <dimension ref="D4:AG154"/>
  <sheetViews>
    <sheetView showGridLines="0" topLeftCell="A63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6" max="16" width="3.64453125" customWidth="1"/>
    <col min="17" max="17" width="19.64453125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11718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2</v>
      </c>
      <c r="V5" t="s">
        <v>77</v>
      </c>
      <c r="W5" s="29">
        <f>E12</f>
        <v>3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E38</f>
        <v>16</v>
      </c>
      <c r="V6" t="s">
        <v>77</v>
      </c>
      <c r="W6" s="29">
        <f>E40</f>
        <v>17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>
        <f>D7</f>
        <v>1</v>
      </c>
      <c r="F7" s="9"/>
      <c r="G7" s="9">
        <f>E7</f>
        <v>1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E47</f>
        <v>20</v>
      </c>
      <c r="V7" t="s">
        <v>77</v>
      </c>
      <c r="W7" s="29">
        <f>E49</f>
        <v>21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E75</f>
        <v>34</v>
      </c>
      <c r="V8" t="s">
        <v>77</v>
      </c>
      <c r="W8" s="29">
        <f>E77</f>
        <v>35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9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E85</f>
        <v>38</v>
      </c>
      <c r="V9" t="s">
        <v>77</v>
      </c>
      <c r="W9" s="29">
        <f>E87</f>
        <v>39</v>
      </c>
      <c r="Z9" s="34"/>
      <c r="AA9" s="40"/>
      <c r="AB9" s="40"/>
      <c r="AC9" s="38" t="s">
        <v>159</v>
      </c>
      <c r="AD9" s="48"/>
      <c r="AE9" s="53" t="e">
        <f>LOOKUP(AD9,T$5:T$79,U$5:U$79)</f>
        <v>#N/A</v>
      </c>
      <c r="AF9" s="37" t="s">
        <v>157</v>
      </c>
      <c r="AG9" s="65" t="e">
        <f>LOOKUP(AD9,T$5:T$79,W$5:W$79)</f>
        <v>#N/A</v>
      </c>
    </row>
    <row r="10" spans="4:33" ht="13" thickBot="1">
      <c r="D10">
        <v>2</v>
      </c>
      <c r="E10" s="10">
        <f t="shared" ref="E10:E73" si="0">D10</f>
        <v>2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E113</f>
        <v>52</v>
      </c>
      <c r="V10" t="s">
        <v>77</v>
      </c>
      <c r="W10" s="29">
        <f>E115</f>
        <v>53</v>
      </c>
      <c r="Z10" s="34"/>
      <c r="AA10" s="40"/>
      <c r="AB10" s="40"/>
      <c r="AC10" s="38" t="s">
        <v>159</v>
      </c>
      <c r="AD10" s="48"/>
      <c r="AE10" s="53" t="e">
        <f>LOOKUP(AD10,T$5:T$79,U$5:U$79)</f>
        <v>#N/A</v>
      </c>
      <c r="AF10" s="37" t="s">
        <v>157</v>
      </c>
      <c r="AG10" s="65" t="e">
        <f>LOOKUP(AD10,T$5:T$79,W$5:W$79)</f>
        <v>#N/A</v>
      </c>
    </row>
    <row r="11" spans="4:33" ht="13" thickBot="1">
      <c r="E11" s="12">
        <f t="shared" si="0"/>
        <v>0</v>
      </c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E122</f>
        <v>56</v>
      </c>
      <c r="V11" t="s">
        <v>77</v>
      </c>
      <c r="W11" s="29">
        <f>E124</f>
        <v>57</v>
      </c>
      <c r="Z11" s="34"/>
      <c r="AA11" s="40"/>
      <c r="AB11" s="40"/>
      <c r="AC11" s="38" t="s">
        <v>159</v>
      </c>
      <c r="AD11" s="48"/>
      <c r="AE11" s="53" t="e">
        <f>LOOKUP(AD11,T$5:T$79,U$5:U$79)</f>
        <v>#N/A</v>
      </c>
      <c r="AF11" s="37" t="s">
        <v>157</v>
      </c>
      <c r="AG11" s="65" t="e">
        <f>LOOKUP(AD11,T$5:T$79,W$5:W$79)</f>
        <v>#N/A</v>
      </c>
    </row>
    <row r="12" spans="4:33" ht="13" thickBot="1">
      <c r="D12">
        <v>3</v>
      </c>
      <c r="E12" s="10">
        <f t="shared" si="0"/>
        <v>3</v>
      </c>
      <c r="F12" s="16"/>
      <c r="G12" s="10"/>
      <c r="H12" s="10"/>
      <c r="I12" s="10"/>
      <c r="J12" s="14" t="s">
        <v>41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E150</f>
        <v>70</v>
      </c>
      <c r="V12" t="s">
        <v>77</v>
      </c>
      <c r="W12" s="29">
        <f>E152</f>
        <v>71</v>
      </c>
      <c r="Z12" s="34"/>
      <c r="AA12" s="40"/>
      <c r="AB12" s="40"/>
      <c r="AC12" s="38" t="s">
        <v>159</v>
      </c>
      <c r="AD12" s="48"/>
      <c r="AE12" s="53" t="e">
        <f>LOOKUP(AD12,T$5:T$79,U$5:U$79)</f>
        <v>#N/A</v>
      </c>
      <c r="AF12" s="37" t="s">
        <v>157</v>
      </c>
      <c r="AG12" s="65" t="e">
        <f>LOOKUP(AD12,T$5:T$79,W$5:W$79)</f>
        <v>#N/A</v>
      </c>
    </row>
    <row r="13" spans="4:33">
      <c r="E13" s="12">
        <f t="shared" si="0"/>
        <v>0</v>
      </c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E7</f>
        <v>1</v>
      </c>
      <c r="V13" t="s">
        <v>77</v>
      </c>
      <c r="W13" s="29" t="s">
        <v>78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>
        <f t="shared" si="0"/>
        <v>4</v>
      </c>
      <c r="F14" s="9"/>
      <c r="G14" s="9">
        <f>E14</f>
        <v>4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E14</f>
        <v>4</v>
      </c>
      <c r="V14" t="s">
        <v>77</v>
      </c>
      <c r="W14" s="29">
        <f>E16</f>
        <v>5</v>
      </c>
      <c r="Z14" s="34"/>
      <c r="AA14" s="40"/>
      <c r="AB14" s="40"/>
      <c r="AC14" s="38" t="s">
        <v>159</v>
      </c>
      <c r="AD14" s="48"/>
      <c r="AE14" s="53" t="e">
        <f>LOOKUP(AD14,T$5:T$79,U$5:U$79)</f>
        <v>#N/A</v>
      </c>
      <c r="AF14" s="37" t="s">
        <v>157</v>
      </c>
      <c r="AG14" s="65" t="e">
        <f>LOOKUP(AD14,T$5:T$79,W$5:W$79)</f>
        <v>#N/A</v>
      </c>
    </row>
    <row r="15" spans="4:33" ht="13" thickBot="1">
      <c r="E15" s="10">
        <f t="shared" si="0"/>
        <v>0</v>
      </c>
      <c r="F15" s="10"/>
      <c r="G15" s="10"/>
      <c r="H15" s="13" t="s">
        <v>10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E18</f>
        <v>6</v>
      </c>
      <c r="V15" t="s">
        <v>77</v>
      </c>
      <c r="W15" s="29">
        <f>E20</f>
        <v>7</v>
      </c>
      <c r="Z15" s="34"/>
      <c r="AA15" s="40"/>
      <c r="AB15" s="40"/>
      <c r="AC15" s="38" t="s">
        <v>159</v>
      </c>
      <c r="AD15" s="48"/>
      <c r="AE15" s="53" t="e">
        <f>LOOKUP(AD15,T$5:T$79,U$5:U$79)</f>
        <v>#N/A</v>
      </c>
      <c r="AF15" s="37" t="s">
        <v>157</v>
      </c>
      <c r="AG15" s="65" t="e">
        <f>LOOKUP(AD15,T$5:T$79,W$5:W$79)</f>
        <v>#N/A</v>
      </c>
    </row>
    <row r="16" spans="4:33" ht="13" thickBot="1">
      <c r="D16">
        <v>5</v>
      </c>
      <c r="E16" s="9">
        <f t="shared" si="0"/>
        <v>5</v>
      </c>
      <c r="F16" s="9"/>
      <c r="G16" s="9">
        <f>E16</f>
        <v>5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E22</f>
        <v>8</v>
      </c>
      <c r="V16" t="s">
        <v>77</v>
      </c>
      <c r="W16" s="29">
        <f>E24</f>
        <v>9</v>
      </c>
      <c r="Z16" s="34"/>
      <c r="AA16" s="40"/>
      <c r="AB16" s="40"/>
      <c r="AC16" s="38" t="s">
        <v>159</v>
      </c>
      <c r="AD16" s="48"/>
      <c r="AE16" s="53" t="e">
        <f>LOOKUP(AD16,T$5:T$79,U$5:U$79)</f>
        <v>#N/A</v>
      </c>
      <c r="AF16" s="37" t="s">
        <v>157</v>
      </c>
      <c r="AG16" s="65" t="e">
        <f>LOOKUP(AD16,T$5:T$79,W$5:W$79)</f>
        <v>#N/A</v>
      </c>
    </row>
    <row r="17" spans="4:33" ht="13" thickBot="1">
      <c r="E17" s="10">
        <f t="shared" si="0"/>
        <v>0</v>
      </c>
      <c r="F17" s="10"/>
      <c r="G17" s="10"/>
      <c r="H17" s="10"/>
      <c r="I17" s="10"/>
      <c r="J17" s="10"/>
      <c r="K17" s="10"/>
      <c r="L17" s="14" t="s">
        <v>57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E26</f>
        <v>10</v>
      </c>
      <c r="V17" t="s">
        <v>77</v>
      </c>
      <c r="W17" s="29">
        <f>E28</f>
        <v>11</v>
      </c>
      <c r="Z17" s="34"/>
      <c r="AA17" s="40"/>
      <c r="AB17" s="40"/>
      <c r="AC17" s="38" t="s">
        <v>159</v>
      </c>
      <c r="AD17" s="48"/>
      <c r="AE17" s="53" t="e">
        <f>LOOKUP(AD17,T$5:T$79,U$5:U$79)</f>
        <v>#N/A</v>
      </c>
      <c r="AF17" s="37" t="s">
        <v>157</v>
      </c>
      <c r="AG17" s="65" t="e">
        <f>LOOKUP(AD17,T$5:T$79,W$5:W$79)</f>
        <v>#N/A</v>
      </c>
    </row>
    <row r="18" spans="4:33" ht="13" thickBot="1">
      <c r="D18">
        <v>6</v>
      </c>
      <c r="E18" s="9">
        <f t="shared" si="0"/>
        <v>6</v>
      </c>
      <c r="F18" s="9"/>
      <c r="G18" s="9">
        <f>E18</f>
        <v>6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E30</f>
        <v>12</v>
      </c>
      <c r="V18" t="s">
        <v>77</v>
      </c>
      <c r="W18" s="29">
        <f>E32</f>
        <v>13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>
        <f t="shared" si="0"/>
        <v>0</v>
      </c>
      <c r="F19" s="10"/>
      <c r="G19" s="12"/>
      <c r="H19" s="13" t="s">
        <v>11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E34</f>
        <v>14</v>
      </c>
      <c r="V19" t="s">
        <v>77</v>
      </c>
      <c r="W19" s="29">
        <f>E36</f>
        <v>15</v>
      </c>
      <c r="Z19" s="34"/>
      <c r="AA19" s="40"/>
      <c r="AB19" s="40"/>
      <c r="AC19" s="38" t="s">
        <v>159</v>
      </c>
      <c r="AD19" s="48"/>
      <c r="AE19" s="53" t="e">
        <f>LOOKUP(AD19,T$5:T$79,U$5:U$79)</f>
        <v>#N/A</v>
      </c>
      <c r="AF19" s="37" t="s">
        <v>157</v>
      </c>
      <c r="AG19" s="65" t="e">
        <f>LOOKUP(AD19,T$5:T$79,W$5:W$79)</f>
        <v>#N/A</v>
      </c>
    </row>
    <row r="20" spans="4:33" ht="13" thickBot="1">
      <c r="D20">
        <v>7</v>
      </c>
      <c r="E20" s="9">
        <f t="shared" si="0"/>
        <v>7</v>
      </c>
      <c r="F20" s="9"/>
      <c r="G20" s="9">
        <f>E20</f>
        <v>7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 t="s">
        <v>160</v>
      </c>
      <c r="V20" t="s">
        <v>77</v>
      </c>
      <c r="W20" s="29">
        <f>E42</f>
        <v>18</v>
      </c>
      <c r="Z20" s="34"/>
      <c r="AA20" s="40"/>
      <c r="AB20" s="40"/>
      <c r="AC20" s="38" t="s">
        <v>159</v>
      </c>
      <c r="AD20" s="48"/>
      <c r="AE20" s="53" t="e">
        <f>LOOKUP(AD20,T$5:T$79,U$5:U$79)</f>
        <v>#N/A</v>
      </c>
      <c r="AF20" s="37" t="s">
        <v>157</v>
      </c>
      <c r="AG20" s="65" t="e">
        <f>LOOKUP(AD20,T$5:T$79,W$5:W$79)</f>
        <v>#N/A</v>
      </c>
    </row>
    <row r="21" spans="4:33" ht="13" thickBot="1">
      <c r="E21" s="10">
        <f t="shared" si="0"/>
        <v>0</v>
      </c>
      <c r="F21" s="10"/>
      <c r="G21" s="12"/>
      <c r="H21" s="10"/>
      <c r="I21" s="10"/>
      <c r="J21" s="14" t="s">
        <v>42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E44</f>
        <v>19</v>
      </c>
      <c r="V21" t="s">
        <v>77</v>
      </c>
      <c r="W21" s="29" t="s">
        <v>161</v>
      </c>
      <c r="Z21" s="34"/>
      <c r="AA21" s="40"/>
      <c r="AB21" s="40"/>
      <c r="AC21" s="38" t="s">
        <v>159</v>
      </c>
      <c r="AD21" s="48"/>
      <c r="AE21" s="53" t="e">
        <f>LOOKUP(AD21,T$5:T$79,U$5:U$79)</f>
        <v>#N/A</v>
      </c>
      <c r="AF21" s="37" t="s">
        <v>157</v>
      </c>
      <c r="AG21" s="65" t="e">
        <f>LOOKUP(AD21,T$5:T$79,W$5:W$79)</f>
        <v>#N/A</v>
      </c>
    </row>
    <row r="22" spans="4:33" ht="13" thickBot="1">
      <c r="D22">
        <v>8</v>
      </c>
      <c r="E22" s="9">
        <f t="shared" si="0"/>
        <v>8</v>
      </c>
      <c r="F22" s="9"/>
      <c r="G22" s="9">
        <f>E22</f>
        <v>8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E51</f>
        <v>22</v>
      </c>
      <c r="V22" t="s">
        <v>77</v>
      </c>
      <c r="W22" s="29">
        <f>E53</f>
        <v>23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0">
        <f t="shared" si="0"/>
        <v>0</v>
      </c>
      <c r="F23" s="10"/>
      <c r="G23" s="12"/>
      <c r="H23" s="13" t="s">
        <v>12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E55</f>
        <v>24</v>
      </c>
      <c r="V23" t="s">
        <v>77</v>
      </c>
      <c r="W23" s="29">
        <f>E57</f>
        <v>25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>
        <f t="shared" si="0"/>
        <v>9</v>
      </c>
      <c r="F24" s="9"/>
      <c r="G24" s="9">
        <f>E24</f>
        <v>9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>
        <f>E59</f>
        <v>26</v>
      </c>
      <c r="V24" t="s">
        <v>77</v>
      </c>
      <c r="W24" s="29">
        <f>E61</f>
        <v>27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0">
        <f t="shared" si="0"/>
        <v>0</v>
      </c>
      <c r="F25" s="10"/>
      <c r="G25" s="10"/>
      <c r="H25" s="10"/>
      <c r="I25" s="10"/>
      <c r="J25" s="10"/>
      <c r="K25" s="10"/>
      <c r="L25" s="10"/>
      <c r="M25" s="10"/>
      <c r="N25" s="14" t="s">
        <v>65</v>
      </c>
      <c r="O25" s="9" t="str">
        <f>IF(OR(N17="",N33=""),"",+IF(N17&gt;N33,M17,M33))</f>
        <v/>
      </c>
      <c r="P25" s="17"/>
      <c r="Q25" s="10"/>
      <c r="T25">
        <v>21</v>
      </c>
      <c r="U25" s="28">
        <f>E63</f>
        <v>28</v>
      </c>
      <c r="V25" t="s">
        <v>77</v>
      </c>
      <c r="W25" s="29">
        <f>E65</f>
        <v>29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>
        <f t="shared" si="0"/>
        <v>10</v>
      </c>
      <c r="F26" s="9"/>
      <c r="G26" s="9">
        <f>E26</f>
        <v>10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>
        <f>E67</f>
        <v>30</v>
      </c>
      <c r="V26" t="s">
        <v>77</v>
      </c>
      <c r="W26" s="29">
        <f>E69</f>
        <v>31</v>
      </c>
      <c r="Z26" s="34"/>
      <c r="AA26" s="40"/>
      <c r="AB26" s="40"/>
      <c r="AC26" s="38" t="s">
        <v>159</v>
      </c>
      <c r="AD26" s="48"/>
      <c r="AE26" s="53" t="e">
        <f>LOOKUP(AD26,T$5:T$79,U$5:U$79)</f>
        <v>#N/A</v>
      </c>
      <c r="AF26" s="37" t="s">
        <v>157</v>
      </c>
      <c r="AG26" s="65" t="e">
        <f>LOOKUP(AD26,T$5:T$79,W$5:W$79)</f>
        <v>#N/A</v>
      </c>
    </row>
    <row r="27" spans="4:33" ht="13" thickBot="1">
      <c r="E27" s="10">
        <f t="shared" si="0"/>
        <v>0</v>
      </c>
      <c r="F27" s="10"/>
      <c r="G27" s="12"/>
      <c r="H27" s="13" t="s">
        <v>13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>
        <f>E71</f>
        <v>32</v>
      </c>
      <c r="V27" t="s">
        <v>77</v>
      </c>
      <c r="W27" s="29">
        <f>E73</f>
        <v>33</v>
      </c>
      <c r="Z27" s="34"/>
      <c r="AA27" s="40"/>
      <c r="AB27" s="40"/>
      <c r="AC27" s="38" t="s">
        <v>159</v>
      </c>
      <c r="AD27" s="48"/>
      <c r="AE27" s="53" t="e">
        <f>LOOKUP(AD27,T$5:T$79,U$5:U$79)</f>
        <v>#N/A</v>
      </c>
      <c r="AF27" s="37" t="s">
        <v>157</v>
      </c>
      <c r="AG27" s="65" t="e">
        <f>LOOKUP(AD27,T$5:T$79,W$5:W$79)</f>
        <v>#N/A</v>
      </c>
    </row>
    <row r="28" spans="4:33" ht="13" thickBot="1">
      <c r="D28">
        <v>11</v>
      </c>
      <c r="E28" s="9">
        <f t="shared" si="0"/>
        <v>11</v>
      </c>
      <c r="F28" s="9"/>
      <c r="G28" s="9">
        <f>E28</f>
        <v>11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 t="s">
        <v>81</v>
      </c>
      <c r="V28" t="s">
        <v>77</v>
      </c>
      <c r="W28" s="29">
        <f>E79</f>
        <v>36</v>
      </c>
      <c r="Z28" s="34"/>
      <c r="AA28" s="40"/>
      <c r="AB28" s="40"/>
      <c r="AC28" s="38" t="s">
        <v>159</v>
      </c>
      <c r="AD28" s="48"/>
      <c r="AE28" s="53" t="e">
        <f>LOOKUP(AD28,T$5:T$79,U$5:U$79)</f>
        <v>#N/A</v>
      </c>
      <c r="AF28" s="37" t="s">
        <v>157</v>
      </c>
      <c r="AG28" s="65" t="e">
        <f>LOOKUP(AD28,T$5:T$79,W$5:W$79)</f>
        <v>#N/A</v>
      </c>
    </row>
    <row r="29" spans="4:33" ht="13" thickBot="1">
      <c r="E29" s="10">
        <f t="shared" si="0"/>
        <v>0</v>
      </c>
      <c r="F29" s="10"/>
      <c r="G29" s="12"/>
      <c r="H29" s="10"/>
      <c r="I29" s="10"/>
      <c r="J29" s="14" t="s">
        <v>43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>
        <f>E82</f>
        <v>37</v>
      </c>
      <c r="V29" t="s">
        <v>77</v>
      </c>
      <c r="W29" s="29" t="s">
        <v>162</v>
      </c>
      <c r="Z29" s="34"/>
      <c r="AA29" s="40"/>
      <c r="AB29" s="40"/>
      <c r="AC29" s="38" t="s">
        <v>159</v>
      </c>
      <c r="AD29" s="48"/>
      <c r="AE29" s="53" t="e">
        <f>LOOKUP(AD29,T$5:T$79,U$5:U$79)</f>
        <v>#N/A</v>
      </c>
      <c r="AF29" s="37" t="s">
        <v>157</v>
      </c>
      <c r="AG29" s="65" t="e">
        <f>LOOKUP(AD29,T$5:T$79,W$5:W$79)</f>
        <v>#N/A</v>
      </c>
    </row>
    <row r="30" spans="4:33" ht="13" thickBot="1">
      <c r="D30">
        <v>12</v>
      </c>
      <c r="E30" s="9">
        <f t="shared" si="0"/>
        <v>12</v>
      </c>
      <c r="F30" s="9"/>
      <c r="G30" s="9">
        <f>E30</f>
        <v>12</v>
      </c>
      <c r="H30" s="11"/>
      <c r="I30" s="10"/>
      <c r="J30" s="14"/>
      <c r="K30" s="10"/>
      <c r="L30" s="14"/>
      <c r="M30" s="10"/>
      <c r="N30" s="14"/>
      <c r="O30" s="10"/>
      <c r="P30" s="14"/>
      <c r="Q30" s="10"/>
      <c r="T30">
        <v>26</v>
      </c>
      <c r="U30" s="28">
        <f>E89</f>
        <v>40</v>
      </c>
      <c r="V30" t="s">
        <v>77</v>
      </c>
      <c r="W30" s="29">
        <f>E91</f>
        <v>41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>
        <f t="shared" si="0"/>
        <v>0</v>
      </c>
      <c r="F31" s="10"/>
      <c r="G31" s="12"/>
      <c r="H31" s="13" t="s">
        <v>14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>
        <f>E93</f>
        <v>42</v>
      </c>
      <c r="V31" t="s">
        <v>77</v>
      </c>
      <c r="W31" s="29">
        <f>E95</f>
        <v>43</v>
      </c>
      <c r="Z31" s="34"/>
      <c r="AA31" s="40"/>
      <c r="AB31" s="40"/>
      <c r="AC31" s="38" t="s">
        <v>159</v>
      </c>
      <c r="AD31" s="48"/>
      <c r="AE31" s="53" t="e">
        <f>LOOKUP(AD31,T$5:T$79,U$5:U$79)</f>
        <v>#N/A</v>
      </c>
      <c r="AF31" s="37" t="s">
        <v>157</v>
      </c>
      <c r="AG31" s="65" t="e">
        <f>LOOKUP(AD31,T$5:T$79,W$5:W$79)</f>
        <v>#N/A</v>
      </c>
    </row>
    <row r="32" spans="4:33" ht="13" thickBot="1">
      <c r="D32">
        <v>13</v>
      </c>
      <c r="E32" s="9">
        <f t="shared" si="0"/>
        <v>13</v>
      </c>
      <c r="F32" s="9"/>
      <c r="G32" s="9">
        <f>E32</f>
        <v>13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>
        <f>E97</f>
        <v>44</v>
      </c>
      <c r="V32" t="s">
        <v>77</v>
      </c>
      <c r="W32" s="29">
        <f>E99</f>
        <v>45</v>
      </c>
      <c r="Z32" s="34"/>
      <c r="AA32" s="40"/>
      <c r="AB32" s="40"/>
      <c r="AC32" s="38" t="s">
        <v>159</v>
      </c>
      <c r="AD32" s="48"/>
      <c r="AE32" s="53" t="e">
        <f>LOOKUP(AD32,T$5:T$79,U$5:U$79)</f>
        <v>#N/A</v>
      </c>
      <c r="AF32" s="37" t="s">
        <v>157</v>
      </c>
      <c r="AG32" s="65" t="e">
        <f>LOOKUP(AD32,T$5:T$79,W$5:W$79)</f>
        <v>#N/A</v>
      </c>
    </row>
    <row r="33" spans="4:33" ht="13" thickBot="1">
      <c r="E33" s="10">
        <f t="shared" si="0"/>
        <v>0</v>
      </c>
      <c r="F33" s="10"/>
      <c r="G33" s="10"/>
      <c r="H33" s="10"/>
      <c r="I33" s="10"/>
      <c r="J33" s="10"/>
      <c r="K33" s="10"/>
      <c r="L33" s="14" t="s">
        <v>58</v>
      </c>
      <c r="M33" s="9" t="str">
        <f>IF(OR(L29="",L38=""),"",+IF(L29&gt;L38,K29,K38))</f>
        <v/>
      </c>
      <c r="N33" s="16"/>
      <c r="O33" s="10"/>
      <c r="P33" s="14"/>
      <c r="Q33" s="10"/>
      <c r="T33">
        <v>29</v>
      </c>
      <c r="U33" s="28">
        <f>E101</f>
        <v>46</v>
      </c>
      <c r="V33" t="s">
        <v>77</v>
      </c>
      <c r="W33" s="29">
        <f>E103</f>
        <v>47</v>
      </c>
      <c r="Z33" s="34"/>
      <c r="AA33" s="40"/>
      <c r="AB33" s="40"/>
      <c r="AC33" s="38" t="s">
        <v>159</v>
      </c>
      <c r="AD33" s="48"/>
      <c r="AE33" s="53" t="e">
        <f>LOOKUP(AD33,T$5:T$79,U$5:U$79)</f>
        <v>#N/A</v>
      </c>
      <c r="AF33" s="37" t="s">
        <v>157</v>
      </c>
      <c r="AG33" s="65" t="e">
        <f>LOOKUP(AD33,T$5:T$79,W$5:W$79)</f>
        <v>#N/A</v>
      </c>
    </row>
    <row r="34" spans="4:33" ht="13" thickBot="1">
      <c r="D34">
        <v>14</v>
      </c>
      <c r="E34" s="9">
        <f t="shared" si="0"/>
        <v>14</v>
      </c>
      <c r="F34" s="9"/>
      <c r="G34" s="9">
        <f>E34</f>
        <v>14</v>
      </c>
      <c r="H34" s="11"/>
      <c r="I34" s="10"/>
      <c r="J34" s="10"/>
      <c r="K34" s="10"/>
      <c r="L34" s="14"/>
      <c r="M34" s="10"/>
      <c r="N34" s="10"/>
      <c r="O34" s="10"/>
      <c r="P34" s="14"/>
      <c r="Q34" s="10"/>
      <c r="T34">
        <v>30</v>
      </c>
      <c r="U34" s="28">
        <f>E105</f>
        <v>48</v>
      </c>
      <c r="V34" t="s">
        <v>77</v>
      </c>
      <c r="W34" s="29">
        <f>E107</f>
        <v>49</v>
      </c>
      <c r="Z34" s="34"/>
      <c r="AA34" s="40"/>
      <c r="AB34" s="40"/>
      <c r="AC34" s="38" t="s">
        <v>159</v>
      </c>
      <c r="AD34" s="48"/>
      <c r="AE34" s="53" t="e">
        <f>LOOKUP(AD34,T$5:T$79,U$5:U$79)</f>
        <v>#N/A</v>
      </c>
      <c r="AF34" s="37" t="s">
        <v>157</v>
      </c>
      <c r="AG34" s="65" t="e">
        <f>LOOKUP(AD34,T$5:T$79,W$5:W$79)</f>
        <v>#N/A</v>
      </c>
    </row>
    <row r="35" spans="4:33" ht="13" thickBot="1">
      <c r="E35" s="10">
        <f t="shared" si="0"/>
        <v>0</v>
      </c>
      <c r="F35" s="10"/>
      <c r="G35" s="12"/>
      <c r="H35" s="13" t="s">
        <v>15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>
        <f>E109</f>
        <v>50</v>
      </c>
      <c r="V35" t="s">
        <v>77</v>
      </c>
      <c r="W35" s="29">
        <f>E111</f>
        <v>51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>
        <f t="shared" si="0"/>
        <v>15</v>
      </c>
      <c r="F36" s="9"/>
      <c r="G36" s="9">
        <f>E36</f>
        <v>15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 t="s">
        <v>163</v>
      </c>
      <c r="V36" t="s">
        <v>77</v>
      </c>
      <c r="W36" s="29">
        <f>E117</f>
        <v>54</v>
      </c>
      <c r="Z36" s="34"/>
      <c r="AA36" s="40"/>
      <c r="AB36" s="40"/>
      <c r="AC36" s="38" t="s">
        <v>159</v>
      </c>
      <c r="AD36" s="48"/>
      <c r="AE36" s="53" t="e">
        <f>LOOKUP(AD36,T$5:T$79,U$5:U$79)</f>
        <v>#N/A</v>
      </c>
      <c r="AF36" s="37" t="s">
        <v>157</v>
      </c>
      <c r="AG36" s="65" t="e">
        <f>LOOKUP(AD36,T$5:T$79,W$5:W$79)</f>
        <v>#N/A</v>
      </c>
    </row>
    <row r="37" spans="4:33">
      <c r="E37" s="10">
        <f t="shared" si="0"/>
        <v>0</v>
      </c>
      <c r="F37" s="10"/>
      <c r="G37" s="10"/>
      <c r="H37" s="10"/>
      <c r="I37" s="10"/>
      <c r="J37" s="14"/>
      <c r="K37" s="10"/>
      <c r="L37" s="14"/>
      <c r="M37" s="10"/>
      <c r="N37" s="10"/>
      <c r="O37" s="10"/>
      <c r="P37" s="14"/>
      <c r="Q37" s="10"/>
      <c r="T37">
        <v>33</v>
      </c>
      <c r="U37" s="28">
        <f>E119</f>
        <v>55</v>
      </c>
      <c r="V37" t="s">
        <v>77</v>
      </c>
      <c r="W37" s="29" t="s">
        <v>84</v>
      </c>
      <c r="Z37" s="34"/>
      <c r="AA37" s="40"/>
      <c r="AB37" s="40"/>
      <c r="AC37" s="38" t="s">
        <v>159</v>
      </c>
      <c r="AD37" s="48"/>
      <c r="AE37" s="53" t="e">
        <f>LOOKUP(AD37,T$5:T$79,U$5:U$79)</f>
        <v>#N/A</v>
      </c>
      <c r="AF37" s="37" t="s">
        <v>157</v>
      </c>
      <c r="AG37" s="65" t="e">
        <f>LOOKUP(AD37,T$5:T$79,W$5:W$79)</f>
        <v>#N/A</v>
      </c>
    </row>
    <row r="38" spans="4:33" ht="13" thickBot="1">
      <c r="D38">
        <v>16</v>
      </c>
      <c r="E38" s="10">
        <f t="shared" si="0"/>
        <v>16</v>
      </c>
      <c r="F38" s="11"/>
      <c r="G38" s="10"/>
      <c r="H38" s="10"/>
      <c r="I38" s="10"/>
      <c r="J38" s="14" t="s">
        <v>44</v>
      </c>
      <c r="K38" s="9" t="str">
        <f>IF(OR(J35="",J41=""),"",+IF(J35&gt;J41,I35,I41))</f>
        <v/>
      </c>
      <c r="L38" s="16"/>
      <c r="M38" s="10"/>
      <c r="N38" s="10"/>
      <c r="O38" s="10"/>
      <c r="P38" s="14"/>
      <c r="Q38" s="10"/>
      <c r="T38">
        <v>34</v>
      </c>
      <c r="U38" s="28">
        <f>E126</f>
        <v>58</v>
      </c>
      <c r="V38" t="s">
        <v>77</v>
      </c>
      <c r="W38" s="29">
        <f>E128</f>
        <v>59</v>
      </c>
      <c r="Z38" s="34"/>
      <c r="AA38" s="40"/>
      <c r="AB38" s="40"/>
      <c r="AC38" s="38" t="s">
        <v>159</v>
      </c>
      <c r="AD38" s="48"/>
      <c r="AE38" s="53" t="e">
        <f>LOOKUP(AD38,T$5:T$79,U$5:U$79)</f>
        <v>#N/A</v>
      </c>
      <c r="AF38" s="37" t="s">
        <v>157</v>
      </c>
      <c r="AG38" s="65" t="e">
        <f>LOOKUP(AD38,T$5:T$79,W$5:W$79)</f>
        <v>#N/A</v>
      </c>
    </row>
    <row r="39" spans="4:33" ht="13" thickBot="1">
      <c r="E39" s="12">
        <f t="shared" si="0"/>
        <v>0</v>
      </c>
      <c r="F39" s="13" t="s">
        <v>2</v>
      </c>
      <c r="G39" s="9" t="str">
        <f>IF(OR(F38="",F40=""),"",+IF(F38&gt;F40,E38,E40))</f>
        <v/>
      </c>
      <c r="H39" s="11"/>
      <c r="I39" s="10"/>
      <c r="J39" s="14"/>
      <c r="K39" s="10"/>
      <c r="L39" s="10"/>
      <c r="M39" s="10"/>
      <c r="N39" s="10"/>
      <c r="O39" s="10"/>
      <c r="P39" s="14"/>
      <c r="Q39" s="10"/>
      <c r="T39">
        <v>35</v>
      </c>
      <c r="U39" s="28">
        <f>E130</f>
        <v>60</v>
      </c>
      <c r="V39" t="s">
        <v>77</v>
      </c>
      <c r="W39" s="29">
        <f>E132</f>
        <v>61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D40">
        <v>17</v>
      </c>
      <c r="E40" s="9">
        <f t="shared" si="0"/>
        <v>17</v>
      </c>
      <c r="F40" s="16"/>
      <c r="G40" s="10"/>
      <c r="H40" s="13"/>
      <c r="I40" s="10"/>
      <c r="J40" s="14"/>
      <c r="K40" s="10"/>
      <c r="L40" s="10"/>
      <c r="M40" s="10"/>
      <c r="N40" s="10"/>
      <c r="O40" s="10"/>
      <c r="P40" s="14"/>
      <c r="Q40" s="10"/>
      <c r="T40">
        <v>36</v>
      </c>
      <c r="U40" s="28">
        <f>E134</f>
        <v>62</v>
      </c>
      <c r="V40" t="s">
        <v>77</v>
      </c>
      <c r="W40" s="29">
        <f>E136</f>
        <v>63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>
        <f t="shared" si="0"/>
        <v>0</v>
      </c>
      <c r="F41" s="10"/>
      <c r="G41" s="10"/>
      <c r="H41" s="14" t="s">
        <v>16</v>
      </c>
      <c r="I41" s="9" t="str">
        <f>IF(OR(H39="",H42=""),"",+IF(H39&gt;H42,G39,E42))</f>
        <v/>
      </c>
      <c r="J41" s="16"/>
      <c r="K41" s="10"/>
      <c r="L41" s="10"/>
      <c r="M41" s="10"/>
      <c r="N41" s="10"/>
      <c r="O41" s="10"/>
      <c r="P41" s="14"/>
      <c r="Q41" s="10"/>
      <c r="T41">
        <v>37</v>
      </c>
      <c r="U41" s="28">
        <f>E138</f>
        <v>64</v>
      </c>
      <c r="V41" t="s">
        <v>77</v>
      </c>
      <c r="W41" s="29">
        <f>E140</f>
        <v>65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9">
        <f t="shared" si="0"/>
        <v>18</v>
      </c>
      <c r="F42" s="9"/>
      <c r="G42" s="9">
        <f>E42</f>
        <v>18</v>
      </c>
      <c r="H42" s="16"/>
      <c r="I42" s="10"/>
      <c r="J42" s="10"/>
      <c r="K42" s="10"/>
      <c r="L42" s="10"/>
      <c r="M42" s="10"/>
      <c r="N42" s="10"/>
      <c r="O42" s="10"/>
      <c r="P42" s="14"/>
      <c r="Q42" s="10"/>
      <c r="T42">
        <v>38</v>
      </c>
      <c r="U42" s="28">
        <f>E142</f>
        <v>66</v>
      </c>
      <c r="V42" t="s">
        <v>77</v>
      </c>
      <c r="W42" s="29">
        <f>E144</f>
        <v>67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>
      <c r="E43" s="10">
        <f t="shared" si="0"/>
        <v>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4"/>
      <c r="Q43" s="10"/>
      <c r="T43">
        <v>39</v>
      </c>
      <c r="U43" s="28">
        <f>E146</f>
        <v>68</v>
      </c>
      <c r="V43" t="s">
        <v>77</v>
      </c>
      <c r="W43" s="29">
        <f>E148</f>
        <v>69</v>
      </c>
      <c r="Z43" s="34"/>
      <c r="AA43" s="40"/>
      <c r="AB43" s="40"/>
      <c r="AC43" s="38" t="s">
        <v>159</v>
      </c>
      <c r="AD43" s="48"/>
      <c r="AE43" s="53" t="e">
        <f>LOOKUP(AD43,T$5:T$79,U$5:U$79)</f>
        <v>#N/A</v>
      </c>
      <c r="AF43" s="37" t="s">
        <v>157</v>
      </c>
      <c r="AG43" s="65" t="e">
        <f>LOOKUP(AD43,T$5:T$79,W$5:W$79)</f>
        <v>#N/A</v>
      </c>
    </row>
    <row r="44" spans="4:33" ht="13" thickBot="1">
      <c r="D44">
        <v>19</v>
      </c>
      <c r="E44" s="9">
        <f t="shared" si="0"/>
        <v>19</v>
      </c>
      <c r="F44" s="9"/>
      <c r="G44" s="9">
        <f>E44</f>
        <v>19</v>
      </c>
      <c r="H44" s="11"/>
      <c r="I44" s="10"/>
      <c r="J44" s="10"/>
      <c r="K44" s="10"/>
      <c r="L44" s="10"/>
      <c r="M44" s="10"/>
      <c r="N44" s="10"/>
      <c r="O44" s="10"/>
      <c r="P44" s="14"/>
      <c r="Q44" s="10"/>
      <c r="T44">
        <v>40</v>
      </c>
      <c r="U44" s="28" t="s">
        <v>164</v>
      </c>
      <c r="V44" t="s">
        <v>77</v>
      </c>
      <c r="W44" s="29">
        <f>E154</f>
        <v>72</v>
      </c>
      <c r="Z44" s="34"/>
      <c r="AA44" s="40"/>
      <c r="AB44" s="40"/>
      <c r="AC44" s="38" t="s">
        <v>159</v>
      </c>
      <c r="AD44" s="48"/>
      <c r="AE44" s="53" t="e">
        <f>LOOKUP(AD44,T$5:T$79,U$5:U$79)</f>
        <v>#N/A</v>
      </c>
      <c r="AF44" s="37" t="s">
        <v>157</v>
      </c>
      <c r="AG44" s="65" t="e">
        <f>LOOKUP(AD44,T$5:T$79,W$5:W$79)</f>
        <v>#N/A</v>
      </c>
    </row>
    <row r="45" spans="4:33" ht="13" thickBot="1">
      <c r="E45" s="12">
        <f t="shared" si="0"/>
        <v>0</v>
      </c>
      <c r="F45" s="10"/>
      <c r="G45" s="10"/>
      <c r="H45" s="13"/>
      <c r="I45" s="10"/>
      <c r="J45" s="10"/>
      <c r="K45" s="10"/>
      <c r="L45" s="10"/>
      <c r="M45" s="10"/>
      <c r="N45" s="10"/>
      <c r="O45" s="10"/>
      <c r="P45" s="14" t="s">
        <v>69</v>
      </c>
      <c r="Q45" s="9" t="str">
        <f>IF(OR(P25="",P62=""),"",+IF(P25&gt;P62,O25,O62))</f>
        <v/>
      </c>
      <c r="T45">
        <v>41</v>
      </c>
      <c r="U45" s="28" t="s">
        <v>86</v>
      </c>
      <c r="V45" t="s">
        <v>77</v>
      </c>
      <c r="W45" s="29" t="s">
        <v>87</v>
      </c>
      <c r="Z45" s="34"/>
      <c r="AA45" s="40"/>
      <c r="AB45" s="40"/>
      <c r="AC45" s="38" t="s">
        <v>159</v>
      </c>
      <c r="AD45" s="48"/>
      <c r="AE45" s="53" t="e">
        <f>LOOKUP(AD45,T$5:T$79,U$5:U$79)</f>
        <v>#N/A</v>
      </c>
      <c r="AF45" s="37" t="s">
        <v>157</v>
      </c>
      <c r="AG45" s="65" t="e">
        <f>LOOKUP(AD45,T$5:T$79,W$5:W$79)</f>
        <v>#N/A</v>
      </c>
    </row>
    <row r="46" spans="4:33" ht="13" thickBot="1">
      <c r="E46" s="10">
        <f t="shared" si="0"/>
        <v>0</v>
      </c>
      <c r="F46" s="10"/>
      <c r="G46" s="10"/>
      <c r="H46" s="14" t="s">
        <v>17</v>
      </c>
      <c r="I46" s="9" t="str">
        <f>IF(OR(H44="",H48=""),"",+IF(H44&gt;H48,E44,G48))</f>
        <v/>
      </c>
      <c r="J46" s="11"/>
      <c r="K46" s="10"/>
      <c r="L46" s="10"/>
      <c r="M46" s="10"/>
      <c r="N46" s="10"/>
      <c r="O46" s="10"/>
      <c r="P46" s="14"/>
      <c r="Q46" s="10"/>
      <c r="R46" s="8"/>
      <c r="T46">
        <v>42</v>
      </c>
      <c r="U46" s="28" t="s">
        <v>88</v>
      </c>
      <c r="V46" t="s">
        <v>77</v>
      </c>
      <c r="W46" s="29" t="s">
        <v>89</v>
      </c>
      <c r="Z46" s="34"/>
      <c r="AA46" s="40"/>
      <c r="AB46" s="40"/>
      <c r="AC46" s="38" t="s">
        <v>159</v>
      </c>
      <c r="AD46" s="48"/>
      <c r="AE46" s="53" t="e">
        <f>LOOKUP(AD46,T$5:T$79,U$5:U$79)</f>
        <v>#N/A</v>
      </c>
      <c r="AF46" s="37" t="s">
        <v>157</v>
      </c>
      <c r="AG46" s="65" t="e">
        <f>LOOKUP(AD46,T$5:T$79,W$5:W$79)</f>
        <v>#N/A</v>
      </c>
    </row>
    <row r="47" spans="4:33" ht="13" thickBot="1">
      <c r="D47">
        <v>20</v>
      </c>
      <c r="E47" s="10">
        <f t="shared" si="0"/>
        <v>20</v>
      </c>
      <c r="F47" s="11"/>
      <c r="G47" s="10"/>
      <c r="H47" s="14"/>
      <c r="I47" s="10"/>
      <c r="J47" s="13"/>
      <c r="K47" s="10"/>
      <c r="L47" s="10"/>
      <c r="M47" s="10"/>
      <c r="N47" s="10"/>
      <c r="O47" s="10"/>
      <c r="P47" s="14"/>
      <c r="Q47" s="10"/>
      <c r="R47" s="8"/>
      <c r="T47">
        <v>43</v>
      </c>
      <c r="U47" s="28" t="s">
        <v>90</v>
      </c>
      <c r="V47" t="s">
        <v>77</v>
      </c>
      <c r="W47" s="29" t="s">
        <v>91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>
        <f t="shared" si="0"/>
        <v>0</v>
      </c>
      <c r="F48" s="13" t="s">
        <v>3</v>
      </c>
      <c r="G48" s="9" t="str">
        <f>IF(OR(F47="",F49=""),"",+IF(F47&gt;F49,E47,E49))</f>
        <v/>
      </c>
      <c r="H48" s="16"/>
      <c r="I48" s="10"/>
      <c r="J48" s="14"/>
      <c r="K48" s="10"/>
      <c r="L48" s="10"/>
      <c r="M48" s="10"/>
      <c r="N48" s="10"/>
      <c r="O48" s="10"/>
      <c r="P48" s="14"/>
      <c r="Q48" s="10"/>
      <c r="R48" s="8"/>
      <c r="T48">
        <v>44</v>
      </c>
      <c r="U48" s="28" t="s">
        <v>92</v>
      </c>
      <c r="V48" t="s">
        <v>77</v>
      </c>
      <c r="W48" s="29" t="s">
        <v>165</v>
      </c>
      <c r="Z48" s="34"/>
      <c r="AA48" s="40"/>
      <c r="AB48" s="40"/>
      <c r="AC48" s="38" t="s">
        <v>159</v>
      </c>
      <c r="AD48" s="48"/>
      <c r="AE48" s="53" t="e">
        <f>LOOKUP(AD48,T$5:T$79,U$5:U$79)</f>
        <v>#N/A</v>
      </c>
      <c r="AF48" s="37" t="s">
        <v>157</v>
      </c>
      <c r="AG48" s="65" t="e">
        <f>LOOKUP(AD48,T$5:T$79,W$5:W$79)</f>
        <v>#N/A</v>
      </c>
    </row>
    <row r="49" spans="4:33" ht="13" thickBot="1">
      <c r="D49">
        <v>21</v>
      </c>
      <c r="E49" s="10">
        <f t="shared" si="0"/>
        <v>21</v>
      </c>
      <c r="F49" s="16"/>
      <c r="G49" s="10"/>
      <c r="H49" s="10"/>
      <c r="I49" s="10"/>
      <c r="J49" s="14" t="s">
        <v>45</v>
      </c>
      <c r="K49" s="9" t="str">
        <f>IF(OR(J46="",J52=""),"",+IF(J46&gt;J52,I46,I52))</f>
        <v/>
      </c>
      <c r="L49" s="17"/>
      <c r="M49" s="10"/>
      <c r="N49" s="10"/>
      <c r="O49" s="10"/>
      <c r="P49" s="14"/>
      <c r="Q49" s="10"/>
      <c r="R49" s="8"/>
      <c r="T49">
        <v>45</v>
      </c>
      <c r="U49" s="28" t="s">
        <v>94</v>
      </c>
      <c r="V49" t="s">
        <v>77</v>
      </c>
      <c r="W49" s="29" t="s">
        <v>95</v>
      </c>
      <c r="Z49" s="34"/>
      <c r="AA49" s="40"/>
      <c r="AB49" s="40"/>
      <c r="AC49" s="38" t="s">
        <v>159</v>
      </c>
      <c r="AD49" s="48"/>
      <c r="AE49" s="53" t="e">
        <f>LOOKUP(AD49,T$5:T$79,U$5:U$79)</f>
        <v>#N/A</v>
      </c>
      <c r="AF49" s="37" t="s">
        <v>157</v>
      </c>
      <c r="AG49" s="65" t="e">
        <f>LOOKUP(AD49,T$5:T$79,W$5:W$79)</f>
        <v>#N/A</v>
      </c>
    </row>
    <row r="50" spans="4:33">
      <c r="E50" s="12">
        <f t="shared" si="0"/>
        <v>0</v>
      </c>
      <c r="F50" s="10"/>
      <c r="G50" s="10"/>
      <c r="H50" s="10"/>
      <c r="I50" s="10"/>
      <c r="J50" s="14"/>
      <c r="K50" s="10"/>
      <c r="L50" s="10"/>
      <c r="M50" s="19"/>
      <c r="N50" s="10"/>
      <c r="O50" s="10"/>
      <c r="P50" s="14"/>
      <c r="Q50" s="10"/>
      <c r="R50" s="8"/>
      <c r="T50">
        <v>46</v>
      </c>
      <c r="U50" s="28" t="s">
        <v>96</v>
      </c>
      <c r="V50" t="s">
        <v>77</v>
      </c>
      <c r="W50" s="29" t="s">
        <v>97</v>
      </c>
      <c r="Z50" s="34"/>
      <c r="AA50" s="40"/>
      <c r="AB50" s="40"/>
      <c r="AC50" s="38" t="s">
        <v>159</v>
      </c>
      <c r="AD50" s="48"/>
      <c r="AE50" s="53" t="e">
        <f>LOOKUP(AD50,T$5:T$79,U$5:U$79)</f>
        <v>#N/A</v>
      </c>
      <c r="AF50" s="37" t="s">
        <v>157</v>
      </c>
      <c r="AG50" s="65" t="e">
        <f>LOOKUP(AD50,T$5:T$79,W$5:W$79)</f>
        <v>#N/A</v>
      </c>
    </row>
    <row r="51" spans="4:33" ht="13" thickBot="1">
      <c r="D51">
        <v>22</v>
      </c>
      <c r="E51" s="9">
        <f t="shared" si="0"/>
        <v>22</v>
      </c>
      <c r="F51" s="9"/>
      <c r="G51" s="9">
        <f>E51</f>
        <v>22</v>
      </c>
      <c r="H51" s="11"/>
      <c r="I51" s="10"/>
      <c r="J51" s="14"/>
      <c r="K51" s="10"/>
      <c r="L51" s="10"/>
      <c r="M51" s="19"/>
      <c r="N51" s="10"/>
      <c r="O51" s="10"/>
      <c r="P51" s="14"/>
      <c r="Q51" s="10"/>
      <c r="R51" s="8"/>
      <c r="T51">
        <v>47</v>
      </c>
      <c r="U51" s="28" t="s">
        <v>98</v>
      </c>
      <c r="V51" t="s">
        <v>77</v>
      </c>
      <c r="W51" s="29" t="s">
        <v>99</v>
      </c>
      <c r="Z51" s="34"/>
      <c r="AA51" s="40"/>
      <c r="AB51" s="40"/>
      <c r="AC51" s="38" t="s">
        <v>159</v>
      </c>
      <c r="AD51" s="48"/>
      <c r="AE51" s="53" t="e">
        <f>LOOKUP(AD51,T$5:T$79,U$5:U$79)</f>
        <v>#N/A</v>
      </c>
      <c r="AF51" s="37" t="s">
        <v>157</v>
      </c>
      <c r="AG51" s="65" t="e">
        <f>LOOKUP(AD51,T$5:T$79,W$5:W$79)</f>
        <v>#N/A</v>
      </c>
    </row>
    <row r="52" spans="4:33" ht="13" thickBot="1">
      <c r="E52" s="10">
        <f t="shared" si="0"/>
        <v>0</v>
      </c>
      <c r="F52" s="10"/>
      <c r="G52" s="10"/>
      <c r="H52" s="13" t="s">
        <v>18</v>
      </c>
      <c r="I52" s="9" t="str">
        <f>IF(OR(H51="",H53=""),"",+IF(H51&gt;H53,E51,E53))</f>
        <v/>
      </c>
      <c r="J52" s="16"/>
      <c r="K52" s="10"/>
      <c r="L52" s="10"/>
      <c r="M52" s="19"/>
      <c r="N52" s="10"/>
      <c r="O52" s="10"/>
      <c r="P52" s="14"/>
      <c r="Q52" s="10"/>
      <c r="R52" s="8"/>
      <c r="T52">
        <v>48</v>
      </c>
      <c r="U52" s="28" t="s">
        <v>100</v>
      </c>
      <c r="V52" t="s">
        <v>77</v>
      </c>
      <c r="W52" s="29" t="s">
        <v>101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9">
        <f t="shared" si="0"/>
        <v>23</v>
      </c>
      <c r="F53" s="9"/>
      <c r="G53" s="9">
        <f>E53</f>
        <v>23</v>
      </c>
      <c r="H53" s="16"/>
      <c r="I53" s="10"/>
      <c r="J53" s="10"/>
      <c r="K53" s="10"/>
      <c r="L53" s="10"/>
      <c r="M53" s="19"/>
      <c r="N53" s="10"/>
      <c r="O53" s="10"/>
      <c r="P53" s="14"/>
      <c r="Q53" s="10"/>
      <c r="R53" s="8"/>
      <c r="T53">
        <v>49</v>
      </c>
      <c r="U53" s="28" t="s">
        <v>102</v>
      </c>
      <c r="V53" t="s">
        <v>77</v>
      </c>
      <c r="W53" s="29" t="s">
        <v>103</v>
      </c>
      <c r="Z53" s="34"/>
      <c r="AA53" s="40"/>
      <c r="AB53" s="40"/>
      <c r="AC53" s="38" t="s">
        <v>159</v>
      </c>
      <c r="AD53" s="48"/>
      <c r="AE53" s="53" t="e">
        <f>LOOKUP(AD53,T$5:T$79,U$5:U$79)</f>
        <v>#N/A</v>
      </c>
      <c r="AF53" s="37" t="s">
        <v>157</v>
      </c>
      <c r="AG53" s="65" t="e">
        <f>LOOKUP(AD53,T$5:T$79,W$5:W$79)</f>
        <v>#N/A</v>
      </c>
    </row>
    <row r="54" spans="4:33" ht="13" thickBot="1">
      <c r="E54" s="10">
        <f t="shared" si="0"/>
        <v>0</v>
      </c>
      <c r="F54" s="10"/>
      <c r="G54" s="10"/>
      <c r="H54" s="10"/>
      <c r="I54" s="10"/>
      <c r="J54" s="10"/>
      <c r="K54" s="10"/>
      <c r="L54" s="14" t="s">
        <v>59</v>
      </c>
      <c r="M54" s="9" t="str">
        <f>IF(OR(L49="",L58=""),"",+IF(L49&gt;L58,K49,K58))</f>
        <v/>
      </c>
      <c r="N54" s="17"/>
      <c r="O54" s="10"/>
      <c r="P54" s="14"/>
      <c r="Q54" s="10"/>
      <c r="R54" s="8"/>
      <c r="T54">
        <v>50</v>
      </c>
      <c r="U54" s="28" t="s">
        <v>104</v>
      </c>
      <c r="V54" t="s">
        <v>77</v>
      </c>
      <c r="W54" s="29" t="s">
        <v>105</v>
      </c>
      <c r="Z54" s="34"/>
      <c r="AA54" s="40"/>
      <c r="AB54" s="40"/>
      <c r="AC54" s="38" t="s">
        <v>159</v>
      </c>
      <c r="AD54" s="48"/>
      <c r="AE54" s="53" t="e">
        <f>LOOKUP(AD54,T$5:T$79,U$5:U$79)</f>
        <v>#N/A</v>
      </c>
      <c r="AF54" s="37" t="s">
        <v>157</v>
      </c>
      <c r="AG54" s="65" t="e">
        <f>LOOKUP(AD54,T$5:T$79,W$5:W$79)</f>
        <v>#N/A</v>
      </c>
    </row>
    <row r="55" spans="4:33" ht="13" thickBot="1">
      <c r="D55">
        <v>24</v>
      </c>
      <c r="E55" s="9">
        <f t="shared" si="0"/>
        <v>24</v>
      </c>
      <c r="F55" s="9"/>
      <c r="G55" s="9">
        <f>E55</f>
        <v>24</v>
      </c>
      <c r="H55" s="11"/>
      <c r="I55" s="10"/>
      <c r="J55" s="10"/>
      <c r="K55" s="10"/>
      <c r="L55" s="10"/>
      <c r="M55" s="19"/>
      <c r="N55" s="13"/>
      <c r="O55" s="10"/>
      <c r="P55" s="14"/>
      <c r="Q55" s="10"/>
      <c r="R55" s="8"/>
      <c r="T55">
        <v>51</v>
      </c>
      <c r="U55" s="28" t="s">
        <v>106</v>
      </c>
      <c r="V55" t="s">
        <v>77</v>
      </c>
      <c r="W55" s="29" t="s">
        <v>107</v>
      </c>
      <c r="Z55" s="34"/>
      <c r="AA55" s="40"/>
      <c r="AB55" s="40"/>
      <c r="AC55" s="38" t="s">
        <v>159</v>
      </c>
      <c r="AD55" s="48"/>
      <c r="AE55" s="53" t="e">
        <f>LOOKUP(AD55,T$5:T$79,U$5:U$79)</f>
        <v>#N/A</v>
      </c>
      <c r="AF55" s="37" t="s">
        <v>157</v>
      </c>
      <c r="AG55" s="65" t="e">
        <f>LOOKUP(AD55,T$5:T$79,W$5:W$79)</f>
        <v>#N/A</v>
      </c>
    </row>
    <row r="56" spans="4:33" ht="13" thickBot="1">
      <c r="E56" s="10">
        <f t="shared" si="0"/>
        <v>0</v>
      </c>
      <c r="F56" s="10"/>
      <c r="G56" s="12"/>
      <c r="H56" s="13" t="s">
        <v>19</v>
      </c>
      <c r="I56" s="9" t="str">
        <f>IF(OR(H55="",H57=""),"",+IF(H55&gt;H57,E55,E57))</f>
        <v/>
      </c>
      <c r="J56" s="17"/>
      <c r="K56" s="10"/>
      <c r="L56" s="10"/>
      <c r="M56" s="19"/>
      <c r="N56" s="14"/>
      <c r="O56" s="10"/>
      <c r="P56" s="14"/>
      <c r="Q56" s="10"/>
      <c r="R56" s="8"/>
      <c r="T56">
        <v>52</v>
      </c>
      <c r="U56" s="28" t="s">
        <v>108</v>
      </c>
      <c r="V56" t="s">
        <v>77</v>
      </c>
      <c r="W56" s="29" t="s">
        <v>109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9">
        <f t="shared" si="0"/>
        <v>25</v>
      </c>
      <c r="F57" s="9"/>
      <c r="G57" s="9">
        <f>E57</f>
        <v>25</v>
      </c>
      <c r="H57" s="16"/>
      <c r="I57" s="10"/>
      <c r="J57" s="14"/>
      <c r="K57" s="10"/>
      <c r="L57" s="10"/>
      <c r="M57" s="19"/>
      <c r="N57" s="14"/>
      <c r="O57" s="10"/>
      <c r="P57" s="14"/>
      <c r="Q57" s="10"/>
      <c r="R57" s="8"/>
      <c r="T57">
        <v>53</v>
      </c>
      <c r="U57" s="28" t="s">
        <v>110</v>
      </c>
      <c r="V57" t="s">
        <v>77</v>
      </c>
      <c r="W57" s="29" t="s">
        <v>111</v>
      </c>
    </row>
    <row r="58" spans="4:33" ht="13" thickBot="1">
      <c r="E58" s="10">
        <f t="shared" si="0"/>
        <v>0</v>
      </c>
      <c r="F58" s="10"/>
      <c r="G58" s="12"/>
      <c r="H58" s="10"/>
      <c r="I58" s="10"/>
      <c r="J58" s="14" t="s">
        <v>46</v>
      </c>
      <c r="K58" s="9" t="str">
        <f>IF(OR(J56="",J60=""),"",+IF(J56&gt;J60,I56,I60))</f>
        <v/>
      </c>
      <c r="L58" s="16"/>
      <c r="M58" s="19"/>
      <c r="N58" s="14"/>
      <c r="O58" s="10"/>
      <c r="P58" s="14"/>
      <c r="Q58" s="10"/>
      <c r="R58" s="8"/>
      <c r="T58">
        <v>54</v>
      </c>
      <c r="U58" s="28" t="s">
        <v>112</v>
      </c>
      <c r="V58" t="s">
        <v>77</v>
      </c>
      <c r="W58" s="29" t="s">
        <v>113</v>
      </c>
    </row>
    <row r="59" spans="4:33" ht="13" thickBot="1">
      <c r="D59">
        <v>26</v>
      </c>
      <c r="E59" s="9">
        <f t="shared" si="0"/>
        <v>26</v>
      </c>
      <c r="F59" s="9"/>
      <c r="G59" s="9">
        <f>E59</f>
        <v>26</v>
      </c>
      <c r="H59" s="11"/>
      <c r="I59" s="10"/>
      <c r="J59" s="14"/>
      <c r="K59" s="10"/>
      <c r="L59" s="10"/>
      <c r="M59" s="10"/>
      <c r="N59" s="14"/>
      <c r="O59" s="10"/>
      <c r="P59" s="14"/>
      <c r="Q59" s="10"/>
      <c r="R59" s="8"/>
      <c r="T59">
        <v>55</v>
      </c>
      <c r="U59" s="28" t="s">
        <v>114</v>
      </c>
      <c r="V59" t="s">
        <v>77</v>
      </c>
      <c r="W59" s="29" t="s">
        <v>115</v>
      </c>
    </row>
    <row r="60" spans="4:33" ht="13" thickBot="1">
      <c r="E60" s="10">
        <f t="shared" si="0"/>
        <v>0</v>
      </c>
      <c r="F60" s="10"/>
      <c r="G60" s="12"/>
      <c r="H60" s="13" t="s">
        <v>20</v>
      </c>
      <c r="I60" s="9" t="str">
        <f>IF(OR(H59="",H61=""),"",+IF(H59&gt;H61,E59,E61))</f>
        <v/>
      </c>
      <c r="J60" s="16"/>
      <c r="K60" s="10"/>
      <c r="L60" s="10"/>
      <c r="M60" s="10"/>
      <c r="N60" s="14"/>
      <c r="O60" s="10"/>
      <c r="P60" s="14"/>
      <c r="Q60" s="10"/>
      <c r="R60" s="8"/>
      <c r="T60">
        <v>56</v>
      </c>
      <c r="U60" s="28" t="s">
        <v>116</v>
      </c>
      <c r="V60" t="s">
        <v>77</v>
      </c>
      <c r="W60" s="29" t="s">
        <v>117</v>
      </c>
    </row>
    <row r="61" spans="4:33" ht="13" thickBot="1">
      <c r="D61">
        <v>27</v>
      </c>
      <c r="E61" s="9">
        <f t="shared" si="0"/>
        <v>27</v>
      </c>
      <c r="F61" s="9"/>
      <c r="G61" s="9">
        <f>E61</f>
        <v>27</v>
      </c>
      <c r="H61" s="16"/>
      <c r="I61" s="10"/>
      <c r="J61" s="10"/>
      <c r="K61" s="10"/>
      <c r="L61" s="10"/>
      <c r="M61" s="10"/>
      <c r="N61" s="14"/>
      <c r="O61" s="10"/>
      <c r="P61" s="14"/>
      <c r="Q61" s="10"/>
      <c r="R61" s="8"/>
      <c r="T61">
        <v>57</v>
      </c>
      <c r="U61" s="28" t="s">
        <v>118</v>
      </c>
      <c r="V61" t="s">
        <v>77</v>
      </c>
      <c r="W61" s="29" t="s">
        <v>119</v>
      </c>
    </row>
    <row r="62" spans="4:33" ht="13" thickBot="1">
      <c r="E62" s="10">
        <f t="shared" si="0"/>
        <v>0</v>
      </c>
      <c r="F62" s="10"/>
      <c r="G62" s="10"/>
      <c r="H62" s="10"/>
      <c r="I62" s="10"/>
      <c r="J62" s="10"/>
      <c r="K62" s="10"/>
      <c r="L62" s="10"/>
      <c r="M62" s="10"/>
      <c r="N62" s="14"/>
      <c r="O62" s="9" t="str">
        <f>IF(OR(N54="",N70=""),"",+IF(N54&gt;N70,M54,M70))</f>
        <v/>
      </c>
      <c r="P62" s="16"/>
      <c r="Q62" s="10"/>
      <c r="R62" s="8"/>
      <c r="T62">
        <v>58</v>
      </c>
      <c r="U62" s="28" t="s">
        <v>120</v>
      </c>
      <c r="V62" t="s">
        <v>77</v>
      </c>
      <c r="W62" s="29" t="s">
        <v>121</v>
      </c>
    </row>
    <row r="63" spans="4:33" ht="13" thickBot="1">
      <c r="D63">
        <v>28</v>
      </c>
      <c r="E63" s="9">
        <f t="shared" si="0"/>
        <v>28</v>
      </c>
      <c r="F63" s="9"/>
      <c r="G63" s="9">
        <f>E63</f>
        <v>28</v>
      </c>
      <c r="H63" s="11"/>
      <c r="I63" s="10"/>
      <c r="J63" s="10"/>
      <c r="K63" s="10"/>
      <c r="L63" s="10"/>
      <c r="M63" s="10"/>
      <c r="N63" s="14" t="s">
        <v>66</v>
      </c>
      <c r="O63" s="10"/>
      <c r="P63" s="10"/>
      <c r="Q63" s="10"/>
      <c r="R63" s="8"/>
      <c r="T63">
        <v>59</v>
      </c>
      <c r="U63" s="28" t="s">
        <v>122</v>
      </c>
      <c r="V63" t="s">
        <v>77</v>
      </c>
      <c r="W63" s="29" t="s">
        <v>123</v>
      </c>
    </row>
    <row r="64" spans="4:33" ht="13" thickBot="1">
      <c r="E64" s="10">
        <f t="shared" si="0"/>
        <v>0</v>
      </c>
      <c r="F64" s="10"/>
      <c r="G64" s="12"/>
      <c r="H64" s="13" t="s">
        <v>21</v>
      </c>
      <c r="I64" s="9" t="str">
        <f>IF(OR(H63="",H65=""),"",+IF(H63&gt;H65,E63,E65))</f>
        <v/>
      </c>
      <c r="J64" s="17"/>
      <c r="K64" s="10"/>
      <c r="L64" s="10"/>
      <c r="M64" s="10"/>
      <c r="N64" s="14"/>
      <c r="O64" s="10"/>
      <c r="P64" s="10"/>
      <c r="Q64" s="10"/>
      <c r="R64" s="8"/>
      <c r="T64">
        <v>60</v>
      </c>
      <c r="U64" s="28" t="s">
        <v>124</v>
      </c>
      <c r="V64" t="s">
        <v>77</v>
      </c>
      <c r="W64" s="29" t="s">
        <v>125</v>
      </c>
    </row>
    <row r="65" spans="4:23" ht="13" thickBot="1">
      <c r="D65">
        <v>29</v>
      </c>
      <c r="E65" s="9">
        <f t="shared" si="0"/>
        <v>29</v>
      </c>
      <c r="F65" s="9"/>
      <c r="G65" s="9">
        <f>E65</f>
        <v>29</v>
      </c>
      <c r="H65" s="16"/>
      <c r="I65" s="10"/>
      <c r="J65" s="14"/>
      <c r="K65" s="10"/>
      <c r="L65" s="10"/>
      <c r="M65" s="10"/>
      <c r="N65" s="14"/>
      <c r="O65" s="10"/>
      <c r="P65" s="10"/>
      <c r="Q65" s="10"/>
      <c r="R65" s="8"/>
      <c r="T65">
        <v>61</v>
      </c>
      <c r="U65" s="28" t="s">
        <v>126</v>
      </c>
      <c r="V65" t="s">
        <v>77</v>
      </c>
      <c r="W65" s="29" t="s">
        <v>127</v>
      </c>
    </row>
    <row r="66" spans="4:23" ht="13" thickBot="1">
      <c r="E66" s="10">
        <f t="shared" si="0"/>
        <v>0</v>
      </c>
      <c r="F66" s="10"/>
      <c r="G66" s="12"/>
      <c r="H66" s="10"/>
      <c r="I66" s="10"/>
      <c r="J66" s="14" t="s">
        <v>47</v>
      </c>
      <c r="K66" s="9" t="str">
        <f>IF(OR(J64="",J68=""),"",+IF(J64&gt;J68,I64,I68))</f>
        <v/>
      </c>
      <c r="L66" s="17"/>
      <c r="M66" s="10"/>
      <c r="N66" s="14"/>
      <c r="O66" s="10"/>
      <c r="P66" s="10"/>
      <c r="Q66" s="10"/>
      <c r="R66" s="8"/>
      <c r="T66">
        <v>62</v>
      </c>
      <c r="U66" s="28" t="s">
        <v>130</v>
      </c>
      <c r="V66" t="s">
        <v>77</v>
      </c>
      <c r="W66" s="29" t="s">
        <v>128</v>
      </c>
    </row>
    <row r="67" spans="4:23" ht="13" thickBot="1">
      <c r="D67">
        <v>30</v>
      </c>
      <c r="E67" s="9">
        <f t="shared" si="0"/>
        <v>30</v>
      </c>
      <c r="F67" s="9"/>
      <c r="G67" s="9">
        <f>E67</f>
        <v>30</v>
      </c>
      <c r="H67" s="11"/>
      <c r="I67" s="10"/>
      <c r="J67" s="14"/>
      <c r="K67" s="10"/>
      <c r="L67" s="14"/>
      <c r="M67" s="10"/>
      <c r="N67" s="14"/>
      <c r="O67" s="10"/>
      <c r="P67" s="10"/>
      <c r="Q67" s="10"/>
      <c r="R67" s="8"/>
      <c r="T67">
        <v>63</v>
      </c>
      <c r="U67" s="28" t="s">
        <v>129</v>
      </c>
      <c r="V67" t="s">
        <v>77</v>
      </c>
      <c r="W67" s="29" t="s">
        <v>131</v>
      </c>
    </row>
    <row r="68" spans="4:23" ht="13" thickBot="1">
      <c r="E68" s="10">
        <f t="shared" si="0"/>
        <v>0</v>
      </c>
      <c r="F68" s="10"/>
      <c r="G68" s="12"/>
      <c r="H68" s="13" t="s">
        <v>22</v>
      </c>
      <c r="I68" s="9" t="str">
        <f>IF(OR(H67="",H69=""),"",+IF(H67&gt;H69,E67,E69))</f>
        <v/>
      </c>
      <c r="J68" s="16"/>
      <c r="K68" s="10"/>
      <c r="L68" s="14"/>
      <c r="M68" s="10"/>
      <c r="N68" s="14"/>
      <c r="O68" s="10"/>
      <c r="P68" s="10"/>
      <c r="Q68" s="10"/>
      <c r="R68" s="8"/>
      <c r="T68">
        <v>64</v>
      </c>
      <c r="U68" s="28" t="s">
        <v>132</v>
      </c>
      <c r="V68" t="s">
        <v>77</v>
      </c>
      <c r="W68" s="29" t="s">
        <v>133</v>
      </c>
    </row>
    <row r="69" spans="4:23" ht="13" thickBot="1">
      <c r="D69">
        <v>31</v>
      </c>
      <c r="E69" s="9">
        <f t="shared" si="0"/>
        <v>31</v>
      </c>
      <c r="F69" s="9"/>
      <c r="G69" s="9">
        <f>E69</f>
        <v>31</v>
      </c>
      <c r="H69" s="16"/>
      <c r="I69" s="10"/>
      <c r="J69" s="10"/>
      <c r="K69" s="10"/>
      <c r="L69" s="14"/>
      <c r="M69" s="10"/>
      <c r="N69" s="14"/>
      <c r="O69" s="10"/>
      <c r="P69" s="10"/>
      <c r="Q69" s="10"/>
      <c r="R69" s="8"/>
      <c r="T69">
        <v>65</v>
      </c>
      <c r="U69" s="28" t="s">
        <v>134</v>
      </c>
      <c r="V69" t="s">
        <v>77</v>
      </c>
      <c r="W69" s="29" t="s">
        <v>135</v>
      </c>
    </row>
    <row r="70" spans="4:23" ht="13" thickBot="1">
      <c r="E70" s="10">
        <f t="shared" si="0"/>
        <v>0</v>
      </c>
      <c r="F70" s="10"/>
      <c r="G70" s="10"/>
      <c r="H70" s="10"/>
      <c r="I70" s="10"/>
      <c r="J70" s="10"/>
      <c r="K70" s="10"/>
      <c r="L70" s="14" t="s">
        <v>60</v>
      </c>
      <c r="M70" s="9" t="str">
        <f>IF(OR(L66="",L75=""),"",+IF(L66&gt;L75,K66,K75))</f>
        <v/>
      </c>
      <c r="N70" s="16"/>
      <c r="O70" s="10"/>
      <c r="P70" s="10"/>
      <c r="Q70" s="10"/>
      <c r="R70" s="8"/>
      <c r="T70">
        <v>66</v>
      </c>
      <c r="U70" s="28" t="s">
        <v>136</v>
      </c>
      <c r="V70" t="s">
        <v>77</v>
      </c>
      <c r="W70" s="29" t="s">
        <v>137</v>
      </c>
    </row>
    <row r="71" spans="4:23" ht="13" thickBot="1">
      <c r="D71">
        <v>32</v>
      </c>
      <c r="E71" s="9">
        <f t="shared" si="0"/>
        <v>32</v>
      </c>
      <c r="F71" s="9"/>
      <c r="G71" s="9">
        <f>E71</f>
        <v>32</v>
      </c>
      <c r="H71" s="11"/>
      <c r="I71" s="10"/>
      <c r="J71" s="10"/>
      <c r="K71" s="10"/>
      <c r="L71" s="14"/>
      <c r="M71" s="10"/>
      <c r="N71" s="10"/>
      <c r="O71" s="10"/>
      <c r="P71" s="10"/>
      <c r="Q71" s="10"/>
      <c r="R71" s="8"/>
      <c r="T71">
        <v>67</v>
      </c>
      <c r="U71" s="28" t="s">
        <v>138</v>
      </c>
      <c r="V71" t="s">
        <v>77</v>
      </c>
      <c r="W71" s="29" t="s">
        <v>144</v>
      </c>
    </row>
    <row r="72" spans="4:23" ht="13" thickBot="1">
      <c r="E72" s="10">
        <f t="shared" si="0"/>
        <v>0</v>
      </c>
      <c r="F72" s="10"/>
      <c r="G72" s="12"/>
      <c r="H72" s="13" t="s">
        <v>23</v>
      </c>
      <c r="I72" s="9" t="str">
        <f>IF(OR(H71="",H73=""),"",+IF(H71&gt;H73,E71,E73))</f>
        <v/>
      </c>
      <c r="J72" s="17"/>
      <c r="K72" s="10"/>
      <c r="L72" s="14"/>
      <c r="M72" s="10"/>
      <c r="N72" s="10"/>
      <c r="O72" s="10"/>
      <c r="P72" s="10"/>
      <c r="Q72" s="10"/>
      <c r="R72" s="8"/>
      <c r="T72">
        <v>68</v>
      </c>
      <c r="U72" s="28" t="s">
        <v>139</v>
      </c>
      <c r="V72" t="s">
        <v>77</v>
      </c>
      <c r="W72" s="29" t="s">
        <v>140</v>
      </c>
    </row>
    <row r="73" spans="4:23" ht="13" thickBot="1">
      <c r="D73">
        <v>33</v>
      </c>
      <c r="E73" s="9">
        <f t="shared" si="0"/>
        <v>33</v>
      </c>
      <c r="F73" s="9"/>
      <c r="G73" s="9">
        <f>E73</f>
        <v>33</v>
      </c>
      <c r="H73" s="16"/>
      <c r="I73" s="10"/>
      <c r="J73" s="14"/>
      <c r="K73" s="10"/>
      <c r="L73" s="14"/>
      <c r="M73" s="10"/>
      <c r="N73" s="10"/>
      <c r="O73" s="10"/>
      <c r="P73" s="10"/>
      <c r="Q73" s="10"/>
      <c r="R73" s="8"/>
      <c r="T73">
        <v>69</v>
      </c>
      <c r="U73" s="28" t="s">
        <v>141</v>
      </c>
      <c r="V73" t="s">
        <v>77</v>
      </c>
      <c r="W73" s="29" t="s">
        <v>143</v>
      </c>
    </row>
    <row r="74" spans="4:23">
      <c r="E74" s="10">
        <f t="shared" ref="E74:E137" si="1">D74</f>
        <v>0</v>
      </c>
      <c r="F74" s="10"/>
      <c r="G74" s="10"/>
      <c r="H74" s="10"/>
      <c r="I74" s="10"/>
      <c r="J74" s="14"/>
      <c r="K74" s="10"/>
      <c r="L74" s="14"/>
      <c r="M74" s="10"/>
      <c r="N74" s="10"/>
      <c r="O74" s="10"/>
      <c r="P74" s="10"/>
      <c r="Q74" s="10"/>
      <c r="R74" s="8"/>
      <c r="T74">
        <v>70</v>
      </c>
      <c r="U74" s="28" t="s">
        <v>142</v>
      </c>
      <c r="V74" t="s">
        <v>77</v>
      </c>
      <c r="W74" s="29" t="s">
        <v>145</v>
      </c>
    </row>
    <row r="75" spans="4:23" ht="13" thickBot="1">
      <c r="D75">
        <v>34</v>
      </c>
      <c r="E75" s="10">
        <f t="shared" si="1"/>
        <v>34</v>
      </c>
      <c r="F75" s="11"/>
      <c r="G75" s="10"/>
      <c r="H75" s="10"/>
      <c r="I75" s="10"/>
      <c r="J75" s="14" t="s">
        <v>48</v>
      </c>
      <c r="K75" s="9" t="str">
        <f>IF(OR(J72="",J78=""),"",+IF(J72&gt;J78,I72,I78))</f>
        <v/>
      </c>
      <c r="L75" s="16"/>
      <c r="M75" s="10"/>
      <c r="N75" s="10"/>
      <c r="O75" s="10"/>
      <c r="P75" s="10"/>
      <c r="Q75" s="10"/>
      <c r="R75" s="8"/>
      <c r="T75">
        <v>71</v>
      </c>
      <c r="U75" s="28" t="s">
        <v>146</v>
      </c>
      <c r="V75" t="s">
        <v>77</v>
      </c>
      <c r="W75" s="29" t="s">
        <v>147</v>
      </c>
    </row>
    <row r="76" spans="4:23" ht="13" thickBot="1">
      <c r="E76" s="12">
        <f t="shared" si="1"/>
        <v>0</v>
      </c>
      <c r="F76" s="13" t="s">
        <v>4</v>
      </c>
      <c r="G76" s="9" t="str">
        <f>IF(OR(F75="",F77=""),"",+IF(F75&gt;F77,E75,E77))</f>
        <v/>
      </c>
      <c r="H76" s="11"/>
      <c r="I76" s="10"/>
      <c r="J76" s="14"/>
      <c r="K76" s="10"/>
      <c r="L76" s="10"/>
      <c r="M76" s="10"/>
      <c r="N76" s="10"/>
      <c r="O76" s="10"/>
      <c r="P76" s="10"/>
      <c r="Q76" s="10"/>
      <c r="R76" s="8"/>
    </row>
    <row r="77" spans="4:23" ht="13" thickBot="1">
      <c r="D77">
        <v>35</v>
      </c>
      <c r="E77" s="21">
        <f t="shared" si="1"/>
        <v>35</v>
      </c>
      <c r="F77" s="16"/>
      <c r="G77" s="10"/>
      <c r="H77" s="13"/>
      <c r="I77" s="10"/>
      <c r="J77" s="14"/>
      <c r="K77" s="10"/>
      <c r="L77" s="10"/>
      <c r="M77" s="10"/>
      <c r="N77" s="10"/>
      <c r="O77" s="10"/>
      <c r="P77" s="10"/>
      <c r="Q77" s="10"/>
      <c r="R77" s="8"/>
    </row>
    <row r="78" spans="4:23" ht="13" thickBot="1">
      <c r="E78" s="10">
        <f t="shared" si="1"/>
        <v>0</v>
      </c>
      <c r="F78" s="10"/>
      <c r="G78" s="10"/>
      <c r="H78" s="14" t="s">
        <v>24</v>
      </c>
      <c r="I78" s="9" t="str">
        <f>IF(OR(H76="",H79=""),"",+IF(H76&gt;H79,G76,E79))</f>
        <v/>
      </c>
      <c r="J78" s="16"/>
      <c r="K78" s="10"/>
      <c r="L78" s="10"/>
      <c r="M78" s="10"/>
      <c r="N78" s="10"/>
      <c r="O78" s="10"/>
      <c r="P78" s="10"/>
      <c r="Q78" s="10"/>
      <c r="R78" s="8"/>
    </row>
    <row r="79" spans="4:23" ht="13" thickBot="1">
      <c r="D79">
        <v>36</v>
      </c>
      <c r="E79" s="9">
        <f t="shared" si="1"/>
        <v>36</v>
      </c>
      <c r="F79" s="9"/>
      <c r="G79" s="9">
        <f>E79</f>
        <v>36</v>
      </c>
      <c r="H79" s="16"/>
      <c r="I79" s="10"/>
      <c r="J79" s="10"/>
      <c r="K79" s="10"/>
      <c r="L79" s="10"/>
      <c r="M79" s="10"/>
      <c r="N79" s="10"/>
      <c r="O79" s="10"/>
      <c r="P79" s="10"/>
      <c r="Q79" s="10"/>
      <c r="R79" s="8"/>
    </row>
    <row r="80" spans="4:23">
      <c r="E80">
        <f t="shared" si="1"/>
        <v>0</v>
      </c>
      <c r="R80" s="8"/>
    </row>
    <row r="81" spans="4:18" ht="13" thickBot="1">
      <c r="E81">
        <f t="shared" si="1"/>
        <v>0</v>
      </c>
      <c r="Q81" s="28" t="s">
        <v>71</v>
      </c>
      <c r="R81" s="66"/>
    </row>
    <row r="82" spans="4:18" ht="13" thickBot="1">
      <c r="D82">
        <v>37</v>
      </c>
      <c r="E82" s="9">
        <f t="shared" si="1"/>
        <v>37</v>
      </c>
      <c r="F82" s="9"/>
      <c r="G82" s="9">
        <f>E82</f>
        <v>37</v>
      </c>
      <c r="H82" s="11"/>
      <c r="I82" s="10"/>
      <c r="J82" s="10"/>
      <c r="K82" s="10"/>
      <c r="L82" s="10"/>
      <c r="M82" s="10"/>
      <c r="N82" s="10"/>
      <c r="O82" s="10"/>
      <c r="P82" s="10"/>
      <c r="Q82" s="10"/>
      <c r="R82" s="8"/>
    </row>
    <row r="83" spans="4:18">
      <c r="E83" s="12">
        <f t="shared" si="1"/>
        <v>0</v>
      </c>
      <c r="F83" s="10"/>
      <c r="G83" s="10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8"/>
    </row>
    <row r="84" spans="4:18" ht="13" thickBot="1">
      <c r="E84" s="10">
        <f t="shared" si="1"/>
        <v>0</v>
      </c>
      <c r="F84" s="10"/>
      <c r="G84" s="10"/>
      <c r="H84" s="14" t="s">
        <v>25</v>
      </c>
      <c r="I84" s="9" t="str">
        <f>IF(OR(H82="",H86=""),"",+IF(H82&gt;H86,E82,G86))</f>
        <v/>
      </c>
      <c r="J84" s="11"/>
      <c r="K84" s="10"/>
      <c r="L84" s="10"/>
      <c r="M84" s="10"/>
      <c r="N84" s="10"/>
      <c r="O84" s="10"/>
      <c r="P84" s="10"/>
      <c r="Q84" s="10"/>
      <c r="R84" s="8"/>
    </row>
    <row r="85" spans="4:18" ht="13" thickBot="1">
      <c r="D85">
        <v>38</v>
      </c>
      <c r="E85" s="10">
        <f t="shared" si="1"/>
        <v>38</v>
      </c>
      <c r="F85" s="11"/>
      <c r="G85" s="10"/>
      <c r="H85" s="14"/>
      <c r="I85" s="10"/>
      <c r="J85" s="13"/>
      <c r="K85" s="10"/>
      <c r="L85" s="10"/>
      <c r="M85" s="10"/>
      <c r="N85" s="10"/>
      <c r="O85" s="10"/>
      <c r="P85" s="10"/>
      <c r="Q85" s="10"/>
      <c r="R85" s="8"/>
    </row>
    <row r="86" spans="4:18" ht="13" thickBot="1">
      <c r="E86" s="12">
        <f t="shared" si="1"/>
        <v>0</v>
      </c>
      <c r="F86" s="13" t="s">
        <v>5</v>
      </c>
      <c r="G86" s="9" t="str">
        <f>IF(OR(F85="",F87=""),"",+IF(F85&gt;F87,E85,E87))</f>
        <v/>
      </c>
      <c r="H86" s="16"/>
      <c r="I86" s="10"/>
      <c r="J86" s="14"/>
      <c r="K86" s="10"/>
      <c r="L86" s="10"/>
      <c r="M86" s="10"/>
      <c r="N86" s="10"/>
      <c r="O86" s="10"/>
      <c r="P86" s="10"/>
      <c r="Q86" s="10"/>
      <c r="R86" s="8"/>
    </row>
    <row r="87" spans="4:18" ht="13" thickBot="1">
      <c r="D87">
        <v>39</v>
      </c>
      <c r="E87" s="10">
        <f t="shared" si="1"/>
        <v>39</v>
      </c>
      <c r="F87" s="16"/>
      <c r="G87" s="10"/>
      <c r="H87" s="10"/>
      <c r="I87" s="10"/>
      <c r="J87" s="14" t="s">
        <v>49</v>
      </c>
      <c r="K87" s="9" t="str">
        <f>IF(OR(J84="",J90=""),"",+IF(J84&gt;J90,I84,I90))</f>
        <v/>
      </c>
      <c r="L87" s="17"/>
      <c r="M87" s="10"/>
      <c r="N87" s="10"/>
      <c r="O87" s="10"/>
      <c r="P87" s="10"/>
      <c r="Q87" s="10"/>
      <c r="R87" s="8"/>
    </row>
    <row r="88" spans="4:18">
      <c r="E88" s="12">
        <f t="shared" si="1"/>
        <v>0</v>
      </c>
      <c r="F88" s="10"/>
      <c r="G88" s="10"/>
      <c r="H88" s="10"/>
      <c r="I88" s="10"/>
      <c r="J88" s="14"/>
      <c r="K88" s="10"/>
      <c r="L88" s="10"/>
      <c r="M88" s="19"/>
      <c r="N88" s="10"/>
      <c r="O88" s="10"/>
      <c r="P88" s="10"/>
      <c r="Q88" s="10"/>
      <c r="R88" s="8"/>
    </row>
    <row r="89" spans="4:18" ht="13" thickBot="1">
      <c r="D89">
        <v>40</v>
      </c>
      <c r="E89" s="9">
        <f t="shared" si="1"/>
        <v>40</v>
      </c>
      <c r="F89" s="9"/>
      <c r="G89" s="9">
        <f>E89</f>
        <v>40</v>
      </c>
      <c r="H89" s="11"/>
      <c r="I89" s="10"/>
      <c r="J89" s="14"/>
      <c r="K89" s="10"/>
      <c r="L89" s="10"/>
      <c r="M89" s="19"/>
      <c r="N89" s="10"/>
      <c r="O89" s="10"/>
      <c r="P89" s="10"/>
      <c r="Q89" s="10"/>
      <c r="R89" s="8"/>
    </row>
    <row r="90" spans="4:18" ht="13" thickBot="1">
      <c r="E90" s="10">
        <f t="shared" si="1"/>
        <v>0</v>
      </c>
      <c r="F90" s="10"/>
      <c r="G90" s="10"/>
      <c r="H90" s="13" t="s">
        <v>26</v>
      </c>
      <c r="I90" s="9" t="str">
        <f>IF(OR(H89="",H91=""),"",+IF(H89&gt;H91,E89,E91))</f>
        <v/>
      </c>
      <c r="J90" s="16"/>
      <c r="K90" s="10"/>
      <c r="L90" s="10"/>
      <c r="M90" s="19"/>
      <c r="N90" s="10"/>
      <c r="O90" s="10"/>
      <c r="P90" s="10"/>
      <c r="Q90" s="10"/>
      <c r="R90" s="8"/>
    </row>
    <row r="91" spans="4:18" ht="13" thickBot="1">
      <c r="D91">
        <v>41</v>
      </c>
      <c r="E91" s="9">
        <f t="shared" si="1"/>
        <v>41</v>
      </c>
      <c r="F91" s="9"/>
      <c r="G91" s="9">
        <f>E91</f>
        <v>41</v>
      </c>
      <c r="H91" s="16"/>
      <c r="I91" s="10"/>
      <c r="J91" s="10"/>
      <c r="K91" s="10"/>
      <c r="L91" s="10"/>
      <c r="M91" s="19"/>
      <c r="N91" s="10"/>
      <c r="O91" s="10"/>
      <c r="P91" s="10"/>
      <c r="Q91" s="10"/>
      <c r="R91" s="8"/>
    </row>
    <row r="92" spans="4:18" ht="13" thickBot="1">
      <c r="E92" s="10">
        <f t="shared" si="1"/>
        <v>0</v>
      </c>
      <c r="F92" s="10"/>
      <c r="G92" s="10"/>
      <c r="H92" s="10"/>
      <c r="I92" s="10"/>
      <c r="J92" s="10"/>
      <c r="K92" s="10"/>
      <c r="L92" s="14" t="s">
        <v>61</v>
      </c>
      <c r="M92" s="9" t="str">
        <f>IF(OR(L87="",L96=""),"",+IF(L87&gt;L96,K87,K96))</f>
        <v/>
      </c>
      <c r="N92" s="17"/>
      <c r="O92" s="10"/>
      <c r="P92" s="10"/>
      <c r="Q92" s="10"/>
      <c r="R92" s="8"/>
    </row>
    <row r="93" spans="4:18" ht="13" thickBot="1">
      <c r="D93">
        <v>42</v>
      </c>
      <c r="E93" s="9">
        <f t="shared" si="1"/>
        <v>42</v>
      </c>
      <c r="F93" s="9"/>
      <c r="G93" s="9">
        <f>E93</f>
        <v>42</v>
      </c>
      <c r="H93" s="11"/>
      <c r="I93" s="10"/>
      <c r="J93" s="10"/>
      <c r="K93" s="10"/>
      <c r="L93" s="10"/>
      <c r="M93" s="19"/>
      <c r="N93" s="13"/>
      <c r="O93" s="10"/>
      <c r="P93" s="10"/>
      <c r="Q93" s="10"/>
      <c r="R93" s="8"/>
    </row>
    <row r="94" spans="4:18" ht="13" thickBot="1">
      <c r="E94" s="10">
        <f t="shared" si="1"/>
        <v>0</v>
      </c>
      <c r="F94" s="10"/>
      <c r="G94" s="12"/>
      <c r="H94" s="13" t="s">
        <v>27</v>
      </c>
      <c r="I94" s="9" t="str">
        <f>IF(OR(H93="",H95=""),"",+IF(H93&gt;H95,E93,E95))</f>
        <v/>
      </c>
      <c r="J94" s="17"/>
      <c r="K94" s="10"/>
      <c r="L94" s="10"/>
      <c r="M94" s="19"/>
      <c r="N94" s="14"/>
      <c r="O94" s="10"/>
      <c r="P94" s="10"/>
      <c r="Q94" s="10"/>
      <c r="R94" s="8"/>
    </row>
    <row r="95" spans="4:18" ht="13" thickBot="1">
      <c r="D95">
        <v>43</v>
      </c>
      <c r="E95" s="9">
        <f t="shared" si="1"/>
        <v>43</v>
      </c>
      <c r="F95" s="9"/>
      <c r="G95" s="9">
        <f>E95</f>
        <v>43</v>
      </c>
      <c r="H95" s="16"/>
      <c r="I95" s="10"/>
      <c r="J95" s="14"/>
      <c r="K95" s="10"/>
      <c r="L95" s="10"/>
      <c r="M95" s="19"/>
      <c r="N95" s="14"/>
      <c r="O95" s="10"/>
      <c r="P95" s="10"/>
      <c r="Q95" s="10"/>
      <c r="R95" s="8"/>
    </row>
    <row r="96" spans="4:18" ht="13" thickBot="1">
      <c r="E96" s="10">
        <f t="shared" si="1"/>
        <v>0</v>
      </c>
      <c r="F96" s="10"/>
      <c r="G96" s="12"/>
      <c r="H96" s="10"/>
      <c r="I96" s="10"/>
      <c r="J96" s="14" t="s">
        <v>50</v>
      </c>
      <c r="K96" s="9" t="str">
        <f>IF(OR(J94="",J98=""),"",+IF(J94&gt;J98,I94,I98))</f>
        <v/>
      </c>
      <c r="L96" s="16"/>
      <c r="M96" s="19"/>
      <c r="N96" s="14"/>
      <c r="O96" s="10"/>
      <c r="P96" s="10"/>
      <c r="Q96" s="10"/>
      <c r="R96" s="8"/>
    </row>
    <row r="97" spans="4:18" ht="13" thickBot="1">
      <c r="D97">
        <v>44</v>
      </c>
      <c r="E97" s="9">
        <f t="shared" si="1"/>
        <v>44</v>
      </c>
      <c r="F97" s="9"/>
      <c r="G97" s="9">
        <f>E97</f>
        <v>44</v>
      </c>
      <c r="H97" s="11"/>
      <c r="I97" s="10"/>
      <c r="J97" s="14"/>
      <c r="K97" s="10"/>
      <c r="L97" s="10"/>
      <c r="M97" s="10"/>
      <c r="N97" s="14"/>
      <c r="O97" s="10"/>
      <c r="P97" s="10"/>
      <c r="Q97" s="10"/>
      <c r="R97" s="8"/>
    </row>
    <row r="98" spans="4:18" ht="13" thickBot="1">
      <c r="E98" s="10">
        <f t="shared" si="1"/>
        <v>0</v>
      </c>
      <c r="F98" s="10"/>
      <c r="G98" s="12"/>
      <c r="H98" s="13" t="s">
        <v>28</v>
      </c>
      <c r="I98" s="9" t="str">
        <f>IF(OR(H97="",H99=""),"",+IF(H97&gt;H99,E97,E99))</f>
        <v/>
      </c>
      <c r="J98" s="16"/>
      <c r="K98" s="10"/>
      <c r="L98" s="10"/>
      <c r="M98" s="10"/>
      <c r="N98" s="14"/>
      <c r="O98" s="10"/>
      <c r="P98" s="10"/>
      <c r="Q98" s="10"/>
      <c r="R98" s="8"/>
    </row>
    <row r="99" spans="4:18" ht="13" thickBot="1">
      <c r="D99">
        <v>45</v>
      </c>
      <c r="E99" s="9">
        <f t="shared" si="1"/>
        <v>45</v>
      </c>
      <c r="F99" s="9"/>
      <c r="G99" s="9">
        <f>E99</f>
        <v>45</v>
      </c>
      <c r="H99" s="16"/>
      <c r="I99" s="10"/>
      <c r="J99" s="10"/>
      <c r="K99" s="10"/>
      <c r="L99" s="10"/>
      <c r="M99" s="10"/>
      <c r="N99" s="14"/>
      <c r="O99" s="10"/>
      <c r="P99" s="10"/>
      <c r="Q99" s="10"/>
      <c r="R99" s="8"/>
    </row>
    <row r="100" spans="4:18" ht="13" thickBot="1">
      <c r="E100" s="10">
        <f t="shared" si="1"/>
        <v>0</v>
      </c>
      <c r="F100" s="10"/>
      <c r="G100" s="10"/>
      <c r="H100" s="10"/>
      <c r="I100" s="10"/>
      <c r="J100" s="10"/>
      <c r="K100" s="10"/>
      <c r="L100" s="10"/>
      <c r="M100" s="10"/>
      <c r="N100" s="14" t="s">
        <v>67</v>
      </c>
      <c r="O100" s="9" t="str">
        <f>IF(OR(N92="",N108=""),"",+IF(N92&gt;N108,M92,M108))</f>
        <v/>
      </c>
      <c r="P100" s="17"/>
      <c r="Q100" s="10"/>
      <c r="R100" s="8"/>
    </row>
    <row r="101" spans="4:18" ht="13" thickBot="1">
      <c r="D101">
        <v>46</v>
      </c>
      <c r="E101" s="9">
        <f t="shared" si="1"/>
        <v>46</v>
      </c>
      <c r="F101" s="9"/>
      <c r="G101" s="9">
        <f>E101</f>
        <v>46</v>
      </c>
      <c r="H101" s="11"/>
      <c r="I101" s="10"/>
      <c r="J101" s="10"/>
      <c r="K101" s="10"/>
      <c r="L101" s="10"/>
      <c r="M101" s="10"/>
      <c r="N101" s="14"/>
      <c r="O101" s="10"/>
      <c r="P101" s="14"/>
      <c r="Q101" s="10"/>
      <c r="R101" s="8"/>
    </row>
    <row r="102" spans="4:18" ht="13" thickBot="1">
      <c r="E102" s="10">
        <f t="shared" si="1"/>
        <v>0</v>
      </c>
      <c r="F102" s="10"/>
      <c r="G102" s="12"/>
      <c r="H102" s="13" t="s">
        <v>29</v>
      </c>
      <c r="I102" s="9" t="str">
        <f>IF(OR(H101="",H103=""),"",+IF(H101&gt;H103,E101,E103))</f>
        <v/>
      </c>
      <c r="J102" s="17"/>
      <c r="K102" s="10"/>
      <c r="L102" s="10"/>
      <c r="M102" s="10"/>
      <c r="N102" s="14"/>
      <c r="O102" s="10"/>
      <c r="P102" s="14"/>
      <c r="Q102" s="10"/>
      <c r="R102" s="8"/>
    </row>
    <row r="103" spans="4:18" ht="13" thickBot="1">
      <c r="D103">
        <v>47</v>
      </c>
      <c r="E103" s="9">
        <f t="shared" si="1"/>
        <v>47</v>
      </c>
      <c r="F103" s="9"/>
      <c r="G103" s="9">
        <f>E103</f>
        <v>47</v>
      </c>
      <c r="H103" s="16"/>
      <c r="I103" s="10"/>
      <c r="J103" s="14"/>
      <c r="K103" s="10"/>
      <c r="L103" s="10"/>
      <c r="M103" s="10"/>
      <c r="N103" s="14"/>
      <c r="O103" s="10"/>
      <c r="P103" s="14"/>
      <c r="Q103" s="10"/>
      <c r="R103" s="8"/>
    </row>
    <row r="104" spans="4:18" ht="13" thickBot="1">
      <c r="E104" s="10">
        <f t="shared" si="1"/>
        <v>0</v>
      </c>
      <c r="F104" s="10"/>
      <c r="G104" s="12"/>
      <c r="H104" s="10"/>
      <c r="I104" s="10"/>
      <c r="J104" s="14" t="s">
        <v>51</v>
      </c>
      <c r="K104" s="9" t="str">
        <f>IF(OR(J102="",J106=""),"",+IF(J102&gt;J106,I102,I106))</f>
        <v/>
      </c>
      <c r="L104" s="17"/>
      <c r="M104" s="10"/>
      <c r="N104" s="14"/>
      <c r="O104" s="10"/>
      <c r="P104" s="14"/>
      <c r="Q104" s="10"/>
      <c r="R104" s="8"/>
    </row>
    <row r="105" spans="4:18" ht="13" thickBot="1">
      <c r="D105">
        <v>48</v>
      </c>
      <c r="E105" s="9">
        <f t="shared" si="1"/>
        <v>48</v>
      </c>
      <c r="F105" s="9"/>
      <c r="G105" s="9">
        <f>E105</f>
        <v>48</v>
      </c>
      <c r="H105" s="11"/>
      <c r="I105" s="10"/>
      <c r="J105" s="14"/>
      <c r="K105" s="10"/>
      <c r="L105" s="14"/>
      <c r="M105" s="10"/>
      <c r="N105" s="14"/>
      <c r="O105" s="10"/>
      <c r="P105" s="14"/>
      <c r="Q105" s="10"/>
      <c r="R105" s="8"/>
    </row>
    <row r="106" spans="4:18" ht="13" thickBot="1">
      <c r="E106" s="10">
        <f t="shared" si="1"/>
        <v>0</v>
      </c>
      <c r="F106" s="10"/>
      <c r="G106" s="12"/>
      <c r="H106" s="13" t="s">
        <v>30</v>
      </c>
      <c r="I106" s="9" t="str">
        <f>IF(OR(H105="",H107=""),"",+IF(H105&gt;H107,E105,E107))</f>
        <v/>
      </c>
      <c r="J106" s="16"/>
      <c r="K106" s="10"/>
      <c r="L106" s="14"/>
      <c r="M106" s="10"/>
      <c r="N106" s="14"/>
      <c r="O106" s="10"/>
      <c r="P106" s="14"/>
      <c r="Q106" s="10"/>
      <c r="R106" s="8"/>
    </row>
    <row r="107" spans="4:18" ht="13" thickBot="1">
      <c r="D107">
        <v>49</v>
      </c>
      <c r="E107" s="9">
        <f t="shared" si="1"/>
        <v>49</v>
      </c>
      <c r="F107" s="9"/>
      <c r="G107" s="9">
        <f>E107</f>
        <v>49</v>
      </c>
      <c r="H107" s="16"/>
      <c r="I107" s="10"/>
      <c r="J107" s="10"/>
      <c r="K107" s="10"/>
      <c r="L107" s="14"/>
      <c r="M107" s="10"/>
      <c r="N107" s="14"/>
      <c r="O107" s="10"/>
      <c r="P107" s="14"/>
      <c r="Q107" s="10"/>
      <c r="R107" s="8"/>
    </row>
    <row r="108" spans="4:18" ht="13" thickBot="1">
      <c r="E108" s="10">
        <f t="shared" si="1"/>
        <v>0</v>
      </c>
      <c r="F108" s="10"/>
      <c r="G108" s="10"/>
      <c r="H108" s="10"/>
      <c r="I108" s="10"/>
      <c r="J108" s="10"/>
      <c r="K108" s="10"/>
      <c r="L108" s="14" t="s">
        <v>62</v>
      </c>
      <c r="M108" s="9" t="str">
        <f>IF(OR(L104="",L113=""),"",+IF(L104&gt;L113,K104,K113))</f>
        <v/>
      </c>
      <c r="N108" s="16"/>
      <c r="O108" s="10"/>
      <c r="P108" s="14"/>
      <c r="Q108" s="10"/>
      <c r="R108" s="8"/>
    </row>
    <row r="109" spans="4:18" ht="13" thickBot="1">
      <c r="D109">
        <v>50</v>
      </c>
      <c r="E109" s="9">
        <f t="shared" si="1"/>
        <v>50</v>
      </c>
      <c r="F109" s="9"/>
      <c r="G109" s="9">
        <f>E109</f>
        <v>50</v>
      </c>
      <c r="H109" s="11"/>
      <c r="I109" s="10"/>
      <c r="J109" s="10"/>
      <c r="K109" s="10"/>
      <c r="L109" s="14"/>
      <c r="M109" s="10"/>
      <c r="N109" s="10"/>
      <c r="O109" s="10"/>
      <c r="P109" s="14"/>
      <c r="Q109" s="10"/>
      <c r="R109" s="8"/>
    </row>
    <row r="110" spans="4:18" ht="13" thickBot="1">
      <c r="E110" s="10">
        <f t="shared" si="1"/>
        <v>0</v>
      </c>
      <c r="F110" s="10"/>
      <c r="G110" s="12"/>
      <c r="H110" s="13" t="s">
        <v>31</v>
      </c>
      <c r="I110" s="9" t="str">
        <f>IF(OR(H109="",H111=""),"",+IF(H109&gt;H111,E109,E111))</f>
        <v/>
      </c>
      <c r="J110" s="17"/>
      <c r="K110" s="10"/>
      <c r="L110" s="14"/>
      <c r="M110" s="10"/>
      <c r="N110" s="10"/>
      <c r="O110" s="10"/>
      <c r="P110" s="14"/>
      <c r="Q110" s="10"/>
      <c r="R110" s="8"/>
    </row>
    <row r="111" spans="4:18" ht="13" thickBot="1">
      <c r="D111">
        <v>51</v>
      </c>
      <c r="E111" s="9">
        <f t="shared" si="1"/>
        <v>51</v>
      </c>
      <c r="F111" s="9"/>
      <c r="G111" s="9">
        <f>E111</f>
        <v>51</v>
      </c>
      <c r="H111" s="16"/>
      <c r="I111" s="10"/>
      <c r="J111" s="14"/>
      <c r="K111" s="10"/>
      <c r="L111" s="14"/>
      <c r="M111" s="10"/>
      <c r="N111" s="10"/>
      <c r="O111" s="10"/>
      <c r="P111" s="14"/>
      <c r="Q111" s="10"/>
      <c r="R111" s="8"/>
    </row>
    <row r="112" spans="4:18">
      <c r="E112" s="10">
        <f t="shared" si="1"/>
        <v>0</v>
      </c>
      <c r="F112" s="10"/>
      <c r="G112" s="10"/>
      <c r="H112" s="10"/>
      <c r="I112" s="10"/>
      <c r="J112" s="14"/>
      <c r="K112" s="10"/>
      <c r="L112" s="14"/>
      <c r="M112" s="10"/>
      <c r="N112" s="10"/>
      <c r="O112" s="10"/>
      <c r="P112" s="14"/>
      <c r="Q112" s="10"/>
      <c r="R112" s="8"/>
    </row>
    <row r="113" spans="4:18" ht="13" thickBot="1">
      <c r="D113">
        <v>52</v>
      </c>
      <c r="E113" s="10">
        <f t="shared" si="1"/>
        <v>52</v>
      </c>
      <c r="F113" s="11"/>
      <c r="G113" s="10"/>
      <c r="H113" s="10"/>
      <c r="I113" s="10"/>
      <c r="J113" s="14" t="s">
        <v>52</v>
      </c>
      <c r="K113" s="9" t="str">
        <f>IF(OR(J110="",J116=""),"",+IF(J110&gt;J116,I110,I116))</f>
        <v/>
      </c>
      <c r="L113" s="16"/>
      <c r="M113" s="10"/>
      <c r="N113" s="10"/>
      <c r="O113" s="10"/>
      <c r="P113" s="14"/>
      <c r="Q113" s="10"/>
      <c r="R113" s="8"/>
    </row>
    <row r="114" spans="4:18" ht="13" thickBot="1">
      <c r="E114" s="12">
        <f t="shared" si="1"/>
        <v>0</v>
      </c>
      <c r="F114" s="13" t="s">
        <v>6</v>
      </c>
      <c r="G114" s="9" t="str">
        <f>IF(OR(F113="",F115=""),"",+IF(F113&gt;F115,E113,E115))</f>
        <v/>
      </c>
      <c r="H114" s="11"/>
      <c r="I114" s="10"/>
      <c r="J114" s="14"/>
      <c r="K114" s="10"/>
      <c r="L114" s="10"/>
      <c r="M114" s="10"/>
      <c r="N114" s="10"/>
      <c r="O114" s="10"/>
      <c r="P114" s="14"/>
      <c r="Q114" s="10"/>
      <c r="R114" s="8"/>
    </row>
    <row r="115" spans="4:18" ht="13" thickBot="1">
      <c r="D115">
        <v>53</v>
      </c>
      <c r="E115" s="9">
        <f t="shared" si="1"/>
        <v>53</v>
      </c>
      <c r="F115" s="16"/>
      <c r="G115" s="10"/>
      <c r="H115" s="13"/>
      <c r="I115" s="10"/>
      <c r="J115" s="14"/>
      <c r="K115" s="10"/>
      <c r="L115" s="10"/>
      <c r="M115" s="10"/>
      <c r="N115" s="10"/>
      <c r="O115" s="10"/>
      <c r="P115" s="14"/>
      <c r="Q115" s="10"/>
      <c r="R115" s="8"/>
    </row>
    <row r="116" spans="4:18" ht="13" thickBot="1">
      <c r="E116" s="10">
        <f t="shared" si="1"/>
        <v>0</v>
      </c>
      <c r="F116" s="10"/>
      <c r="G116" s="10"/>
      <c r="H116" s="14" t="s">
        <v>32</v>
      </c>
      <c r="I116" s="9" t="str">
        <f>IF(OR(H114="",H117=""),"",+IF(H114&gt;H117,G114,E117))</f>
        <v/>
      </c>
      <c r="J116" s="16"/>
      <c r="K116" s="10"/>
      <c r="L116" s="10"/>
      <c r="M116" s="10"/>
      <c r="N116" s="10"/>
      <c r="O116" s="10"/>
      <c r="P116" s="14"/>
      <c r="Q116" s="10"/>
      <c r="R116" s="8"/>
    </row>
    <row r="117" spans="4:18" ht="13" thickBot="1">
      <c r="D117">
        <v>54</v>
      </c>
      <c r="E117" s="9">
        <f t="shared" si="1"/>
        <v>54</v>
      </c>
      <c r="F117" s="9"/>
      <c r="G117" s="9">
        <f>E117</f>
        <v>54</v>
      </c>
      <c r="H117" s="16"/>
      <c r="I117" s="10"/>
      <c r="J117" s="10"/>
      <c r="K117" s="10"/>
      <c r="L117" s="10"/>
      <c r="M117" s="10"/>
      <c r="N117" s="10"/>
      <c r="O117" s="10"/>
      <c r="P117" s="14"/>
      <c r="Q117" s="10"/>
      <c r="R117" s="8"/>
    </row>
    <row r="118" spans="4:18">
      <c r="E118" s="10">
        <f t="shared" si="1"/>
        <v>0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4"/>
      <c r="Q118" s="10"/>
      <c r="R118" s="8"/>
    </row>
    <row r="119" spans="4:18" ht="13" thickBot="1">
      <c r="D119">
        <v>55</v>
      </c>
      <c r="E119" s="9">
        <f t="shared" si="1"/>
        <v>55</v>
      </c>
      <c r="F119" s="9"/>
      <c r="G119" s="9">
        <f>E119</f>
        <v>55</v>
      </c>
      <c r="H119" s="11"/>
      <c r="I119" s="10"/>
      <c r="J119" s="10"/>
      <c r="K119" s="10"/>
      <c r="L119" s="10"/>
      <c r="M119" s="10"/>
      <c r="N119" s="10"/>
      <c r="O119" s="10"/>
      <c r="P119" s="14"/>
      <c r="Q119" s="10"/>
      <c r="R119" s="8"/>
    </row>
    <row r="120" spans="4:18" ht="13" thickBot="1">
      <c r="E120" s="12">
        <f t="shared" si="1"/>
        <v>0</v>
      </c>
      <c r="F120" s="10"/>
      <c r="G120" s="10"/>
      <c r="H120" s="13"/>
      <c r="I120" s="10"/>
      <c r="J120" s="10"/>
      <c r="K120" s="10"/>
      <c r="L120" s="10"/>
      <c r="M120" s="10"/>
      <c r="N120" s="10"/>
      <c r="O120" s="10"/>
      <c r="P120" s="14" t="s">
        <v>70</v>
      </c>
      <c r="Q120" s="9" t="str">
        <f>IF(OR(P100="",P137=""),"",+IF(P100&gt;P137,O100,O137))</f>
        <v/>
      </c>
      <c r="R120" s="8"/>
    </row>
    <row r="121" spans="4:18" ht="13" thickBot="1">
      <c r="E121" s="10">
        <f t="shared" si="1"/>
        <v>0</v>
      </c>
      <c r="F121" s="10"/>
      <c r="G121" s="10"/>
      <c r="H121" s="14" t="s">
        <v>33</v>
      </c>
      <c r="I121" s="9" t="str">
        <f>IF(OR(H119="",H123=""),"",+IF(H119&gt;H123,E119,G123))</f>
        <v/>
      </c>
      <c r="J121" s="11"/>
      <c r="K121" s="10"/>
      <c r="L121" s="10"/>
      <c r="M121" s="10"/>
      <c r="N121" s="10"/>
      <c r="O121" s="10"/>
      <c r="P121" s="14"/>
      <c r="Q121" s="10"/>
    </row>
    <row r="122" spans="4:18" ht="13" thickBot="1">
      <c r="D122">
        <v>56</v>
      </c>
      <c r="E122" s="10">
        <f t="shared" si="1"/>
        <v>56</v>
      </c>
      <c r="F122" s="11"/>
      <c r="G122" s="10"/>
      <c r="H122" s="14"/>
      <c r="I122" s="10"/>
      <c r="J122" s="13"/>
      <c r="K122" s="10"/>
      <c r="L122" s="10"/>
      <c r="M122" s="10"/>
      <c r="N122" s="10"/>
      <c r="O122" s="10"/>
      <c r="P122" s="14"/>
      <c r="Q122" s="10"/>
    </row>
    <row r="123" spans="4:18" ht="13" thickBot="1">
      <c r="E123" s="12">
        <f t="shared" si="1"/>
        <v>0</v>
      </c>
      <c r="F123" s="13" t="s">
        <v>7</v>
      </c>
      <c r="G123" s="9" t="str">
        <f>IF(OR(F122="",F124=""),"",+IF(F122&gt;F124,E122,E124))</f>
        <v/>
      </c>
      <c r="H123" s="16"/>
      <c r="I123" s="10"/>
      <c r="J123" s="14"/>
      <c r="K123" s="10"/>
      <c r="L123" s="10"/>
      <c r="M123" s="10"/>
      <c r="N123" s="10"/>
      <c r="O123" s="10"/>
      <c r="P123" s="14"/>
      <c r="Q123" s="10"/>
    </row>
    <row r="124" spans="4:18" ht="13" thickBot="1">
      <c r="D124">
        <v>57</v>
      </c>
      <c r="E124" s="10">
        <f t="shared" si="1"/>
        <v>57</v>
      </c>
      <c r="F124" s="16"/>
      <c r="G124" s="10"/>
      <c r="H124" s="10"/>
      <c r="I124" s="10"/>
      <c r="J124" s="14" t="s">
        <v>53</v>
      </c>
      <c r="K124" s="9" t="str">
        <f>IF(OR(J121="",J127=""),"",+IF(J121&gt;J127,I121,I127))</f>
        <v/>
      </c>
      <c r="L124" s="17"/>
      <c r="M124" s="10"/>
      <c r="N124" s="10"/>
      <c r="O124" s="10"/>
      <c r="P124" s="14"/>
      <c r="Q124" s="10"/>
    </row>
    <row r="125" spans="4:18">
      <c r="E125" s="12">
        <f t="shared" si="1"/>
        <v>0</v>
      </c>
      <c r="F125" s="10"/>
      <c r="G125" s="10"/>
      <c r="H125" s="10"/>
      <c r="I125" s="10"/>
      <c r="J125" s="14"/>
      <c r="K125" s="10"/>
      <c r="L125" s="10"/>
      <c r="M125" s="19"/>
      <c r="N125" s="10"/>
      <c r="O125" s="10"/>
      <c r="P125" s="14"/>
      <c r="Q125" s="10"/>
    </row>
    <row r="126" spans="4:18" ht="13" thickBot="1">
      <c r="D126">
        <v>58</v>
      </c>
      <c r="E126" s="9">
        <f t="shared" si="1"/>
        <v>58</v>
      </c>
      <c r="F126" s="9"/>
      <c r="G126" s="9">
        <f>E126</f>
        <v>58</v>
      </c>
      <c r="H126" s="11"/>
      <c r="I126" s="10"/>
      <c r="J126" s="14"/>
      <c r="K126" s="10"/>
      <c r="L126" s="10"/>
      <c r="M126" s="19"/>
      <c r="N126" s="10"/>
      <c r="O126" s="10"/>
      <c r="P126" s="14"/>
      <c r="Q126" s="10"/>
    </row>
    <row r="127" spans="4:18" ht="13" thickBot="1">
      <c r="E127" s="10">
        <f t="shared" si="1"/>
        <v>0</v>
      </c>
      <c r="F127" s="10"/>
      <c r="G127" s="10"/>
      <c r="H127" s="13" t="s">
        <v>34</v>
      </c>
      <c r="I127" s="9" t="str">
        <f>IF(OR(H126="",H128=""),"",+IF(H126&gt;H128,E126,E128))</f>
        <v/>
      </c>
      <c r="J127" s="16"/>
      <c r="K127" s="10"/>
      <c r="L127" s="10"/>
      <c r="M127" s="19"/>
      <c r="N127" s="10"/>
      <c r="O127" s="10"/>
      <c r="P127" s="14"/>
      <c r="Q127" s="10"/>
    </row>
    <row r="128" spans="4:18" ht="13" thickBot="1">
      <c r="D128">
        <v>59</v>
      </c>
      <c r="E128" s="9">
        <f t="shared" si="1"/>
        <v>59</v>
      </c>
      <c r="F128" s="9"/>
      <c r="G128" s="9">
        <f>E128</f>
        <v>59</v>
      </c>
      <c r="H128" s="16"/>
      <c r="I128" s="10"/>
      <c r="J128" s="10"/>
      <c r="K128" s="10"/>
      <c r="L128" s="10"/>
      <c r="M128" s="19"/>
      <c r="N128" s="10"/>
      <c r="O128" s="10"/>
      <c r="P128" s="14"/>
      <c r="Q128" s="10"/>
    </row>
    <row r="129" spans="4:17" ht="13" thickBot="1">
      <c r="E129" s="10">
        <f t="shared" si="1"/>
        <v>0</v>
      </c>
      <c r="F129" s="10"/>
      <c r="G129" s="10"/>
      <c r="H129" s="10"/>
      <c r="I129" s="10"/>
      <c r="J129" s="10"/>
      <c r="K129" s="10"/>
      <c r="L129" s="14" t="s">
        <v>63</v>
      </c>
      <c r="M129" s="9" t="str">
        <f>IF(OR(L124="",L133=""),"",+IF(L124&gt;L133,K124,K133))</f>
        <v/>
      </c>
      <c r="N129" s="17"/>
      <c r="O129" s="10"/>
      <c r="P129" s="14"/>
      <c r="Q129" s="10"/>
    </row>
    <row r="130" spans="4:17" ht="13" thickBot="1">
      <c r="D130">
        <v>60</v>
      </c>
      <c r="E130" s="9">
        <f t="shared" si="1"/>
        <v>60</v>
      </c>
      <c r="F130" s="9"/>
      <c r="G130" s="9">
        <f>E130</f>
        <v>60</v>
      </c>
      <c r="H130" s="11"/>
      <c r="I130" s="10"/>
      <c r="J130" s="10"/>
      <c r="K130" s="10"/>
      <c r="L130" s="10"/>
      <c r="M130" s="19"/>
      <c r="N130" s="13"/>
      <c r="O130" s="10"/>
      <c r="P130" s="14"/>
      <c r="Q130" s="10"/>
    </row>
    <row r="131" spans="4:17" ht="13" thickBot="1">
      <c r="E131" s="10">
        <f t="shared" si="1"/>
        <v>0</v>
      </c>
      <c r="F131" s="10"/>
      <c r="G131" s="12"/>
      <c r="H131" s="13" t="s">
        <v>35</v>
      </c>
      <c r="I131" s="9" t="str">
        <f>IF(OR(H130="",H132=""),"",+IF(H130&gt;H132,E130,E132))</f>
        <v/>
      </c>
      <c r="J131" s="17"/>
      <c r="K131" s="10"/>
      <c r="L131" s="10"/>
      <c r="M131" s="19"/>
      <c r="N131" s="14"/>
      <c r="O131" s="10"/>
      <c r="P131" s="14"/>
      <c r="Q131" s="10"/>
    </row>
    <row r="132" spans="4:17" ht="13" thickBot="1">
      <c r="D132">
        <v>61</v>
      </c>
      <c r="E132" s="9">
        <f t="shared" si="1"/>
        <v>61</v>
      </c>
      <c r="F132" s="9"/>
      <c r="G132" s="9">
        <f>E132</f>
        <v>61</v>
      </c>
      <c r="H132" s="16"/>
      <c r="I132" s="10"/>
      <c r="J132" s="14"/>
      <c r="K132" s="10"/>
      <c r="L132" s="10"/>
      <c r="M132" s="19"/>
      <c r="N132" s="14"/>
      <c r="O132" s="10"/>
      <c r="P132" s="14"/>
      <c r="Q132" s="10"/>
    </row>
    <row r="133" spans="4:17" ht="13" thickBot="1">
      <c r="E133" s="10">
        <f t="shared" si="1"/>
        <v>0</v>
      </c>
      <c r="F133" s="10"/>
      <c r="G133" s="12"/>
      <c r="H133" s="10"/>
      <c r="I133" s="10"/>
      <c r="J133" s="14" t="s">
        <v>54</v>
      </c>
      <c r="K133" s="9" t="str">
        <f>IF(OR(J131="",J135=""),"",+IF(J131&gt;J135,I131,I135))</f>
        <v/>
      </c>
      <c r="L133" s="16"/>
      <c r="M133" s="19"/>
      <c r="N133" s="14"/>
      <c r="O133" s="10"/>
      <c r="P133" s="14"/>
      <c r="Q133" s="10"/>
    </row>
    <row r="134" spans="4:17" ht="13" thickBot="1">
      <c r="D134">
        <v>62</v>
      </c>
      <c r="E134" s="9">
        <f t="shared" si="1"/>
        <v>62</v>
      </c>
      <c r="F134" s="9"/>
      <c r="G134" s="9">
        <f>E134</f>
        <v>62</v>
      </c>
      <c r="H134" s="11"/>
      <c r="I134" s="10"/>
      <c r="J134" s="14"/>
      <c r="K134" s="10"/>
      <c r="L134" s="10"/>
      <c r="M134" s="10"/>
      <c r="N134" s="14"/>
      <c r="O134" s="10"/>
      <c r="P134" s="14"/>
      <c r="Q134" s="10"/>
    </row>
    <row r="135" spans="4:17" ht="13" thickBot="1">
      <c r="E135" s="10">
        <f t="shared" si="1"/>
        <v>0</v>
      </c>
      <c r="F135" s="10"/>
      <c r="G135" s="12"/>
      <c r="H135" s="13" t="s">
        <v>36</v>
      </c>
      <c r="I135" s="9" t="str">
        <f>IF(OR(H134="",H136=""),"",+IF(H134&gt;H136,E134,E136))</f>
        <v/>
      </c>
      <c r="J135" s="16"/>
      <c r="K135" s="10"/>
      <c r="L135" s="10"/>
      <c r="M135" s="10"/>
      <c r="N135" s="14"/>
      <c r="O135" s="10"/>
      <c r="P135" s="14"/>
      <c r="Q135" s="10"/>
    </row>
    <row r="136" spans="4:17" ht="13" thickBot="1">
      <c r="D136">
        <v>63</v>
      </c>
      <c r="E136" s="9">
        <f t="shared" si="1"/>
        <v>63</v>
      </c>
      <c r="F136" s="9"/>
      <c r="G136" s="9">
        <f>E136</f>
        <v>63</v>
      </c>
      <c r="H136" s="16"/>
      <c r="I136" s="10"/>
      <c r="J136" s="10"/>
      <c r="K136" s="10"/>
      <c r="L136" s="10"/>
      <c r="M136" s="10"/>
      <c r="N136" s="14"/>
      <c r="O136" s="10"/>
      <c r="P136" s="14"/>
      <c r="Q136" s="10"/>
    </row>
    <row r="137" spans="4:17" ht="13" thickBot="1">
      <c r="E137" s="10">
        <f t="shared" si="1"/>
        <v>0</v>
      </c>
      <c r="F137" s="10"/>
      <c r="G137" s="10"/>
      <c r="H137" s="10"/>
      <c r="I137" s="10"/>
      <c r="J137" s="10"/>
      <c r="K137" s="10"/>
      <c r="L137" s="10"/>
      <c r="M137" s="10"/>
      <c r="N137" s="14" t="s">
        <v>68</v>
      </c>
      <c r="O137" s="9" t="str">
        <f>IF(OR(N129="",N145=""),"",+IF(N129&gt;N145,M129,M145))</f>
        <v/>
      </c>
      <c r="P137" s="16"/>
      <c r="Q137" s="10"/>
    </row>
    <row r="138" spans="4:17" ht="13" thickBot="1">
      <c r="D138">
        <v>64</v>
      </c>
      <c r="E138" s="9">
        <f t="shared" ref="E138:E154" si="2">D138</f>
        <v>64</v>
      </c>
      <c r="F138" s="9"/>
      <c r="G138" s="9">
        <f>E138</f>
        <v>64</v>
      </c>
      <c r="H138" s="11"/>
      <c r="I138" s="10"/>
      <c r="J138" s="10"/>
      <c r="K138" s="10"/>
      <c r="L138" s="10"/>
      <c r="M138" s="10"/>
      <c r="N138" s="14"/>
      <c r="O138" s="10"/>
      <c r="P138" s="10"/>
      <c r="Q138" s="10"/>
    </row>
    <row r="139" spans="4:17" ht="13" thickBot="1">
      <c r="E139" s="10">
        <f t="shared" si="2"/>
        <v>0</v>
      </c>
      <c r="F139" s="10"/>
      <c r="G139" s="12"/>
      <c r="H139" s="13" t="s">
        <v>37</v>
      </c>
      <c r="I139" s="9" t="str">
        <f>IF(OR(H138="",H140=""),"",+IF(H138&gt;H140,E138,E140))</f>
        <v/>
      </c>
      <c r="J139" s="17"/>
      <c r="K139" s="10"/>
      <c r="L139" s="10"/>
      <c r="M139" s="10"/>
      <c r="N139" s="14"/>
      <c r="O139" s="10"/>
      <c r="P139" s="10"/>
      <c r="Q139" s="10"/>
    </row>
    <row r="140" spans="4:17" ht="13" thickBot="1">
      <c r="D140">
        <v>65</v>
      </c>
      <c r="E140" s="9">
        <f t="shared" si="2"/>
        <v>65</v>
      </c>
      <c r="F140" s="9"/>
      <c r="G140" s="9">
        <f>E140</f>
        <v>65</v>
      </c>
      <c r="H140" s="16"/>
      <c r="I140" s="10"/>
      <c r="J140" s="14"/>
      <c r="K140" s="10"/>
      <c r="L140" s="10"/>
      <c r="M140" s="10"/>
      <c r="N140" s="14"/>
      <c r="O140" s="10"/>
      <c r="P140" s="10"/>
      <c r="Q140" s="10"/>
    </row>
    <row r="141" spans="4:17" ht="13" thickBot="1">
      <c r="E141" s="10">
        <f t="shared" si="2"/>
        <v>0</v>
      </c>
      <c r="F141" s="10"/>
      <c r="G141" s="12"/>
      <c r="H141" s="10"/>
      <c r="I141" s="10"/>
      <c r="J141" s="14" t="s">
        <v>55</v>
      </c>
      <c r="K141" s="9" t="str">
        <f>IF(OR(J139="",J143=""),"",+IF(J139&gt;J143,I139,I143))</f>
        <v/>
      </c>
      <c r="L141" s="17"/>
      <c r="M141" s="10"/>
      <c r="N141" s="14"/>
      <c r="O141" s="10"/>
      <c r="P141" s="10"/>
      <c r="Q141" s="10"/>
    </row>
    <row r="142" spans="4:17" ht="13" thickBot="1">
      <c r="D142">
        <v>66</v>
      </c>
      <c r="E142" s="9">
        <f t="shared" si="2"/>
        <v>66</v>
      </c>
      <c r="F142" s="9"/>
      <c r="G142" s="9">
        <f>E142</f>
        <v>66</v>
      </c>
      <c r="H142" s="11"/>
      <c r="I142" s="10"/>
      <c r="J142" s="14"/>
      <c r="K142" s="10"/>
      <c r="L142" s="14"/>
      <c r="M142" s="10"/>
      <c r="N142" s="14"/>
      <c r="O142" s="10"/>
      <c r="P142" s="10"/>
      <c r="Q142" s="10"/>
    </row>
    <row r="143" spans="4:17" ht="13" thickBot="1">
      <c r="E143" s="10">
        <f t="shared" si="2"/>
        <v>0</v>
      </c>
      <c r="F143" s="10"/>
      <c r="G143" s="12"/>
      <c r="H143" s="13" t="s">
        <v>38</v>
      </c>
      <c r="I143" s="9" t="str">
        <f>IF(OR(H142="",H144=""),"",+IF(H142&gt;H144,E142,E144))</f>
        <v/>
      </c>
      <c r="J143" s="16"/>
      <c r="K143" s="10"/>
      <c r="L143" s="14"/>
      <c r="M143" s="10"/>
      <c r="N143" s="14"/>
      <c r="O143" s="10"/>
      <c r="P143" s="10"/>
      <c r="Q143" s="10"/>
    </row>
    <row r="144" spans="4:17" ht="13" thickBot="1">
      <c r="D144">
        <v>67</v>
      </c>
      <c r="E144" s="9">
        <f t="shared" si="2"/>
        <v>67</v>
      </c>
      <c r="F144" s="9"/>
      <c r="G144" s="9">
        <f>E144</f>
        <v>67</v>
      </c>
      <c r="H144" s="16"/>
      <c r="I144" s="10"/>
      <c r="J144" s="10"/>
      <c r="K144" s="10"/>
      <c r="L144" s="14"/>
      <c r="M144" s="10"/>
      <c r="N144" s="14"/>
      <c r="O144" s="10"/>
      <c r="P144" s="10"/>
      <c r="Q144" s="10"/>
    </row>
    <row r="145" spans="4:17" ht="13" thickBot="1">
      <c r="E145" s="10">
        <f t="shared" si="2"/>
        <v>0</v>
      </c>
      <c r="F145" s="10"/>
      <c r="G145" s="10"/>
      <c r="H145" s="10"/>
      <c r="I145" s="10"/>
      <c r="J145" s="10"/>
      <c r="K145" s="10"/>
      <c r="L145" s="14" t="s">
        <v>64</v>
      </c>
      <c r="M145" s="9" t="str">
        <f>IF(OR(L141="",L150=""),"",+IF(L141&gt;L150,K141,K150))</f>
        <v/>
      </c>
      <c r="N145" s="16"/>
      <c r="O145" s="10"/>
      <c r="P145" s="10"/>
      <c r="Q145" s="10"/>
    </row>
    <row r="146" spans="4:17" ht="13" thickBot="1">
      <c r="D146">
        <v>68</v>
      </c>
      <c r="E146" s="9">
        <f t="shared" si="2"/>
        <v>68</v>
      </c>
      <c r="F146" s="9"/>
      <c r="G146" s="9">
        <f>E146</f>
        <v>68</v>
      </c>
      <c r="H146" s="11"/>
      <c r="I146" s="10"/>
      <c r="J146" s="10"/>
      <c r="K146" s="10"/>
      <c r="L146" s="14"/>
      <c r="M146" s="10"/>
      <c r="N146" s="10"/>
      <c r="O146" s="10"/>
      <c r="P146" s="10"/>
      <c r="Q146" s="10"/>
    </row>
    <row r="147" spans="4:17" ht="13" thickBot="1">
      <c r="E147" s="10">
        <f t="shared" si="2"/>
        <v>0</v>
      </c>
      <c r="F147" s="10"/>
      <c r="G147" s="12"/>
      <c r="H147" s="13" t="s">
        <v>39</v>
      </c>
      <c r="I147" s="9" t="str">
        <f>IF(OR(H146="",H148=""),"",+IF(H146&gt;H148,E146,E148))</f>
        <v/>
      </c>
      <c r="J147" s="17"/>
      <c r="K147" s="10"/>
      <c r="L147" s="14"/>
      <c r="M147" s="10"/>
      <c r="N147" s="10"/>
      <c r="O147" s="10"/>
      <c r="P147" s="10"/>
      <c r="Q147" s="10"/>
    </row>
    <row r="148" spans="4:17" ht="13" thickBot="1">
      <c r="D148">
        <v>69</v>
      </c>
      <c r="E148" s="9">
        <f t="shared" si="2"/>
        <v>69</v>
      </c>
      <c r="F148" s="9"/>
      <c r="G148" s="9">
        <f>E148</f>
        <v>69</v>
      </c>
      <c r="H148" s="16"/>
      <c r="I148" s="10"/>
      <c r="J148" s="14"/>
      <c r="K148" s="10"/>
      <c r="L148" s="14"/>
      <c r="M148" s="10"/>
      <c r="N148" s="10"/>
      <c r="O148" s="10"/>
      <c r="P148" s="10"/>
      <c r="Q148" s="10"/>
    </row>
    <row r="149" spans="4:17">
      <c r="E149" s="10">
        <f t="shared" si="2"/>
        <v>0</v>
      </c>
      <c r="F149" s="10"/>
      <c r="G149" s="10"/>
      <c r="H149" s="10"/>
      <c r="I149" s="10"/>
      <c r="J149" s="14"/>
      <c r="K149" s="10"/>
      <c r="L149" s="14"/>
      <c r="M149" s="10"/>
      <c r="N149" s="10"/>
      <c r="O149" s="10"/>
      <c r="P149" s="10"/>
      <c r="Q149" s="10"/>
    </row>
    <row r="150" spans="4:17" ht="13" thickBot="1">
      <c r="D150">
        <v>70</v>
      </c>
      <c r="E150" s="10">
        <f t="shared" si="2"/>
        <v>70</v>
      </c>
      <c r="F150" s="11"/>
      <c r="G150" s="10"/>
      <c r="H150" s="10"/>
      <c r="I150" s="10"/>
      <c r="J150" s="14" t="s">
        <v>56</v>
      </c>
      <c r="K150" s="9" t="str">
        <f>IF(OR(J147="",J153=""),"",+IF(J147&gt;J153,I147,I153))</f>
        <v/>
      </c>
      <c r="L150" s="16"/>
      <c r="M150" s="10"/>
      <c r="N150" s="10"/>
      <c r="O150" s="10"/>
      <c r="P150" s="10"/>
      <c r="Q150" s="10"/>
    </row>
    <row r="151" spans="4:17" ht="13" thickBot="1">
      <c r="E151" s="12">
        <f t="shared" si="2"/>
        <v>0</v>
      </c>
      <c r="F151" s="13" t="s">
        <v>8</v>
      </c>
      <c r="G151" s="9" t="str">
        <f>IF(OR(F150="",F152=""),"",+IF(F150&gt;F152,E150,E152))</f>
        <v/>
      </c>
      <c r="H151" s="11"/>
      <c r="I151" s="10"/>
      <c r="J151" s="14"/>
      <c r="K151" s="10"/>
      <c r="L151" s="10"/>
      <c r="M151" s="10"/>
      <c r="N151" s="10"/>
      <c r="O151" s="10"/>
      <c r="P151" s="10"/>
      <c r="Q151" s="10"/>
    </row>
    <row r="152" spans="4:17" ht="13" thickBot="1">
      <c r="D152">
        <v>71</v>
      </c>
      <c r="E152" s="9">
        <f t="shared" si="2"/>
        <v>71</v>
      </c>
      <c r="F152" s="16"/>
      <c r="G152" s="10"/>
      <c r="H152" s="13"/>
      <c r="I152" s="10"/>
      <c r="J152" s="14"/>
      <c r="K152" s="10"/>
      <c r="L152" s="10"/>
      <c r="M152" s="10"/>
      <c r="N152" s="10"/>
      <c r="O152" s="10"/>
      <c r="P152" s="10"/>
      <c r="Q152" s="10"/>
    </row>
    <row r="153" spans="4:17" ht="13" thickBot="1">
      <c r="E153" s="10">
        <f t="shared" si="2"/>
        <v>0</v>
      </c>
      <c r="F153" s="10"/>
      <c r="G153" s="10"/>
      <c r="H153" s="14" t="s">
        <v>40</v>
      </c>
      <c r="I153" s="9" t="str">
        <f>IF(OR(H151="",H154=""),"",+IF(H151&gt;H154,G151,E154))</f>
        <v/>
      </c>
      <c r="J153" s="16"/>
      <c r="K153" s="10"/>
      <c r="L153" s="10"/>
      <c r="M153" s="10"/>
      <c r="N153" s="10"/>
      <c r="O153" s="10"/>
      <c r="P153" s="10"/>
      <c r="Q153" s="10"/>
    </row>
    <row r="154" spans="4:17" ht="13" thickBot="1">
      <c r="D154">
        <v>72</v>
      </c>
      <c r="E154" s="9">
        <f t="shared" si="2"/>
        <v>72</v>
      </c>
      <c r="F154" s="9"/>
      <c r="G154" s="9">
        <f>E154</f>
        <v>72</v>
      </c>
      <c r="H154" s="16"/>
      <c r="I154" s="10"/>
      <c r="J154" s="10"/>
      <c r="K154" s="10"/>
      <c r="L154" s="10"/>
      <c r="M154" s="10"/>
      <c r="N154" s="10"/>
      <c r="O154" s="10"/>
      <c r="P154" s="10"/>
      <c r="Q154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53"/>
  <dimension ref="D4:AG152"/>
  <sheetViews>
    <sheetView showGridLines="0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5" max="15" width="13.87890625" customWidth="1"/>
    <col min="16" max="16" width="3.64453125" customWidth="1"/>
    <col min="17" max="17" width="13.1171875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11718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2</v>
      </c>
      <c r="V5" t="s">
        <v>77</v>
      </c>
      <c r="W5" s="29">
        <f>E12</f>
        <v>3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E45</f>
        <v>19</v>
      </c>
      <c r="V6" t="s">
        <v>77</v>
      </c>
      <c r="W6" s="29">
        <f>E47</f>
        <v>20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>
        <f>D7</f>
        <v>1</v>
      </c>
      <c r="F7" s="9"/>
      <c r="G7" s="9">
        <f>E7</f>
        <v>1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E73</f>
        <v>33</v>
      </c>
      <c r="V7" t="s">
        <v>77</v>
      </c>
      <c r="W7" s="29">
        <f>E75</f>
        <v>34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E83</f>
        <v>37</v>
      </c>
      <c r="V8" t="s">
        <v>77</v>
      </c>
      <c r="W8" s="29">
        <f>E85</f>
        <v>38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8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E111</f>
        <v>51</v>
      </c>
      <c r="V9" t="s">
        <v>77</v>
      </c>
      <c r="W9" s="29">
        <f>E113</f>
        <v>52</v>
      </c>
      <c r="Z9" s="34"/>
      <c r="AA9" s="40"/>
      <c r="AB9" s="40"/>
      <c r="AC9" s="38" t="s">
        <v>159</v>
      </c>
      <c r="AD9" s="48"/>
      <c r="AE9" s="53" t="e">
        <f>LOOKUP(AD9,T$5:T$78,U$5:U$78)</f>
        <v>#N/A</v>
      </c>
      <c r="AF9" s="37" t="s">
        <v>157</v>
      </c>
      <c r="AG9" s="65" t="e">
        <f>LOOKUP(AD9,T$5:T$78,W$5:W$78)</f>
        <v>#N/A</v>
      </c>
    </row>
    <row r="10" spans="4:33" ht="13" thickBot="1">
      <c r="D10">
        <v>2</v>
      </c>
      <c r="E10" s="10">
        <f t="shared" ref="E10:E73" si="0">D10</f>
        <v>2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E120</f>
        <v>55</v>
      </c>
      <c r="V10" t="s">
        <v>77</v>
      </c>
      <c r="W10" s="29">
        <f>E122</f>
        <v>56</v>
      </c>
      <c r="Z10" s="34"/>
      <c r="AA10" s="40"/>
      <c r="AB10" s="40"/>
      <c r="AC10" s="38" t="s">
        <v>159</v>
      </c>
      <c r="AD10" s="48"/>
      <c r="AE10" s="53" t="e">
        <f>LOOKUP(AD10,T$5:T$78,U$5:U$78)</f>
        <v>#N/A</v>
      </c>
      <c r="AF10" s="37" t="s">
        <v>157</v>
      </c>
      <c r="AG10" s="65" t="e">
        <f>LOOKUP(AD10,T$5:T$78,W$5:W$78)</f>
        <v>#N/A</v>
      </c>
    </row>
    <row r="11" spans="4:33" ht="13" thickBot="1">
      <c r="E11" s="12">
        <f t="shared" si="0"/>
        <v>0</v>
      </c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E148</f>
        <v>69</v>
      </c>
      <c r="V11" t="s">
        <v>77</v>
      </c>
      <c r="W11" s="29">
        <f>E150</f>
        <v>70</v>
      </c>
      <c r="Z11" s="34"/>
      <c r="AA11" s="40"/>
      <c r="AB11" s="40"/>
      <c r="AC11" s="38" t="s">
        <v>159</v>
      </c>
      <c r="AD11" s="48"/>
      <c r="AE11" s="53" t="e">
        <f>LOOKUP(AD11,T$5:T$78,U$5:U$78)</f>
        <v>#N/A</v>
      </c>
      <c r="AF11" s="37" t="s">
        <v>157</v>
      </c>
      <c r="AG11" s="65" t="e">
        <f>LOOKUP(AD11,T$5:T$78,W$5:W$78)</f>
        <v>#N/A</v>
      </c>
    </row>
    <row r="12" spans="4:33" ht="13" thickBot="1">
      <c r="D12">
        <v>3</v>
      </c>
      <c r="E12" s="10">
        <f t="shared" si="0"/>
        <v>3</v>
      </c>
      <c r="F12" s="16"/>
      <c r="G12" s="10"/>
      <c r="H12" s="10"/>
      <c r="I12" s="10"/>
      <c r="J12" s="14" t="s">
        <v>40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E7</f>
        <v>1</v>
      </c>
      <c r="V12" t="s">
        <v>77</v>
      </c>
      <c r="W12" s="29" t="s">
        <v>78</v>
      </c>
      <c r="Z12" s="34"/>
      <c r="AA12" s="40"/>
      <c r="AB12" s="40"/>
      <c r="AC12" s="38" t="s">
        <v>159</v>
      </c>
      <c r="AD12" s="48"/>
      <c r="AE12" s="53" t="e">
        <f>LOOKUP(AD12,T$5:T$78,U$5:U$78)</f>
        <v>#N/A</v>
      </c>
      <c r="AF12" s="37" t="s">
        <v>157</v>
      </c>
      <c r="AG12" s="65" t="e">
        <f>LOOKUP(AD12,T$5:T$78,W$5:W$78)</f>
        <v>#N/A</v>
      </c>
    </row>
    <row r="13" spans="4:33">
      <c r="E13" s="12">
        <f t="shared" si="0"/>
        <v>0</v>
      </c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E14</f>
        <v>4</v>
      </c>
      <c r="V13" t="s">
        <v>77</v>
      </c>
      <c r="W13" s="29">
        <f>E16</f>
        <v>5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>
        <f t="shared" si="0"/>
        <v>4</v>
      </c>
      <c r="F14" s="9"/>
      <c r="G14" s="9">
        <f>E14</f>
        <v>4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E18</f>
        <v>6</v>
      </c>
      <c r="V14" t="s">
        <v>77</v>
      </c>
      <c r="W14" s="29">
        <f>E20</f>
        <v>7</v>
      </c>
      <c r="Z14" s="34"/>
      <c r="AA14" s="40"/>
      <c r="AB14" s="40"/>
      <c r="AC14" s="38" t="s">
        <v>159</v>
      </c>
      <c r="AD14" s="48"/>
      <c r="AE14" s="53" t="e">
        <f>LOOKUP(AD14,T$5:T$78,U$5:U$78)</f>
        <v>#N/A</v>
      </c>
      <c r="AF14" s="37" t="s">
        <v>157</v>
      </c>
      <c r="AG14" s="65" t="e">
        <f>LOOKUP(AD14,T$5:T$78,W$5:W$78)</f>
        <v>#N/A</v>
      </c>
    </row>
    <row r="15" spans="4:33" ht="13" thickBot="1">
      <c r="E15" s="10">
        <f t="shared" si="0"/>
        <v>0</v>
      </c>
      <c r="F15" s="10"/>
      <c r="G15" s="10"/>
      <c r="H15" s="13" t="s">
        <v>9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E22</f>
        <v>8</v>
      </c>
      <c r="V15" t="s">
        <v>77</v>
      </c>
      <c r="W15" s="29">
        <f>E24</f>
        <v>9</v>
      </c>
      <c r="Z15" s="34"/>
      <c r="AA15" s="40"/>
      <c r="AB15" s="40"/>
      <c r="AC15" s="38" t="s">
        <v>159</v>
      </c>
      <c r="AD15" s="48"/>
      <c r="AE15" s="53" t="e">
        <f>LOOKUP(AD15,T$5:T$78,U$5:U$78)</f>
        <v>#N/A</v>
      </c>
      <c r="AF15" s="37" t="s">
        <v>157</v>
      </c>
      <c r="AG15" s="65" t="e">
        <f>LOOKUP(AD15,T$5:T$78,W$5:W$78)</f>
        <v>#N/A</v>
      </c>
    </row>
    <row r="16" spans="4:33" ht="13" thickBot="1">
      <c r="D16">
        <v>5</v>
      </c>
      <c r="E16" s="9">
        <f t="shared" si="0"/>
        <v>5</v>
      </c>
      <c r="F16" s="9"/>
      <c r="G16" s="9">
        <f>E16</f>
        <v>5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E26</f>
        <v>10</v>
      </c>
      <c r="V16" t="s">
        <v>77</v>
      </c>
      <c r="W16" s="29">
        <f>E28</f>
        <v>11</v>
      </c>
      <c r="Z16" s="34"/>
      <c r="AA16" s="40"/>
      <c r="AB16" s="40"/>
      <c r="AC16" s="38" t="s">
        <v>159</v>
      </c>
      <c r="AD16" s="48"/>
      <c r="AE16" s="53" t="e">
        <f>LOOKUP(AD16,T$5:T$78,U$5:U$78)</f>
        <v>#N/A</v>
      </c>
      <c r="AF16" s="37" t="s">
        <v>157</v>
      </c>
      <c r="AG16" s="65" t="e">
        <f>LOOKUP(AD16,T$5:T$78,W$5:W$78)</f>
        <v>#N/A</v>
      </c>
    </row>
    <row r="17" spans="4:33" ht="13" thickBot="1">
      <c r="E17" s="10">
        <f t="shared" si="0"/>
        <v>0</v>
      </c>
      <c r="F17" s="10"/>
      <c r="G17" s="10"/>
      <c r="H17" s="10"/>
      <c r="I17" s="10"/>
      <c r="J17" s="10"/>
      <c r="K17" s="10"/>
      <c r="L17" s="14" t="s">
        <v>56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E30</f>
        <v>12</v>
      </c>
      <c r="V17" t="s">
        <v>77</v>
      </c>
      <c r="W17" s="29">
        <f>E32</f>
        <v>13</v>
      </c>
      <c r="Z17" s="34"/>
      <c r="AA17" s="40"/>
      <c r="AB17" s="40"/>
      <c r="AC17" s="38" t="s">
        <v>159</v>
      </c>
      <c r="AD17" s="48"/>
      <c r="AE17" s="53" t="e">
        <f>LOOKUP(AD17,T$5:T$78,U$5:U$78)</f>
        <v>#N/A</v>
      </c>
      <c r="AF17" s="37" t="s">
        <v>157</v>
      </c>
      <c r="AG17" s="65" t="e">
        <f>LOOKUP(AD17,T$5:T$78,W$5:W$78)</f>
        <v>#N/A</v>
      </c>
    </row>
    <row r="18" spans="4:33" ht="13" thickBot="1">
      <c r="D18">
        <v>6</v>
      </c>
      <c r="E18" s="9">
        <f t="shared" si="0"/>
        <v>6</v>
      </c>
      <c r="F18" s="9"/>
      <c r="G18" s="9">
        <f>E18</f>
        <v>6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E34</f>
        <v>14</v>
      </c>
      <c r="V18" t="s">
        <v>77</v>
      </c>
      <c r="W18" s="29">
        <f>E36</f>
        <v>15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>
        <f t="shared" si="0"/>
        <v>0</v>
      </c>
      <c r="F19" s="10"/>
      <c r="G19" s="12"/>
      <c r="H19" s="13" t="s">
        <v>10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E38</f>
        <v>16</v>
      </c>
      <c r="V19" t="s">
        <v>77</v>
      </c>
      <c r="W19" s="29">
        <f>E40</f>
        <v>17</v>
      </c>
      <c r="Z19" s="34"/>
      <c r="AA19" s="40"/>
      <c r="AB19" s="40"/>
      <c r="AC19" s="38" t="s">
        <v>159</v>
      </c>
      <c r="AD19" s="48"/>
      <c r="AE19" s="53" t="e">
        <f>LOOKUP(AD19,T$5:T$78,U$5:U$78)</f>
        <v>#N/A</v>
      </c>
      <c r="AF19" s="37" t="s">
        <v>157</v>
      </c>
      <c r="AG19" s="65" t="e">
        <f>LOOKUP(AD19,T$5:T$78,W$5:W$78)</f>
        <v>#N/A</v>
      </c>
    </row>
    <row r="20" spans="4:33" ht="13" thickBot="1">
      <c r="D20">
        <v>7</v>
      </c>
      <c r="E20" s="9">
        <f t="shared" si="0"/>
        <v>7</v>
      </c>
      <c r="F20" s="9"/>
      <c r="G20" s="9">
        <f>E20</f>
        <v>7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E42</f>
        <v>18</v>
      </c>
      <c r="V20" t="s">
        <v>77</v>
      </c>
      <c r="W20" s="29" t="s">
        <v>160</v>
      </c>
      <c r="Z20" s="34"/>
      <c r="AA20" s="40"/>
      <c r="AB20" s="40"/>
      <c r="AC20" s="38" t="s">
        <v>159</v>
      </c>
      <c r="AD20" s="48"/>
      <c r="AE20" s="53" t="e">
        <f>LOOKUP(AD20,T$5:T$78,U$5:U$78)</f>
        <v>#N/A</v>
      </c>
      <c r="AF20" s="37" t="s">
        <v>157</v>
      </c>
      <c r="AG20" s="65" t="e">
        <f>LOOKUP(AD20,T$5:T$78,W$5:W$78)</f>
        <v>#N/A</v>
      </c>
    </row>
    <row r="21" spans="4:33" ht="13" thickBot="1">
      <c r="E21" s="10">
        <f t="shared" si="0"/>
        <v>0</v>
      </c>
      <c r="F21" s="10"/>
      <c r="G21" s="12"/>
      <c r="H21" s="10"/>
      <c r="I21" s="10"/>
      <c r="J21" s="14" t="s">
        <v>41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E49</f>
        <v>21</v>
      </c>
      <c r="V21" t="s">
        <v>77</v>
      </c>
      <c r="W21" s="29">
        <f>E51</f>
        <v>22</v>
      </c>
      <c r="Z21" s="34"/>
      <c r="AA21" s="40"/>
      <c r="AB21" s="40"/>
      <c r="AC21" s="38" t="s">
        <v>159</v>
      </c>
      <c r="AD21" s="48"/>
      <c r="AE21" s="53" t="e">
        <f>LOOKUP(AD21,T$5:T$78,U$5:U$78)</f>
        <v>#N/A</v>
      </c>
      <c r="AF21" s="37" t="s">
        <v>157</v>
      </c>
      <c r="AG21" s="65" t="e">
        <f>LOOKUP(AD21,T$5:T$78,W$5:W$78)</f>
        <v>#N/A</v>
      </c>
    </row>
    <row r="22" spans="4:33" ht="13" thickBot="1">
      <c r="D22">
        <v>8</v>
      </c>
      <c r="E22" s="9">
        <f t="shared" si="0"/>
        <v>8</v>
      </c>
      <c r="F22" s="9"/>
      <c r="G22" s="9">
        <f>E22</f>
        <v>8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E53</f>
        <v>23</v>
      </c>
      <c r="V22" t="s">
        <v>77</v>
      </c>
      <c r="W22" s="29">
        <f>E55</f>
        <v>24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0">
        <f t="shared" si="0"/>
        <v>0</v>
      </c>
      <c r="F23" s="10"/>
      <c r="G23" s="12"/>
      <c r="H23" s="13" t="s">
        <v>11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E57</f>
        <v>25</v>
      </c>
      <c r="V23" t="s">
        <v>77</v>
      </c>
      <c r="W23" s="29">
        <f>E59</f>
        <v>26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>
        <f t="shared" si="0"/>
        <v>9</v>
      </c>
      <c r="F24" s="9"/>
      <c r="G24" s="9">
        <f>E24</f>
        <v>9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>
        <f>E61</f>
        <v>27</v>
      </c>
      <c r="V24" t="s">
        <v>77</v>
      </c>
      <c r="W24" s="29">
        <f>E63</f>
        <v>28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0">
        <f t="shared" si="0"/>
        <v>0</v>
      </c>
      <c r="F25" s="10"/>
      <c r="G25" s="10"/>
      <c r="H25" s="10"/>
      <c r="I25" s="10"/>
      <c r="J25" s="10"/>
      <c r="K25" s="10"/>
      <c r="L25" s="10"/>
      <c r="M25" s="10"/>
      <c r="N25" s="14" t="s">
        <v>64</v>
      </c>
      <c r="O25" s="9" t="str">
        <f>IF(OR(N17="",N33=""),"",+IF(N17&gt;N33,M17,M33))</f>
        <v/>
      </c>
      <c r="P25" s="17"/>
      <c r="Q25" s="10"/>
      <c r="T25">
        <v>21</v>
      </c>
      <c r="U25" s="28">
        <f>E65</f>
        <v>29</v>
      </c>
      <c r="V25" t="s">
        <v>77</v>
      </c>
      <c r="W25" s="29">
        <f>E67</f>
        <v>30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>
        <f t="shared" si="0"/>
        <v>10</v>
      </c>
      <c r="F26" s="9"/>
      <c r="G26" s="9">
        <f>E26</f>
        <v>10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>
        <f>E69</f>
        <v>31</v>
      </c>
      <c r="V26" t="s">
        <v>77</v>
      </c>
      <c r="W26" s="29">
        <f>E71</f>
        <v>32</v>
      </c>
      <c r="Z26" s="34"/>
      <c r="AA26" s="40"/>
      <c r="AB26" s="40"/>
      <c r="AC26" s="38" t="s">
        <v>159</v>
      </c>
      <c r="AD26" s="48"/>
      <c r="AE26" s="53" t="e">
        <f>LOOKUP(AD26,T$5:T$78,U$5:U$78)</f>
        <v>#N/A</v>
      </c>
      <c r="AF26" s="37" t="s">
        <v>157</v>
      </c>
      <c r="AG26" s="65" t="e">
        <f>LOOKUP(AD26,T$5:T$78,W$5:W$78)</f>
        <v>#N/A</v>
      </c>
    </row>
    <row r="27" spans="4:33" ht="13" thickBot="1">
      <c r="E27" s="10">
        <f t="shared" si="0"/>
        <v>0</v>
      </c>
      <c r="F27" s="10"/>
      <c r="G27" s="10"/>
      <c r="H27" s="13" t="s">
        <v>12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 t="s">
        <v>161</v>
      </c>
      <c r="V27" t="s">
        <v>77</v>
      </c>
      <c r="W27" s="29">
        <f>E77</f>
        <v>35</v>
      </c>
      <c r="Z27" s="34"/>
      <c r="AA27" s="40"/>
      <c r="AB27" s="40"/>
      <c r="AC27" s="38" t="s">
        <v>159</v>
      </c>
      <c r="AD27" s="48"/>
      <c r="AE27" s="53" t="e">
        <f>LOOKUP(AD27,T$5:T$78,U$5:U$78)</f>
        <v>#N/A</v>
      </c>
      <c r="AF27" s="37" t="s">
        <v>157</v>
      </c>
      <c r="AG27" s="65" t="e">
        <f>LOOKUP(AD27,T$5:T$78,W$5:W$78)</f>
        <v>#N/A</v>
      </c>
    </row>
    <row r="28" spans="4:33" ht="13" thickBot="1">
      <c r="D28">
        <v>11</v>
      </c>
      <c r="E28" s="9">
        <f t="shared" si="0"/>
        <v>11</v>
      </c>
      <c r="F28" s="9"/>
      <c r="G28" s="9">
        <f>E28</f>
        <v>11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>
        <f>E80</f>
        <v>36</v>
      </c>
      <c r="V28" t="s">
        <v>77</v>
      </c>
      <c r="W28" s="29" t="s">
        <v>81</v>
      </c>
      <c r="Z28" s="34"/>
      <c r="AA28" s="40"/>
      <c r="AB28" s="40"/>
      <c r="AC28" s="38" t="s">
        <v>159</v>
      </c>
      <c r="AD28" s="48"/>
      <c r="AE28" s="53" t="e">
        <f>LOOKUP(AD28,T$5:T$78,U$5:U$78)</f>
        <v>#N/A</v>
      </c>
      <c r="AF28" s="37" t="s">
        <v>157</v>
      </c>
      <c r="AG28" s="65" t="e">
        <f>LOOKUP(AD28,T$5:T$78,W$5:W$78)</f>
        <v>#N/A</v>
      </c>
    </row>
    <row r="29" spans="4:33" ht="13" thickBot="1">
      <c r="E29" s="10">
        <f t="shared" si="0"/>
        <v>0</v>
      </c>
      <c r="F29" s="10"/>
      <c r="G29" s="10"/>
      <c r="H29" s="10"/>
      <c r="I29" s="10"/>
      <c r="J29" s="14" t="s">
        <v>42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>
        <f>E87</f>
        <v>39</v>
      </c>
      <c r="V29" t="s">
        <v>77</v>
      </c>
      <c r="W29" s="29">
        <f>E89</f>
        <v>40</v>
      </c>
      <c r="Z29" s="34"/>
      <c r="AA29" s="40"/>
      <c r="AB29" s="40"/>
      <c r="AC29" s="38" t="s">
        <v>159</v>
      </c>
      <c r="AD29" s="48"/>
      <c r="AE29" s="53" t="e">
        <f>LOOKUP(AD29,T$5:T$78,U$5:U$78)</f>
        <v>#N/A</v>
      </c>
      <c r="AF29" s="37" t="s">
        <v>157</v>
      </c>
      <c r="AG29" s="65" t="e">
        <f>LOOKUP(AD29,T$5:T$78,W$5:W$78)</f>
        <v>#N/A</v>
      </c>
    </row>
    <row r="30" spans="4:33" ht="13" thickBot="1">
      <c r="D30">
        <v>12</v>
      </c>
      <c r="E30" s="9">
        <f t="shared" si="0"/>
        <v>12</v>
      </c>
      <c r="F30" s="9"/>
      <c r="G30" s="9">
        <f>E30</f>
        <v>12</v>
      </c>
      <c r="H30" s="11"/>
      <c r="I30" s="10"/>
      <c r="J30" s="14"/>
      <c r="K30" s="10"/>
      <c r="L30" s="13"/>
      <c r="M30" s="10"/>
      <c r="N30" s="14"/>
      <c r="O30" s="10"/>
      <c r="P30" s="14"/>
      <c r="Q30" s="10"/>
      <c r="T30">
        <v>26</v>
      </c>
      <c r="U30" s="28">
        <f>E91</f>
        <v>41</v>
      </c>
      <c r="V30" t="s">
        <v>77</v>
      </c>
      <c r="W30" s="29">
        <f>E93</f>
        <v>42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>
        <f t="shared" si="0"/>
        <v>0</v>
      </c>
      <c r="F31" s="10"/>
      <c r="G31" s="10"/>
      <c r="H31" s="13" t="s">
        <v>13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>
        <f>E95</f>
        <v>43</v>
      </c>
      <c r="V31" t="s">
        <v>77</v>
      </c>
      <c r="W31" s="29">
        <f>E97</f>
        <v>44</v>
      </c>
      <c r="Z31" s="34"/>
      <c r="AA31" s="40"/>
      <c r="AB31" s="40"/>
      <c r="AC31" s="38" t="s">
        <v>159</v>
      </c>
      <c r="AD31" s="48"/>
      <c r="AE31" s="53" t="e">
        <f>LOOKUP(AD31,T$5:T$78,U$5:U$78)</f>
        <v>#N/A</v>
      </c>
      <c r="AF31" s="37" t="s">
        <v>157</v>
      </c>
      <c r="AG31" s="65" t="e">
        <f>LOOKUP(AD31,T$5:T$78,W$5:W$78)</f>
        <v>#N/A</v>
      </c>
    </row>
    <row r="32" spans="4:33" ht="13" thickBot="1">
      <c r="D32">
        <v>13</v>
      </c>
      <c r="E32" s="9">
        <f t="shared" si="0"/>
        <v>13</v>
      </c>
      <c r="F32" s="9"/>
      <c r="G32" s="9">
        <f>E32</f>
        <v>13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>
        <f>E99</f>
        <v>45</v>
      </c>
      <c r="V32" t="s">
        <v>77</v>
      </c>
      <c r="W32" s="29">
        <f>E101</f>
        <v>46</v>
      </c>
      <c r="Z32" s="34"/>
      <c r="AA32" s="40"/>
      <c r="AB32" s="40"/>
      <c r="AC32" s="38" t="s">
        <v>159</v>
      </c>
      <c r="AD32" s="48"/>
      <c r="AE32" s="53" t="e">
        <f>LOOKUP(AD32,T$5:T$78,U$5:U$78)</f>
        <v>#N/A</v>
      </c>
      <c r="AF32" s="37" t="s">
        <v>157</v>
      </c>
      <c r="AG32" s="65" t="e">
        <f>LOOKUP(AD32,T$5:T$78,W$5:W$78)</f>
        <v>#N/A</v>
      </c>
    </row>
    <row r="33" spans="4:33" ht="13" thickBot="1">
      <c r="E33" s="10">
        <f t="shared" si="0"/>
        <v>0</v>
      </c>
      <c r="F33" s="10"/>
      <c r="G33" s="10"/>
      <c r="H33" s="10"/>
      <c r="I33" s="10"/>
      <c r="J33" s="10"/>
      <c r="K33" s="10"/>
      <c r="L33" s="14" t="s">
        <v>57</v>
      </c>
      <c r="M33" s="9" t="str">
        <f>IF(OR(L29="",L37=""),"",+IF(L29&gt;L37,K29,K37))</f>
        <v/>
      </c>
      <c r="N33" s="16"/>
      <c r="O33" s="10"/>
      <c r="P33" s="14"/>
      <c r="Q33" s="10"/>
      <c r="T33">
        <v>29</v>
      </c>
      <c r="U33" s="28">
        <f>E103</f>
        <v>47</v>
      </c>
      <c r="V33" t="s">
        <v>77</v>
      </c>
      <c r="W33" s="29">
        <f>E105</f>
        <v>48</v>
      </c>
      <c r="Z33" s="34"/>
      <c r="AA33" s="40"/>
      <c r="AB33" s="40"/>
      <c r="AC33" s="38" t="s">
        <v>159</v>
      </c>
      <c r="AD33" s="48"/>
      <c r="AE33" s="53" t="e">
        <f>LOOKUP(AD33,T$5:T$78,U$5:U$78)</f>
        <v>#N/A</v>
      </c>
      <c r="AF33" s="37" t="s">
        <v>157</v>
      </c>
      <c r="AG33" s="65" t="e">
        <f>LOOKUP(AD33,T$5:T$78,W$5:W$78)</f>
        <v>#N/A</v>
      </c>
    </row>
    <row r="34" spans="4:33" ht="13" thickBot="1">
      <c r="D34">
        <v>14</v>
      </c>
      <c r="E34" s="9">
        <f t="shared" si="0"/>
        <v>14</v>
      </c>
      <c r="F34" s="9"/>
      <c r="G34" s="9">
        <f>E34</f>
        <v>14</v>
      </c>
      <c r="H34" s="11"/>
      <c r="I34" s="10"/>
      <c r="J34" s="10"/>
      <c r="K34" s="10"/>
      <c r="L34" s="14"/>
      <c r="M34" s="10"/>
      <c r="N34" s="10"/>
      <c r="O34" s="10"/>
      <c r="P34" s="14"/>
      <c r="Q34" s="10"/>
      <c r="T34">
        <v>30</v>
      </c>
      <c r="U34" s="28">
        <f>E107</f>
        <v>49</v>
      </c>
      <c r="V34" t="s">
        <v>77</v>
      </c>
      <c r="W34" s="29">
        <f>E109</f>
        <v>50</v>
      </c>
      <c r="Z34" s="34"/>
      <c r="AA34" s="40"/>
      <c r="AB34" s="40"/>
      <c r="AC34" s="38" t="s">
        <v>159</v>
      </c>
      <c r="AD34" s="48"/>
      <c r="AE34" s="53" t="e">
        <f>LOOKUP(AD34,T$5:T$78,U$5:U$78)</f>
        <v>#N/A</v>
      </c>
      <c r="AF34" s="37" t="s">
        <v>157</v>
      </c>
      <c r="AG34" s="65" t="e">
        <f>LOOKUP(AD34,T$5:T$78,W$5:W$78)</f>
        <v>#N/A</v>
      </c>
    </row>
    <row r="35" spans="4:33" ht="13" thickBot="1">
      <c r="E35" s="10">
        <f t="shared" si="0"/>
        <v>0</v>
      </c>
      <c r="F35" s="10"/>
      <c r="G35" s="10"/>
      <c r="H35" s="13" t="s">
        <v>14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 t="s">
        <v>162</v>
      </c>
      <c r="V35" t="s">
        <v>77</v>
      </c>
      <c r="W35" s="29">
        <f>E115</f>
        <v>53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>
        <f t="shared" si="0"/>
        <v>15</v>
      </c>
      <c r="F36" s="9"/>
      <c r="G36" s="9">
        <f>E36</f>
        <v>15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>
        <f>E117</f>
        <v>54</v>
      </c>
      <c r="V36" t="s">
        <v>77</v>
      </c>
      <c r="W36" s="29" t="s">
        <v>163</v>
      </c>
      <c r="Z36" s="34"/>
      <c r="AA36" s="40"/>
      <c r="AB36" s="40"/>
      <c r="AC36" s="38" t="s">
        <v>159</v>
      </c>
      <c r="AD36" s="48"/>
      <c r="AE36" s="53" t="e">
        <f>LOOKUP(AD36,T$5:T$78,U$5:U$78)</f>
        <v>#N/A</v>
      </c>
      <c r="AF36" s="37" t="s">
        <v>157</v>
      </c>
      <c r="AG36" s="65" t="e">
        <f>LOOKUP(AD36,T$5:T$78,W$5:W$78)</f>
        <v>#N/A</v>
      </c>
    </row>
    <row r="37" spans="4:33" ht="13" thickBot="1">
      <c r="E37" s="10">
        <f t="shared" si="0"/>
        <v>0</v>
      </c>
      <c r="F37" s="10"/>
      <c r="G37" s="10"/>
      <c r="H37" s="10"/>
      <c r="I37" s="10"/>
      <c r="J37" s="14" t="s">
        <v>43</v>
      </c>
      <c r="K37" s="9" t="str">
        <f>IF(OR(J35="",J39=""),"",+IF(J35&gt;J39,I35,I39))</f>
        <v/>
      </c>
      <c r="L37" s="16"/>
      <c r="M37" s="10"/>
      <c r="N37" s="10"/>
      <c r="O37" s="10"/>
      <c r="P37" s="14"/>
      <c r="Q37" s="10"/>
      <c r="T37">
        <v>33</v>
      </c>
      <c r="U37" s="28">
        <f>E124</f>
        <v>57</v>
      </c>
      <c r="V37" t="s">
        <v>77</v>
      </c>
      <c r="W37" s="29">
        <f>E126</f>
        <v>58</v>
      </c>
      <c r="Z37" s="34"/>
      <c r="AA37" s="40"/>
      <c r="AB37" s="40"/>
      <c r="AC37" s="38" t="s">
        <v>159</v>
      </c>
      <c r="AD37" s="48"/>
      <c r="AE37" s="53" t="e">
        <f>LOOKUP(AD37,T$5:T$78,U$5:U$78)</f>
        <v>#N/A</v>
      </c>
      <c r="AF37" s="37" t="s">
        <v>157</v>
      </c>
      <c r="AG37" s="65" t="e">
        <f>LOOKUP(AD37,T$5:T$78,W$5:W$78)</f>
        <v>#N/A</v>
      </c>
    </row>
    <row r="38" spans="4:33" ht="13" thickBot="1">
      <c r="D38">
        <v>16</v>
      </c>
      <c r="E38" s="9">
        <f t="shared" si="0"/>
        <v>16</v>
      </c>
      <c r="F38" s="9"/>
      <c r="G38" s="9">
        <f>E38</f>
        <v>16</v>
      </c>
      <c r="H38" s="11"/>
      <c r="I38" s="10"/>
      <c r="J38" s="14"/>
      <c r="K38" s="10"/>
      <c r="L38" s="10"/>
      <c r="M38" s="10"/>
      <c r="N38" s="10"/>
      <c r="O38" s="10"/>
      <c r="P38" s="14"/>
      <c r="Q38" s="10"/>
      <c r="T38">
        <v>34</v>
      </c>
      <c r="U38" s="28">
        <f>E128</f>
        <v>59</v>
      </c>
      <c r="V38" t="s">
        <v>77</v>
      </c>
      <c r="W38" s="29">
        <f>E130</f>
        <v>60</v>
      </c>
      <c r="Z38" s="34"/>
      <c r="AA38" s="40"/>
      <c r="AB38" s="40"/>
      <c r="AC38" s="38" t="s">
        <v>159</v>
      </c>
      <c r="AD38" s="48"/>
      <c r="AE38" s="53" t="e">
        <f>LOOKUP(AD38,T$5:T$78,U$5:U$78)</f>
        <v>#N/A</v>
      </c>
      <c r="AF38" s="37" t="s">
        <v>157</v>
      </c>
      <c r="AG38" s="65" t="e">
        <f>LOOKUP(AD38,T$5:T$78,W$5:W$78)</f>
        <v>#N/A</v>
      </c>
    </row>
    <row r="39" spans="4:33" ht="13" thickBot="1">
      <c r="E39" s="10">
        <f t="shared" si="0"/>
        <v>0</v>
      </c>
      <c r="F39" s="10"/>
      <c r="G39" s="10"/>
      <c r="H39" s="13" t="s">
        <v>15</v>
      </c>
      <c r="I39" s="9" t="str">
        <f>IF(OR(H38="",H40=""),"",+IF(H38&gt;H40,E38,E40))</f>
        <v/>
      </c>
      <c r="J39" s="16"/>
      <c r="K39" s="10"/>
      <c r="L39" s="10"/>
      <c r="M39" s="10"/>
      <c r="N39" s="10"/>
      <c r="O39" s="10"/>
      <c r="P39" s="14"/>
      <c r="Q39" s="10"/>
      <c r="T39">
        <v>35</v>
      </c>
      <c r="U39" s="28">
        <f>E132</f>
        <v>61</v>
      </c>
      <c r="V39" t="s">
        <v>77</v>
      </c>
      <c r="W39" s="29">
        <f>E134</f>
        <v>62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D40">
        <v>17</v>
      </c>
      <c r="E40" s="9">
        <f t="shared" si="0"/>
        <v>17</v>
      </c>
      <c r="F40" s="9"/>
      <c r="G40" s="9">
        <f>E40</f>
        <v>17</v>
      </c>
      <c r="H40" s="16"/>
      <c r="I40" s="10"/>
      <c r="J40" s="10"/>
      <c r="K40" s="10"/>
      <c r="L40" s="10"/>
      <c r="M40" s="10"/>
      <c r="N40" s="10"/>
      <c r="O40" s="10"/>
      <c r="P40" s="14"/>
      <c r="Q40" s="10"/>
      <c r="T40">
        <v>36</v>
      </c>
      <c r="U40" s="28">
        <f>E136</f>
        <v>63</v>
      </c>
      <c r="V40" t="s">
        <v>77</v>
      </c>
      <c r="W40" s="29">
        <f>E138</f>
        <v>64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>
        <f t="shared" si="0"/>
        <v>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4" t="s">
        <v>68</v>
      </c>
      <c r="Q41" s="9" t="str">
        <f>IF(OR(P25="",P60=""),"",+IF(P25&gt;P60,O25,O60))</f>
        <v/>
      </c>
      <c r="T41">
        <v>37</v>
      </c>
      <c r="U41" s="28">
        <f>E140</f>
        <v>65</v>
      </c>
      <c r="V41" t="s">
        <v>77</v>
      </c>
      <c r="W41" s="29">
        <f>E142</f>
        <v>66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9">
        <f t="shared" si="0"/>
        <v>18</v>
      </c>
      <c r="F42" s="9"/>
      <c r="G42" s="9">
        <f>E42</f>
        <v>18</v>
      </c>
      <c r="H42" s="11"/>
      <c r="I42" s="10"/>
      <c r="J42" s="10"/>
      <c r="K42" s="10"/>
      <c r="L42" s="10"/>
      <c r="M42" s="10"/>
      <c r="N42" s="10"/>
      <c r="O42" s="10"/>
      <c r="P42" s="14"/>
      <c r="Q42" s="10"/>
      <c r="R42" s="8"/>
      <c r="T42">
        <v>38</v>
      </c>
      <c r="U42" s="28">
        <f>E144</f>
        <v>67</v>
      </c>
      <c r="V42" t="s">
        <v>77</v>
      </c>
      <c r="W42" s="29">
        <f>E146</f>
        <v>68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>
      <c r="E43" s="12">
        <f t="shared" si="0"/>
        <v>0</v>
      </c>
      <c r="F43" s="10"/>
      <c r="G43" s="10"/>
      <c r="H43" s="13"/>
      <c r="I43" s="10"/>
      <c r="J43" s="10"/>
      <c r="K43" s="10"/>
      <c r="L43" s="10"/>
      <c r="M43" s="10"/>
      <c r="N43" s="10"/>
      <c r="O43" s="10"/>
      <c r="P43" s="14"/>
      <c r="Q43" s="10"/>
      <c r="R43" s="8"/>
      <c r="T43">
        <v>39</v>
      </c>
      <c r="U43" s="28" t="s">
        <v>84</v>
      </c>
      <c r="V43" t="s">
        <v>77</v>
      </c>
      <c r="W43" s="29">
        <f>E152</f>
        <v>71</v>
      </c>
      <c r="Z43" s="34"/>
      <c r="AA43" s="40"/>
      <c r="AB43" s="40"/>
      <c r="AC43" s="38" t="s">
        <v>159</v>
      </c>
      <c r="AD43" s="48"/>
      <c r="AE43" s="53" t="e">
        <f>LOOKUP(AD43,T$5:T$78,U$5:U$78)</f>
        <v>#N/A</v>
      </c>
      <c r="AF43" s="37" t="s">
        <v>157</v>
      </c>
      <c r="AG43" s="65" t="e">
        <f>LOOKUP(AD43,T$5:T$78,W$5:W$78)</f>
        <v>#N/A</v>
      </c>
    </row>
    <row r="44" spans="4:33" ht="13" thickBot="1">
      <c r="E44" s="10">
        <f t="shared" si="0"/>
        <v>0</v>
      </c>
      <c r="F44" s="10"/>
      <c r="G44" s="10"/>
      <c r="H44" s="14" t="s">
        <v>16</v>
      </c>
      <c r="I44" s="9" t="str">
        <f>IF(OR(H42="",H46=""),"",+IF(H42&gt;H46,E42,G46))</f>
        <v/>
      </c>
      <c r="J44" s="11"/>
      <c r="K44" s="10"/>
      <c r="L44" s="10"/>
      <c r="M44" s="10"/>
      <c r="N44" s="10"/>
      <c r="O44" s="10"/>
      <c r="P44" s="14"/>
      <c r="Q44" s="10"/>
      <c r="R44" s="8"/>
      <c r="T44">
        <v>40</v>
      </c>
      <c r="U44" s="28" t="s">
        <v>164</v>
      </c>
      <c r="V44" t="s">
        <v>77</v>
      </c>
      <c r="W44" s="29" t="s">
        <v>86</v>
      </c>
      <c r="Z44" s="34"/>
      <c r="AA44" s="40"/>
      <c r="AB44" s="40"/>
      <c r="AC44" s="38" t="s">
        <v>159</v>
      </c>
      <c r="AD44" s="48"/>
      <c r="AE44" s="53" t="e">
        <f>LOOKUP(AD44,T$5:T$78,U$5:U$78)</f>
        <v>#N/A</v>
      </c>
      <c r="AF44" s="37" t="s">
        <v>157</v>
      </c>
      <c r="AG44" s="65" t="e">
        <f>LOOKUP(AD44,T$5:T$78,W$5:W$78)</f>
        <v>#N/A</v>
      </c>
    </row>
    <row r="45" spans="4:33" ht="13" thickBot="1">
      <c r="D45">
        <v>19</v>
      </c>
      <c r="E45" s="10">
        <f t="shared" si="0"/>
        <v>19</v>
      </c>
      <c r="F45" s="11"/>
      <c r="G45" s="10"/>
      <c r="H45" s="14"/>
      <c r="I45" s="10"/>
      <c r="J45" s="13"/>
      <c r="K45" s="10"/>
      <c r="L45" s="10"/>
      <c r="M45" s="10"/>
      <c r="N45" s="10"/>
      <c r="O45" s="10"/>
      <c r="P45" s="14"/>
      <c r="Q45" s="10"/>
      <c r="R45" s="8"/>
      <c r="T45">
        <v>41</v>
      </c>
      <c r="U45" s="28" t="s">
        <v>87</v>
      </c>
      <c r="V45" t="s">
        <v>77</v>
      </c>
      <c r="W45" s="29" t="s">
        <v>88</v>
      </c>
      <c r="Z45" s="34"/>
      <c r="AA45" s="40"/>
      <c r="AB45" s="40"/>
      <c r="AC45" s="38" t="s">
        <v>159</v>
      </c>
      <c r="AD45" s="48"/>
      <c r="AE45" s="53" t="e">
        <f>LOOKUP(AD45,T$5:T$78,U$5:U$78)</f>
        <v>#N/A</v>
      </c>
      <c r="AF45" s="37" t="s">
        <v>157</v>
      </c>
      <c r="AG45" s="65" t="e">
        <f>LOOKUP(AD45,T$5:T$78,W$5:W$78)</f>
        <v>#N/A</v>
      </c>
    </row>
    <row r="46" spans="4:33" ht="13" thickBot="1">
      <c r="E46" s="12">
        <f t="shared" si="0"/>
        <v>0</v>
      </c>
      <c r="F46" s="13" t="s">
        <v>2</v>
      </c>
      <c r="G46" s="9" t="str">
        <f>IF(OR(F45="",F47=""),"",+IF(F45&gt;F47,E45,E47))</f>
        <v/>
      </c>
      <c r="H46" s="16"/>
      <c r="I46" s="10"/>
      <c r="J46" s="14"/>
      <c r="K46" s="10"/>
      <c r="L46" s="10"/>
      <c r="M46" s="10"/>
      <c r="N46" s="10"/>
      <c r="O46" s="10"/>
      <c r="P46" s="14"/>
      <c r="Q46" s="10"/>
      <c r="R46" s="8"/>
      <c r="T46">
        <v>42</v>
      </c>
      <c r="U46" s="28" t="s">
        <v>89</v>
      </c>
      <c r="V46" t="s">
        <v>77</v>
      </c>
      <c r="W46" s="29" t="s">
        <v>90</v>
      </c>
      <c r="Z46" s="34"/>
      <c r="AA46" s="40"/>
      <c r="AB46" s="40"/>
      <c r="AC46" s="38" t="s">
        <v>159</v>
      </c>
      <c r="AD46" s="48"/>
      <c r="AE46" s="53" t="e">
        <f>LOOKUP(AD46,T$5:T$78,U$5:U$78)</f>
        <v>#N/A</v>
      </c>
      <c r="AF46" s="37" t="s">
        <v>157</v>
      </c>
      <c r="AG46" s="65" t="e">
        <f>LOOKUP(AD46,T$5:T$78,W$5:W$78)</f>
        <v>#N/A</v>
      </c>
    </row>
    <row r="47" spans="4:33" ht="13" thickBot="1">
      <c r="D47">
        <v>20</v>
      </c>
      <c r="E47" s="10">
        <f t="shared" si="0"/>
        <v>20</v>
      </c>
      <c r="F47" s="16"/>
      <c r="G47" s="10"/>
      <c r="H47" s="10"/>
      <c r="I47" s="10"/>
      <c r="J47" s="14" t="s">
        <v>44</v>
      </c>
      <c r="K47" s="9" t="str">
        <f>IF(OR(J44="",J50=""),"",+IF(J44&gt;J50,I44,I50))</f>
        <v/>
      </c>
      <c r="L47" s="17"/>
      <c r="M47" s="10"/>
      <c r="N47" s="10"/>
      <c r="O47" s="10"/>
      <c r="P47" s="14"/>
      <c r="Q47" s="10"/>
      <c r="R47" s="8"/>
      <c r="T47">
        <v>43</v>
      </c>
      <c r="U47" s="28" t="s">
        <v>91</v>
      </c>
      <c r="V47" t="s">
        <v>77</v>
      </c>
      <c r="W47" s="29" t="s">
        <v>92</v>
      </c>
      <c r="Z47" s="34"/>
      <c r="AA47" s="41"/>
      <c r="AB47" s="33"/>
      <c r="AC47" s="33"/>
      <c r="AD47" s="50"/>
      <c r="AE47" s="54"/>
      <c r="AF47" s="33"/>
      <c r="AG47" s="58"/>
    </row>
    <row r="48" spans="4:33">
      <c r="E48" s="12">
        <f t="shared" si="0"/>
        <v>0</v>
      </c>
      <c r="F48" s="10"/>
      <c r="G48" s="10"/>
      <c r="H48" s="10"/>
      <c r="I48" s="10"/>
      <c r="J48" s="14"/>
      <c r="K48" s="10"/>
      <c r="L48" s="10"/>
      <c r="M48" s="19"/>
      <c r="N48" s="10"/>
      <c r="O48" s="10"/>
      <c r="P48" s="14"/>
      <c r="Q48" s="10"/>
      <c r="R48" s="8"/>
      <c r="T48">
        <v>44</v>
      </c>
      <c r="U48" s="28" t="s">
        <v>165</v>
      </c>
      <c r="V48" t="s">
        <v>77</v>
      </c>
      <c r="W48" s="29" t="s">
        <v>94</v>
      </c>
      <c r="Z48" s="34"/>
      <c r="AA48" s="40"/>
      <c r="AB48" s="40"/>
      <c r="AC48" s="38" t="s">
        <v>159</v>
      </c>
      <c r="AD48" s="48"/>
      <c r="AE48" s="53" t="e">
        <f>LOOKUP(AD48,T$5:T$78,U$5:U$78)</f>
        <v>#N/A</v>
      </c>
      <c r="AF48" s="37" t="s">
        <v>157</v>
      </c>
      <c r="AG48" s="65" t="e">
        <f>LOOKUP(AD48,T$5:T$78,W$5:W$78)</f>
        <v>#N/A</v>
      </c>
    </row>
    <row r="49" spans="4:33" ht="13" thickBot="1">
      <c r="D49">
        <v>21</v>
      </c>
      <c r="E49" s="9">
        <f t="shared" si="0"/>
        <v>21</v>
      </c>
      <c r="F49" s="9"/>
      <c r="G49" s="9">
        <f>E49</f>
        <v>21</v>
      </c>
      <c r="H49" s="11"/>
      <c r="I49" s="10"/>
      <c r="J49" s="14"/>
      <c r="K49" s="10"/>
      <c r="L49" s="10"/>
      <c r="M49" s="19"/>
      <c r="N49" s="10"/>
      <c r="O49" s="10"/>
      <c r="P49" s="14"/>
      <c r="Q49" s="10"/>
      <c r="R49" s="8"/>
      <c r="T49">
        <v>45</v>
      </c>
      <c r="U49" s="28" t="s">
        <v>95</v>
      </c>
      <c r="V49" t="s">
        <v>77</v>
      </c>
      <c r="W49" s="29" t="s">
        <v>96</v>
      </c>
      <c r="Z49" s="34"/>
      <c r="AA49" s="40"/>
      <c r="AB49" s="40"/>
      <c r="AC49" s="38" t="s">
        <v>159</v>
      </c>
      <c r="AD49" s="48"/>
      <c r="AE49" s="53" t="e">
        <f>LOOKUP(AD49,T$5:T$78,U$5:U$78)</f>
        <v>#N/A</v>
      </c>
      <c r="AF49" s="37" t="s">
        <v>157</v>
      </c>
      <c r="AG49" s="65" t="e">
        <f>LOOKUP(AD49,T$5:T$78,W$5:W$78)</f>
        <v>#N/A</v>
      </c>
    </row>
    <row r="50" spans="4:33" ht="13" thickBot="1">
      <c r="E50" s="10">
        <f t="shared" si="0"/>
        <v>0</v>
      </c>
      <c r="F50" s="10"/>
      <c r="G50" s="10"/>
      <c r="H50" s="13" t="s">
        <v>17</v>
      </c>
      <c r="I50" s="9" t="str">
        <f>IF(OR(H49="",H51=""),"",+IF(H49&gt;H51,E49,E51))</f>
        <v/>
      </c>
      <c r="J50" s="16"/>
      <c r="K50" s="10"/>
      <c r="L50" s="10"/>
      <c r="M50" s="19"/>
      <c r="N50" s="10"/>
      <c r="O50" s="10"/>
      <c r="P50" s="14"/>
      <c r="Q50" s="10"/>
      <c r="R50" s="8"/>
      <c r="T50">
        <v>46</v>
      </c>
      <c r="U50" s="28" t="s">
        <v>97</v>
      </c>
      <c r="V50" t="s">
        <v>77</v>
      </c>
      <c r="W50" s="29" t="s">
        <v>98</v>
      </c>
      <c r="Z50" s="34"/>
      <c r="AA50" s="40"/>
      <c r="AB50" s="40"/>
      <c r="AC50" s="38" t="s">
        <v>159</v>
      </c>
      <c r="AD50" s="48"/>
      <c r="AE50" s="53" t="e">
        <f>LOOKUP(AD50,T$5:T$78,U$5:U$78)</f>
        <v>#N/A</v>
      </c>
      <c r="AF50" s="37" t="s">
        <v>157</v>
      </c>
      <c r="AG50" s="65" t="e">
        <f>LOOKUP(AD50,T$5:T$78,W$5:W$78)</f>
        <v>#N/A</v>
      </c>
    </row>
    <row r="51" spans="4:33" ht="13" thickBot="1">
      <c r="D51">
        <v>22</v>
      </c>
      <c r="E51" s="9">
        <f t="shared" si="0"/>
        <v>22</v>
      </c>
      <c r="F51" s="9"/>
      <c r="G51" s="9">
        <f>E51</f>
        <v>22</v>
      </c>
      <c r="H51" s="16"/>
      <c r="I51" s="10"/>
      <c r="J51" s="10"/>
      <c r="K51" s="10"/>
      <c r="L51" s="10"/>
      <c r="M51" s="19"/>
      <c r="N51" s="10"/>
      <c r="O51" s="10"/>
      <c r="P51" s="14"/>
      <c r="Q51" s="10"/>
      <c r="R51" s="8"/>
      <c r="T51">
        <v>47</v>
      </c>
      <c r="U51" s="28" t="s">
        <v>99</v>
      </c>
      <c r="V51" t="s">
        <v>77</v>
      </c>
      <c r="W51" s="29" t="s">
        <v>100</v>
      </c>
      <c r="Z51" s="34"/>
      <c r="AA51" s="40"/>
      <c r="AB51" s="40"/>
      <c r="AC51" s="38" t="s">
        <v>159</v>
      </c>
      <c r="AD51" s="48"/>
      <c r="AE51" s="53" t="e">
        <f>LOOKUP(AD51,T$5:T$78,U$5:U$78)</f>
        <v>#N/A</v>
      </c>
      <c r="AF51" s="37" t="s">
        <v>157</v>
      </c>
      <c r="AG51" s="65" t="e">
        <f>LOOKUP(AD51,T$5:T$78,W$5:W$78)</f>
        <v>#N/A</v>
      </c>
    </row>
    <row r="52" spans="4:33" ht="13" thickBot="1">
      <c r="E52" s="10">
        <f t="shared" si="0"/>
        <v>0</v>
      </c>
      <c r="F52" s="10"/>
      <c r="G52" s="10"/>
      <c r="H52" s="10"/>
      <c r="I52" s="10"/>
      <c r="J52" s="10"/>
      <c r="K52" s="10"/>
      <c r="L52" s="14" t="s">
        <v>58</v>
      </c>
      <c r="M52" s="9" t="str">
        <f>IF(OR(L47="",L56=""),"",+IF(L47&gt;L56,K47,K56))</f>
        <v/>
      </c>
      <c r="N52" s="17"/>
      <c r="O52" s="10"/>
      <c r="P52" s="14"/>
      <c r="Q52" s="10"/>
      <c r="R52" s="8"/>
      <c r="T52">
        <v>48</v>
      </c>
      <c r="U52" s="28" t="s">
        <v>101</v>
      </c>
      <c r="V52" t="s">
        <v>77</v>
      </c>
      <c r="W52" s="29" t="s">
        <v>102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9">
        <f t="shared" si="0"/>
        <v>23</v>
      </c>
      <c r="F53" s="9"/>
      <c r="G53" s="9">
        <f>E53</f>
        <v>23</v>
      </c>
      <c r="H53" s="11"/>
      <c r="I53" s="10"/>
      <c r="J53" s="10"/>
      <c r="K53" s="10"/>
      <c r="L53" s="10"/>
      <c r="M53" s="19"/>
      <c r="N53" s="13"/>
      <c r="O53" s="10"/>
      <c r="P53" s="14"/>
      <c r="Q53" s="10"/>
      <c r="R53" s="8"/>
      <c r="T53">
        <v>49</v>
      </c>
      <c r="U53" s="28" t="s">
        <v>103</v>
      </c>
      <c r="V53" t="s">
        <v>77</v>
      </c>
      <c r="W53" s="29" t="s">
        <v>104</v>
      </c>
      <c r="Z53" s="34"/>
      <c r="AA53" s="40"/>
      <c r="AB53" s="40"/>
      <c r="AC53" s="38" t="s">
        <v>159</v>
      </c>
      <c r="AD53" s="48"/>
      <c r="AE53" s="53" t="e">
        <f>LOOKUP(AD53,T$5:T$78,U$5:U$78)</f>
        <v>#N/A</v>
      </c>
      <c r="AF53" s="37" t="s">
        <v>157</v>
      </c>
      <c r="AG53" s="65" t="e">
        <f>LOOKUP(AD53,T$5:T$78,W$5:W$78)</f>
        <v>#N/A</v>
      </c>
    </row>
    <row r="54" spans="4:33" ht="13" thickBot="1">
      <c r="E54" s="10">
        <f t="shared" si="0"/>
        <v>0</v>
      </c>
      <c r="F54" s="10"/>
      <c r="G54" s="12"/>
      <c r="H54" s="13" t="s">
        <v>18</v>
      </c>
      <c r="I54" s="9" t="str">
        <f>IF(OR(H53="",H55=""),"",+IF(H53&gt;H55,E53,E55))</f>
        <v/>
      </c>
      <c r="J54" s="17"/>
      <c r="K54" s="10"/>
      <c r="L54" s="10"/>
      <c r="M54" s="19"/>
      <c r="N54" s="14"/>
      <c r="O54" s="10"/>
      <c r="P54" s="14"/>
      <c r="Q54" s="10"/>
      <c r="R54" s="8"/>
      <c r="T54">
        <v>50</v>
      </c>
      <c r="U54" s="28" t="s">
        <v>105</v>
      </c>
      <c r="V54" t="s">
        <v>77</v>
      </c>
      <c r="W54" s="29" t="s">
        <v>106</v>
      </c>
      <c r="Z54" s="34"/>
      <c r="AA54" s="40"/>
      <c r="AB54" s="40"/>
      <c r="AC54" s="38" t="s">
        <v>159</v>
      </c>
      <c r="AD54" s="48"/>
      <c r="AE54" s="53" t="e">
        <f>LOOKUP(AD54,T$5:T$78,U$5:U$78)</f>
        <v>#N/A</v>
      </c>
      <c r="AF54" s="37" t="s">
        <v>157</v>
      </c>
      <c r="AG54" s="65" t="e">
        <f>LOOKUP(AD54,T$5:T$78,W$5:W$78)</f>
        <v>#N/A</v>
      </c>
    </row>
    <row r="55" spans="4:33" ht="13" thickBot="1">
      <c r="D55">
        <v>24</v>
      </c>
      <c r="E55" s="9">
        <f t="shared" si="0"/>
        <v>24</v>
      </c>
      <c r="F55" s="9"/>
      <c r="G55" s="9">
        <f>E55</f>
        <v>24</v>
      </c>
      <c r="H55" s="16"/>
      <c r="I55" s="10"/>
      <c r="J55" s="14"/>
      <c r="K55" s="10"/>
      <c r="L55" s="10"/>
      <c r="M55" s="19"/>
      <c r="N55" s="14"/>
      <c r="O55" s="10"/>
      <c r="P55" s="14"/>
      <c r="Q55" s="10"/>
      <c r="R55" s="8"/>
      <c r="T55">
        <v>51</v>
      </c>
      <c r="U55" s="28" t="s">
        <v>107</v>
      </c>
      <c r="V55" t="s">
        <v>77</v>
      </c>
      <c r="W55" s="29" t="s">
        <v>108</v>
      </c>
      <c r="Z55" s="34"/>
      <c r="AA55" s="40"/>
      <c r="AB55" s="40"/>
      <c r="AC55" s="38" t="s">
        <v>159</v>
      </c>
      <c r="AD55" s="48"/>
      <c r="AE55" s="53" t="e">
        <f>LOOKUP(AD55,T$5:T$78,U$5:U$78)</f>
        <v>#N/A</v>
      </c>
      <c r="AF55" s="37" t="s">
        <v>157</v>
      </c>
      <c r="AG55" s="65" t="e">
        <f>LOOKUP(AD55,T$5:T$78,W$5:W$78)</f>
        <v>#N/A</v>
      </c>
    </row>
    <row r="56" spans="4:33" ht="13" thickBot="1">
      <c r="E56" s="10">
        <f t="shared" si="0"/>
        <v>0</v>
      </c>
      <c r="F56" s="10"/>
      <c r="G56" s="12"/>
      <c r="H56" s="10"/>
      <c r="I56" s="10"/>
      <c r="J56" s="14" t="s">
        <v>45</v>
      </c>
      <c r="K56" s="9" t="str">
        <f>IF(OR(J54="",J58=""),"",+IF(J54&gt;J58,I54,I58))</f>
        <v/>
      </c>
      <c r="L56" s="16"/>
      <c r="M56" s="19"/>
      <c r="N56" s="14"/>
      <c r="O56" s="10"/>
      <c r="P56" s="14"/>
      <c r="Q56" s="10"/>
      <c r="R56" s="8"/>
      <c r="T56">
        <v>52</v>
      </c>
      <c r="U56" s="28" t="s">
        <v>109</v>
      </c>
      <c r="V56" t="s">
        <v>77</v>
      </c>
      <c r="W56" s="29" t="s">
        <v>110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9">
        <f t="shared" si="0"/>
        <v>25</v>
      </c>
      <c r="F57" s="9"/>
      <c r="G57" s="9">
        <f>E57</f>
        <v>25</v>
      </c>
      <c r="H57" s="11"/>
      <c r="I57" s="10"/>
      <c r="J57" s="14"/>
      <c r="K57" s="10"/>
      <c r="L57" s="10"/>
      <c r="M57" s="10"/>
      <c r="N57" s="14"/>
      <c r="O57" s="10"/>
      <c r="P57" s="14"/>
      <c r="Q57" s="10"/>
      <c r="R57" s="8"/>
      <c r="T57">
        <v>53</v>
      </c>
      <c r="U57" s="28" t="s">
        <v>111</v>
      </c>
      <c r="V57" t="s">
        <v>77</v>
      </c>
      <c r="W57" s="29" t="s">
        <v>112</v>
      </c>
    </row>
    <row r="58" spans="4:33" ht="13" thickBot="1">
      <c r="E58" s="10">
        <f t="shared" si="0"/>
        <v>0</v>
      </c>
      <c r="F58" s="10"/>
      <c r="G58" s="12"/>
      <c r="H58" s="13" t="s">
        <v>19</v>
      </c>
      <c r="I58" s="9" t="str">
        <f>IF(OR(H57="",H59=""),"",+IF(H57&gt;H59,E57,E59))</f>
        <v/>
      </c>
      <c r="J58" s="16"/>
      <c r="K58" s="10"/>
      <c r="L58" s="10"/>
      <c r="M58" s="10"/>
      <c r="N58" s="14"/>
      <c r="O58" s="10"/>
      <c r="P58" s="14"/>
      <c r="Q58" s="10"/>
      <c r="R58" s="8"/>
      <c r="T58">
        <v>54</v>
      </c>
      <c r="U58" s="28" t="s">
        <v>113</v>
      </c>
      <c r="V58" t="s">
        <v>77</v>
      </c>
      <c r="W58" s="29" t="s">
        <v>114</v>
      </c>
    </row>
    <row r="59" spans="4:33" ht="13" thickBot="1">
      <c r="D59">
        <v>26</v>
      </c>
      <c r="E59" s="9">
        <f t="shared" si="0"/>
        <v>26</v>
      </c>
      <c r="F59" s="9"/>
      <c r="G59" s="9">
        <f>E59</f>
        <v>26</v>
      </c>
      <c r="H59" s="16"/>
      <c r="I59" s="10"/>
      <c r="J59" s="10"/>
      <c r="K59" s="10"/>
      <c r="L59" s="10"/>
      <c r="M59" s="10"/>
      <c r="N59" s="14"/>
      <c r="O59" s="10"/>
      <c r="P59" s="14"/>
      <c r="Q59" s="10"/>
      <c r="R59" s="8"/>
      <c r="T59">
        <v>55</v>
      </c>
      <c r="U59" s="28" t="s">
        <v>115</v>
      </c>
      <c r="V59" t="s">
        <v>77</v>
      </c>
      <c r="W59" s="29" t="s">
        <v>116</v>
      </c>
    </row>
    <row r="60" spans="4:33" ht="13" thickBot="1">
      <c r="E60" s="10">
        <f t="shared" si="0"/>
        <v>0</v>
      </c>
      <c r="F60" s="10"/>
      <c r="G60" s="10"/>
      <c r="H60" s="10"/>
      <c r="I60" s="10"/>
      <c r="J60" s="10"/>
      <c r="K60" s="10"/>
      <c r="L60" s="10"/>
      <c r="M60" s="10"/>
      <c r="N60" s="14" t="s">
        <v>65</v>
      </c>
      <c r="O60" s="9" t="str">
        <f>IF(OR(N52="",N68=""),"",+IF(N52&gt;N68,M52,M68))</f>
        <v/>
      </c>
      <c r="P60" s="16"/>
      <c r="Q60" s="10"/>
      <c r="R60" s="8"/>
      <c r="T60">
        <v>56</v>
      </c>
      <c r="U60" s="28" t="s">
        <v>117</v>
      </c>
      <c r="V60" t="s">
        <v>77</v>
      </c>
      <c r="W60" s="29" t="s">
        <v>118</v>
      </c>
    </row>
    <row r="61" spans="4:33" ht="13" thickBot="1">
      <c r="D61">
        <v>27</v>
      </c>
      <c r="E61" s="9">
        <f t="shared" si="0"/>
        <v>27</v>
      </c>
      <c r="F61" s="9"/>
      <c r="G61" s="9">
        <f>E61</f>
        <v>27</v>
      </c>
      <c r="H61" s="11"/>
      <c r="I61" s="10"/>
      <c r="J61" s="10"/>
      <c r="K61" s="10"/>
      <c r="L61" s="10"/>
      <c r="M61" s="10"/>
      <c r="N61" s="14"/>
      <c r="O61" s="10"/>
      <c r="P61" s="10"/>
      <c r="Q61" s="10"/>
      <c r="R61" s="8"/>
      <c r="T61">
        <v>57</v>
      </c>
      <c r="U61" s="28" t="s">
        <v>119</v>
      </c>
      <c r="V61" t="s">
        <v>77</v>
      </c>
      <c r="W61" s="29" t="s">
        <v>120</v>
      </c>
    </row>
    <row r="62" spans="4:33" ht="13" thickBot="1">
      <c r="E62" s="10">
        <f t="shared" si="0"/>
        <v>0</v>
      </c>
      <c r="F62" s="10"/>
      <c r="G62" s="12"/>
      <c r="H62" s="13" t="s">
        <v>20</v>
      </c>
      <c r="I62" s="9" t="str">
        <f>IF(OR(H61="",H63=""),"",+IF(H61&gt;H63,E61,E63))</f>
        <v/>
      </c>
      <c r="J62" s="17"/>
      <c r="K62" s="10"/>
      <c r="L62" s="10"/>
      <c r="M62" s="10"/>
      <c r="N62" s="14"/>
      <c r="O62" s="10"/>
      <c r="P62" s="10"/>
      <c r="Q62" s="10"/>
      <c r="R62" s="8"/>
      <c r="T62">
        <v>58</v>
      </c>
      <c r="U62" s="28" t="s">
        <v>121</v>
      </c>
      <c r="V62" t="s">
        <v>77</v>
      </c>
      <c r="W62" s="29" t="s">
        <v>122</v>
      </c>
    </row>
    <row r="63" spans="4:33" ht="13" thickBot="1">
      <c r="D63">
        <v>28</v>
      </c>
      <c r="E63" s="9">
        <f t="shared" si="0"/>
        <v>28</v>
      </c>
      <c r="F63" s="9"/>
      <c r="G63" s="9">
        <f>E63</f>
        <v>28</v>
      </c>
      <c r="H63" s="16"/>
      <c r="I63" s="10"/>
      <c r="J63" s="14"/>
      <c r="K63" s="10"/>
      <c r="L63" s="10"/>
      <c r="M63" s="10"/>
      <c r="N63" s="14"/>
      <c r="O63" s="10"/>
      <c r="P63" s="10"/>
      <c r="Q63" s="10"/>
      <c r="R63" s="8"/>
      <c r="T63">
        <v>59</v>
      </c>
      <c r="U63" s="28" t="s">
        <v>123</v>
      </c>
      <c r="V63" t="s">
        <v>77</v>
      </c>
      <c r="W63" s="29" t="s">
        <v>124</v>
      </c>
    </row>
    <row r="64" spans="4:33" ht="13" thickBot="1">
      <c r="E64" s="10">
        <f t="shared" si="0"/>
        <v>0</v>
      </c>
      <c r="F64" s="10"/>
      <c r="G64" s="12"/>
      <c r="H64" s="10"/>
      <c r="I64" s="10"/>
      <c r="J64" s="14" t="s">
        <v>46</v>
      </c>
      <c r="K64" s="9" t="str">
        <f>IF(OR(J62="",J66=""),"",+IF(J62&gt;J66,I62,I66))</f>
        <v/>
      </c>
      <c r="L64" s="17"/>
      <c r="M64" s="10"/>
      <c r="N64" s="14"/>
      <c r="O64" s="10"/>
      <c r="P64" s="10"/>
      <c r="Q64" s="10"/>
      <c r="R64" s="8"/>
      <c r="T64">
        <v>60</v>
      </c>
      <c r="U64" s="28" t="s">
        <v>125</v>
      </c>
      <c r="V64" t="s">
        <v>77</v>
      </c>
      <c r="W64" s="29" t="s">
        <v>126</v>
      </c>
    </row>
    <row r="65" spans="4:23" ht="13" thickBot="1">
      <c r="D65">
        <v>29</v>
      </c>
      <c r="E65" s="9">
        <f t="shared" si="0"/>
        <v>29</v>
      </c>
      <c r="F65" s="9"/>
      <c r="G65" s="9">
        <f>E65</f>
        <v>29</v>
      </c>
      <c r="H65" s="11"/>
      <c r="I65" s="10"/>
      <c r="J65" s="14"/>
      <c r="K65" s="10"/>
      <c r="L65" s="14"/>
      <c r="M65" s="10"/>
      <c r="N65" s="14"/>
      <c r="O65" s="10"/>
      <c r="P65" s="10"/>
      <c r="Q65" s="10"/>
      <c r="R65" s="8"/>
      <c r="T65">
        <v>61</v>
      </c>
      <c r="U65" s="28" t="s">
        <v>127</v>
      </c>
      <c r="V65" t="s">
        <v>77</v>
      </c>
      <c r="W65" s="29" t="s">
        <v>130</v>
      </c>
    </row>
    <row r="66" spans="4:23" ht="13" thickBot="1">
      <c r="E66" s="10">
        <f t="shared" si="0"/>
        <v>0</v>
      </c>
      <c r="F66" s="10"/>
      <c r="G66" s="12"/>
      <c r="H66" s="13" t="s">
        <v>21</v>
      </c>
      <c r="I66" s="9" t="str">
        <f>IF(OR(H65="",H67=""),"",+IF(H65&gt;H67,E65,E67))</f>
        <v/>
      </c>
      <c r="J66" s="16"/>
      <c r="K66" s="10"/>
      <c r="L66" s="14"/>
      <c r="M66" s="10"/>
      <c r="N66" s="14"/>
      <c r="O66" s="10"/>
      <c r="P66" s="10"/>
      <c r="Q66" s="10"/>
      <c r="R66" s="8"/>
      <c r="T66">
        <v>62</v>
      </c>
      <c r="U66" s="28" t="s">
        <v>128</v>
      </c>
      <c r="V66" t="s">
        <v>77</v>
      </c>
      <c r="W66" s="29" t="s">
        <v>129</v>
      </c>
    </row>
    <row r="67" spans="4:23" ht="13" thickBot="1">
      <c r="D67">
        <v>30</v>
      </c>
      <c r="E67" s="9">
        <f t="shared" si="0"/>
        <v>30</v>
      </c>
      <c r="F67" s="9"/>
      <c r="G67" s="9">
        <f>E67</f>
        <v>30</v>
      </c>
      <c r="H67" s="16"/>
      <c r="I67" s="10"/>
      <c r="J67" s="10"/>
      <c r="K67" s="10"/>
      <c r="L67" s="14"/>
      <c r="M67" s="10"/>
      <c r="N67" s="14"/>
      <c r="O67" s="10"/>
      <c r="P67" s="10"/>
      <c r="Q67" s="10"/>
      <c r="R67" s="8"/>
      <c r="T67">
        <v>63</v>
      </c>
      <c r="U67" s="28" t="s">
        <v>131</v>
      </c>
      <c r="V67" t="s">
        <v>77</v>
      </c>
      <c r="W67" s="29" t="s">
        <v>132</v>
      </c>
    </row>
    <row r="68" spans="4:23" ht="13" thickBot="1">
      <c r="E68" s="10">
        <f t="shared" si="0"/>
        <v>0</v>
      </c>
      <c r="F68" s="10"/>
      <c r="G68" s="10"/>
      <c r="H68" s="10"/>
      <c r="I68" s="10"/>
      <c r="J68" s="10"/>
      <c r="K68" s="10"/>
      <c r="L68" s="14" t="s">
        <v>59</v>
      </c>
      <c r="M68" s="9" t="str">
        <f>IF(OR(L64="",L73=""),"",+IF(L64&gt;L73,K64,K73))</f>
        <v/>
      </c>
      <c r="N68" s="16"/>
      <c r="O68" s="10"/>
      <c r="P68" s="10"/>
      <c r="Q68" s="10"/>
      <c r="R68" s="8"/>
      <c r="T68">
        <v>64</v>
      </c>
      <c r="U68" s="28" t="s">
        <v>133</v>
      </c>
      <c r="V68" t="s">
        <v>77</v>
      </c>
      <c r="W68" s="29" t="s">
        <v>134</v>
      </c>
    </row>
    <row r="69" spans="4:23" ht="13" thickBot="1">
      <c r="D69">
        <v>31</v>
      </c>
      <c r="E69" s="9">
        <f t="shared" si="0"/>
        <v>31</v>
      </c>
      <c r="F69" s="9"/>
      <c r="G69" s="9">
        <f>E69</f>
        <v>31</v>
      </c>
      <c r="H69" s="11"/>
      <c r="I69" s="10"/>
      <c r="J69" s="10"/>
      <c r="K69" s="10"/>
      <c r="L69" s="14"/>
      <c r="M69" s="10"/>
      <c r="N69" s="10"/>
      <c r="O69" s="10"/>
      <c r="P69" s="10"/>
      <c r="Q69" s="10"/>
      <c r="R69" s="8"/>
      <c r="T69">
        <v>65</v>
      </c>
      <c r="U69" s="28" t="s">
        <v>135</v>
      </c>
      <c r="V69" t="s">
        <v>77</v>
      </c>
      <c r="W69" s="29" t="s">
        <v>136</v>
      </c>
    </row>
    <row r="70" spans="4:23" ht="13" thickBot="1">
      <c r="E70" s="10">
        <f t="shared" si="0"/>
        <v>0</v>
      </c>
      <c r="F70" s="10"/>
      <c r="G70" s="12"/>
      <c r="H70" s="13" t="s">
        <v>22</v>
      </c>
      <c r="I70" s="9" t="str">
        <f>IF(OR(H69="",H71=""),"",+IF(H69&gt;H71,E69,E71))</f>
        <v/>
      </c>
      <c r="J70" s="17"/>
      <c r="K70" s="10"/>
      <c r="L70" s="14"/>
      <c r="M70" s="10"/>
      <c r="N70" s="10"/>
      <c r="O70" s="10"/>
      <c r="P70" s="10"/>
      <c r="Q70" s="10"/>
      <c r="R70" s="8"/>
      <c r="T70">
        <v>66</v>
      </c>
      <c r="U70" s="28" t="s">
        <v>137</v>
      </c>
      <c r="V70" t="s">
        <v>77</v>
      </c>
      <c r="W70" s="29" t="s">
        <v>138</v>
      </c>
    </row>
    <row r="71" spans="4:23" ht="13" thickBot="1">
      <c r="D71">
        <v>32</v>
      </c>
      <c r="E71" s="9">
        <f t="shared" si="0"/>
        <v>32</v>
      </c>
      <c r="F71" s="9"/>
      <c r="G71" s="9">
        <f>E71</f>
        <v>32</v>
      </c>
      <c r="H71" s="16"/>
      <c r="I71" s="10"/>
      <c r="J71" s="14"/>
      <c r="K71" s="10"/>
      <c r="L71" s="14"/>
      <c r="M71" s="10"/>
      <c r="N71" s="10"/>
      <c r="O71" s="10"/>
      <c r="P71" s="10"/>
      <c r="Q71" s="10"/>
      <c r="R71" s="8"/>
      <c r="T71">
        <v>67</v>
      </c>
      <c r="U71" s="28" t="s">
        <v>144</v>
      </c>
      <c r="V71" t="s">
        <v>77</v>
      </c>
      <c r="W71" s="29" t="s">
        <v>139</v>
      </c>
    </row>
    <row r="72" spans="4:23">
      <c r="E72" s="10">
        <f t="shared" si="0"/>
        <v>0</v>
      </c>
      <c r="F72" s="10"/>
      <c r="G72" s="10"/>
      <c r="H72" s="10"/>
      <c r="I72" s="10"/>
      <c r="J72" s="14"/>
      <c r="K72" s="10"/>
      <c r="L72" s="14"/>
      <c r="M72" s="10"/>
      <c r="N72" s="10"/>
      <c r="O72" s="10"/>
      <c r="P72" s="10"/>
      <c r="Q72" s="10"/>
      <c r="R72" s="8"/>
      <c r="T72">
        <v>68</v>
      </c>
      <c r="U72" s="28" t="s">
        <v>140</v>
      </c>
      <c r="V72" t="s">
        <v>77</v>
      </c>
      <c r="W72" s="29" t="s">
        <v>141</v>
      </c>
    </row>
    <row r="73" spans="4:23" ht="13" thickBot="1">
      <c r="D73">
        <v>33</v>
      </c>
      <c r="E73" s="10">
        <f t="shared" si="0"/>
        <v>33</v>
      </c>
      <c r="F73" s="11"/>
      <c r="G73" s="10"/>
      <c r="H73" s="10"/>
      <c r="I73" s="10"/>
      <c r="J73" s="14" t="s">
        <v>47</v>
      </c>
      <c r="K73" s="9" t="str">
        <f>IF(OR(J70="",J76=""),"",+IF(J70&gt;J76,I70,I76))</f>
        <v/>
      </c>
      <c r="L73" s="16"/>
      <c r="M73" s="10"/>
      <c r="N73" s="10"/>
      <c r="O73" s="10"/>
      <c r="P73" s="10"/>
      <c r="Q73" s="10"/>
      <c r="R73" s="8"/>
      <c r="T73">
        <v>69</v>
      </c>
      <c r="U73" s="28" t="s">
        <v>143</v>
      </c>
      <c r="V73" t="s">
        <v>77</v>
      </c>
      <c r="W73" s="29" t="s">
        <v>142</v>
      </c>
    </row>
    <row r="74" spans="4:23" ht="13" thickBot="1">
      <c r="E74" s="12">
        <f t="shared" ref="E74:E137" si="1">D74</f>
        <v>0</v>
      </c>
      <c r="F74" s="13" t="s">
        <v>3</v>
      </c>
      <c r="G74" s="9" t="str">
        <f>IF(OR(F73="",F75=""),"",+IF(F73&gt;F75,E73,E75))</f>
        <v/>
      </c>
      <c r="H74" s="11"/>
      <c r="I74" s="10"/>
      <c r="J74" s="14"/>
      <c r="K74" s="10"/>
      <c r="L74" s="10"/>
      <c r="M74" s="10"/>
      <c r="N74" s="10"/>
      <c r="O74" s="10"/>
      <c r="P74" s="10"/>
      <c r="Q74" s="10"/>
      <c r="R74" s="8"/>
      <c r="T74">
        <v>70</v>
      </c>
      <c r="U74" s="28" t="s">
        <v>145</v>
      </c>
      <c r="V74" t="s">
        <v>77</v>
      </c>
      <c r="W74" s="29" t="s">
        <v>146</v>
      </c>
    </row>
    <row r="75" spans="4:23" ht="13" thickBot="1">
      <c r="D75">
        <v>34</v>
      </c>
      <c r="E75" s="21">
        <f t="shared" si="1"/>
        <v>34</v>
      </c>
      <c r="F75" s="16"/>
      <c r="G75" s="10"/>
      <c r="H75" s="13"/>
      <c r="I75" s="10"/>
      <c r="J75" s="14"/>
      <c r="K75" s="10"/>
      <c r="L75" s="10"/>
      <c r="M75" s="10"/>
      <c r="N75" s="10"/>
      <c r="O75" s="10"/>
      <c r="P75" s="10"/>
      <c r="Q75" s="10"/>
      <c r="R75" s="8"/>
    </row>
    <row r="76" spans="4:23" ht="13" thickBot="1">
      <c r="E76" s="10">
        <f t="shared" si="1"/>
        <v>0</v>
      </c>
      <c r="F76" s="10"/>
      <c r="G76" s="10"/>
      <c r="H76" s="14" t="s">
        <v>23</v>
      </c>
      <c r="I76" s="9" t="str">
        <f>IF(OR(H74="",H77=""),"",+IF(H74&gt;H77,G74,E77))</f>
        <v/>
      </c>
      <c r="J76" s="16"/>
      <c r="K76" s="10"/>
      <c r="L76" s="10"/>
      <c r="M76" s="10"/>
      <c r="N76" s="10"/>
      <c r="O76" s="10"/>
      <c r="P76" s="10"/>
      <c r="Q76" s="10"/>
      <c r="R76" s="8"/>
    </row>
    <row r="77" spans="4:23" ht="13" thickBot="1">
      <c r="D77">
        <v>35</v>
      </c>
      <c r="E77" s="9">
        <f t="shared" si="1"/>
        <v>35</v>
      </c>
      <c r="F77" s="9"/>
      <c r="G77" s="9">
        <f>E77</f>
        <v>35</v>
      </c>
      <c r="H77" s="16"/>
      <c r="I77" s="10"/>
      <c r="J77" s="10"/>
      <c r="K77" s="10"/>
      <c r="L77" s="10"/>
      <c r="M77" s="10"/>
      <c r="N77" s="10"/>
      <c r="O77" s="10"/>
      <c r="P77" s="10"/>
      <c r="Q77" s="10"/>
      <c r="R77" s="8"/>
    </row>
    <row r="78" spans="4:23">
      <c r="E78">
        <f t="shared" si="1"/>
        <v>0</v>
      </c>
      <c r="R78" s="8"/>
    </row>
    <row r="79" spans="4:23" ht="13" thickBot="1">
      <c r="E79">
        <f t="shared" si="1"/>
        <v>0</v>
      </c>
      <c r="Q79" s="28" t="s">
        <v>70</v>
      </c>
      <c r="R79" s="27"/>
    </row>
    <row r="80" spans="4:23" ht="13" thickBot="1">
      <c r="D80">
        <v>36</v>
      </c>
      <c r="E80" s="9">
        <f t="shared" si="1"/>
        <v>36</v>
      </c>
      <c r="F80" s="9"/>
      <c r="G80" s="9">
        <f>E80</f>
        <v>36</v>
      </c>
      <c r="H80" s="11"/>
      <c r="I80" s="10"/>
      <c r="J80" s="10"/>
      <c r="K80" s="10"/>
      <c r="L80" s="10"/>
      <c r="M80" s="10"/>
      <c r="N80" s="10"/>
      <c r="O80" s="10"/>
      <c r="P80" s="10"/>
      <c r="Q80" s="10"/>
      <c r="R80" s="8"/>
    </row>
    <row r="81" spans="4:18">
      <c r="E81" s="12">
        <f t="shared" si="1"/>
        <v>0</v>
      </c>
      <c r="F81" s="10"/>
      <c r="G81" s="10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8"/>
    </row>
    <row r="82" spans="4:18" ht="13" thickBot="1">
      <c r="E82" s="10">
        <f t="shared" si="1"/>
        <v>0</v>
      </c>
      <c r="F82" s="10"/>
      <c r="G82" s="10"/>
      <c r="H82" s="14" t="s">
        <v>24</v>
      </c>
      <c r="I82" s="9" t="str">
        <f>IF(OR(H80="",H84=""),"",+IF(H80&gt;H84,E80,G84))</f>
        <v/>
      </c>
      <c r="J82" s="11"/>
      <c r="K82" s="10"/>
      <c r="L82" s="10"/>
      <c r="M82" s="10"/>
      <c r="N82" s="10"/>
      <c r="O82" s="10"/>
      <c r="P82" s="10"/>
      <c r="Q82" s="10"/>
      <c r="R82" s="8"/>
    </row>
    <row r="83" spans="4:18" ht="13" thickBot="1">
      <c r="D83">
        <v>37</v>
      </c>
      <c r="E83" s="10">
        <f t="shared" si="1"/>
        <v>37</v>
      </c>
      <c r="F83" s="11"/>
      <c r="G83" s="10"/>
      <c r="H83" s="14"/>
      <c r="I83" s="10"/>
      <c r="J83" s="13"/>
      <c r="K83" s="10"/>
      <c r="L83" s="10"/>
      <c r="M83" s="10"/>
      <c r="N83" s="10"/>
      <c r="O83" s="10"/>
      <c r="P83" s="10"/>
      <c r="Q83" s="10"/>
      <c r="R83" s="8"/>
    </row>
    <row r="84" spans="4:18" ht="13" thickBot="1">
      <c r="E84" s="12">
        <f t="shared" si="1"/>
        <v>0</v>
      </c>
      <c r="F84" s="13" t="s">
        <v>4</v>
      </c>
      <c r="G84" s="9" t="str">
        <f>IF(OR(F83="",F85=""),"",+IF(F83&gt;F85,E83,E85))</f>
        <v/>
      </c>
      <c r="H84" s="16"/>
      <c r="I84" s="10"/>
      <c r="J84" s="14"/>
      <c r="K84" s="10"/>
      <c r="L84" s="10"/>
      <c r="M84" s="10"/>
      <c r="N84" s="10"/>
      <c r="O84" s="10"/>
      <c r="P84" s="10"/>
      <c r="Q84" s="10"/>
      <c r="R84" s="8"/>
    </row>
    <row r="85" spans="4:18" ht="13" thickBot="1">
      <c r="D85">
        <v>38</v>
      </c>
      <c r="E85" s="10">
        <f t="shared" si="1"/>
        <v>38</v>
      </c>
      <c r="F85" s="16"/>
      <c r="G85" s="10"/>
      <c r="H85" s="10"/>
      <c r="I85" s="10"/>
      <c r="J85" s="14" t="s">
        <v>48</v>
      </c>
      <c r="K85" s="9" t="str">
        <f>IF(OR(J82="",J88=""),"",+IF(J82&gt;J88,I82,I88))</f>
        <v/>
      </c>
      <c r="L85" s="17"/>
      <c r="M85" s="10"/>
      <c r="N85" s="10"/>
      <c r="O85" s="10"/>
      <c r="P85" s="10"/>
      <c r="Q85" s="10"/>
      <c r="R85" s="8"/>
    </row>
    <row r="86" spans="4:18">
      <c r="E86" s="12">
        <f t="shared" si="1"/>
        <v>0</v>
      </c>
      <c r="F86" s="10"/>
      <c r="G86" s="10"/>
      <c r="H86" s="10"/>
      <c r="I86" s="10"/>
      <c r="J86" s="14"/>
      <c r="K86" s="10"/>
      <c r="L86" s="10"/>
      <c r="M86" s="19"/>
      <c r="N86" s="10"/>
      <c r="O86" s="10"/>
      <c r="P86" s="10"/>
      <c r="Q86" s="10"/>
      <c r="R86" s="8"/>
    </row>
    <row r="87" spans="4:18" ht="13" thickBot="1">
      <c r="D87">
        <v>39</v>
      </c>
      <c r="E87" s="9">
        <f t="shared" si="1"/>
        <v>39</v>
      </c>
      <c r="F87" s="9"/>
      <c r="G87" s="9">
        <f>E87</f>
        <v>39</v>
      </c>
      <c r="H87" s="11"/>
      <c r="I87" s="10"/>
      <c r="J87" s="14"/>
      <c r="K87" s="10"/>
      <c r="L87" s="10"/>
      <c r="M87" s="19"/>
      <c r="N87" s="10"/>
      <c r="O87" s="10"/>
      <c r="P87" s="10"/>
      <c r="Q87" s="10"/>
      <c r="R87" s="8"/>
    </row>
    <row r="88" spans="4:18" ht="13" thickBot="1">
      <c r="E88" s="10">
        <f t="shared" si="1"/>
        <v>0</v>
      </c>
      <c r="F88" s="10"/>
      <c r="G88" s="10"/>
      <c r="H88" s="13" t="s">
        <v>25</v>
      </c>
      <c r="I88" s="9" t="str">
        <f>IF(OR(H87="",H89=""),"",+IF(H87&gt;H89,E87,E89))</f>
        <v/>
      </c>
      <c r="J88" s="16"/>
      <c r="K88" s="10"/>
      <c r="L88" s="10"/>
      <c r="M88" s="19"/>
      <c r="N88" s="10"/>
      <c r="O88" s="10"/>
      <c r="P88" s="10"/>
      <c r="Q88" s="10"/>
      <c r="R88" s="8"/>
    </row>
    <row r="89" spans="4:18" ht="13" thickBot="1">
      <c r="D89">
        <v>40</v>
      </c>
      <c r="E89" s="9">
        <f t="shared" si="1"/>
        <v>40</v>
      </c>
      <c r="F89" s="9"/>
      <c r="G89" s="9">
        <f>E89</f>
        <v>40</v>
      </c>
      <c r="H89" s="16"/>
      <c r="I89" s="10"/>
      <c r="J89" s="10"/>
      <c r="K89" s="10"/>
      <c r="L89" s="10"/>
      <c r="M89" s="19"/>
      <c r="N89" s="10"/>
      <c r="O89" s="10"/>
      <c r="P89" s="10"/>
      <c r="Q89" s="10"/>
      <c r="R89" s="8"/>
    </row>
    <row r="90" spans="4:18" ht="13" thickBot="1">
      <c r="E90" s="10">
        <f t="shared" si="1"/>
        <v>0</v>
      </c>
      <c r="F90" s="10"/>
      <c r="G90" s="10"/>
      <c r="H90" s="10"/>
      <c r="I90" s="10"/>
      <c r="J90" s="10"/>
      <c r="K90" s="10"/>
      <c r="L90" s="14" t="s">
        <v>60</v>
      </c>
      <c r="M90" s="9" t="str">
        <f>IF(OR(L85="",L94=""),"",+IF(L85&gt;L94,K85,K94))</f>
        <v/>
      </c>
      <c r="N90" s="17"/>
      <c r="O90" s="10"/>
      <c r="P90" s="10"/>
      <c r="Q90" s="10"/>
      <c r="R90" s="8"/>
    </row>
    <row r="91" spans="4:18" ht="13" thickBot="1">
      <c r="D91">
        <v>41</v>
      </c>
      <c r="E91" s="9">
        <f t="shared" si="1"/>
        <v>41</v>
      </c>
      <c r="F91" s="9"/>
      <c r="G91" s="9">
        <f>E91</f>
        <v>41</v>
      </c>
      <c r="H91" s="11"/>
      <c r="I91" s="10"/>
      <c r="J91" s="10"/>
      <c r="K91" s="10"/>
      <c r="L91" s="10"/>
      <c r="M91" s="19"/>
      <c r="N91" s="13"/>
      <c r="O91" s="10"/>
      <c r="P91" s="10"/>
      <c r="Q91" s="10"/>
      <c r="R91" s="8"/>
    </row>
    <row r="92" spans="4:18" ht="13" thickBot="1">
      <c r="E92" s="10">
        <f t="shared" si="1"/>
        <v>0</v>
      </c>
      <c r="F92" s="10"/>
      <c r="G92" s="12"/>
      <c r="H92" s="13" t="s">
        <v>26</v>
      </c>
      <c r="I92" s="9" t="str">
        <f>IF(OR(H91="",H93=""),"",+IF(H91&gt;H93,E91,E93))</f>
        <v/>
      </c>
      <c r="J92" s="17"/>
      <c r="K92" s="10"/>
      <c r="L92" s="10"/>
      <c r="M92" s="19"/>
      <c r="N92" s="14"/>
      <c r="O92" s="10"/>
      <c r="P92" s="10"/>
      <c r="Q92" s="10"/>
      <c r="R92" s="8"/>
    </row>
    <row r="93" spans="4:18" ht="13" thickBot="1">
      <c r="D93">
        <v>42</v>
      </c>
      <c r="E93" s="9">
        <f t="shared" si="1"/>
        <v>42</v>
      </c>
      <c r="F93" s="9"/>
      <c r="G93" s="9">
        <f>E93</f>
        <v>42</v>
      </c>
      <c r="H93" s="16"/>
      <c r="I93" s="10"/>
      <c r="J93" s="14"/>
      <c r="K93" s="10"/>
      <c r="L93" s="10"/>
      <c r="M93" s="19"/>
      <c r="N93" s="14"/>
      <c r="O93" s="10"/>
      <c r="P93" s="10"/>
      <c r="Q93" s="10"/>
      <c r="R93" s="8"/>
    </row>
    <row r="94" spans="4:18" ht="13" thickBot="1">
      <c r="E94" s="10">
        <f t="shared" si="1"/>
        <v>0</v>
      </c>
      <c r="F94" s="10"/>
      <c r="G94" s="12"/>
      <c r="H94" s="10"/>
      <c r="I94" s="10"/>
      <c r="J94" s="14" t="s">
        <v>49</v>
      </c>
      <c r="K94" s="9" t="str">
        <f>IF(OR(J92="",J96=""),"",+IF(J92&gt;J96,I92,I96))</f>
        <v/>
      </c>
      <c r="L94" s="16"/>
      <c r="M94" s="19"/>
      <c r="N94" s="14"/>
      <c r="O94" s="10"/>
      <c r="P94" s="10"/>
      <c r="Q94" s="10"/>
      <c r="R94" s="8"/>
    </row>
    <row r="95" spans="4:18" ht="13" thickBot="1">
      <c r="D95">
        <v>43</v>
      </c>
      <c r="E95" s="9">
        <f t="shared" si="1"/>
        <v>43</v>
      </c>
      <c r="F95" s="9"/>
      <c r="G95" s="9">
        <f>E95</f>
        <v>43</v>
      </c>
      <c r="H95" s="11"/>
      <c r="I95" s="10"/>
      <c r="J95" s="14"/>
      <c r="K95" s="10"/>
      <c r="L95" s="10"/>
      <c r="M95" s="10"/>
      <c r="N95" s="14"/>
      <c r="O95" s="10"/>
      <c r="P95" s="10"/>
      <c r="Q95" s="10"/>
      <c r="R95" s="8"/>
    </row>
    <row r="96" spans="4:18" ht="13" thickBot="1">
      <c r="E96" s="10">
        <f t="shared" si="1"/>
        <v>0</v>
      </c>
      <c r="F96" s="10"/>
      <c r="G96" s="12"/>
      <c r="H96" s="13" t="s">
        <v>27</v>
      </c>
      <c r="I96" s="9" t="str">
        <f>IF(OR(H95="",H97=""),"",+IF(H95&gt;H97,E95,E97))</f>
        <v/>
      </c>
      <c r="J96" s="16"/>
      <c r="K96" s="10"/>
      <c r="L96" s="10"/>
      <c r="M96" s="10"/>
      <c r="N96" s="14"/>
      <c r="O96" s="10"/>
      <c r="P96" s="10"/>
      <c r="Q96" s="10"/>
      <c r="R96" s="8"/>
    </row>
    <row r="97" spans="4:18" ht="13" thickBot="1">
      <c r="D97">
        <v>44</v>
      </c>
      <c r="E97" s="9">
        <f t="shared" si="1"/>
        <v>44</v>
      </c>
      <c r="F97" s="9"/>
      <c r="G97" s="9">
        <f>E97</f>
        <v>44</v>
      </c>
      <c r="H97" s="16"/>
      <c r="I97" s="10"/>
      <c r="J97" s="10"/>
      <c r="K97" s="10"/>
      <c r="L97" s="10"/>
      <c r="M97" s="10"/>
      <c r="N97" s="14"/>
      <c r="O97" s="10"/>
      <c r="P97" s="10"/>
      <c r="Q97" s="10"/>
      <c r="R97" s="8"/>
    </row>
    <row r="98" spans="4:18" ht="13" thickBot="1">
      <c r="E98" s="10">
        <f t="shared" si="1"/>
        <v>0</v>
      </c>
      <c r="F98" s="10"/>
      <c r="G98" s="10"/>
      <c r="H98" s="10"/>
      <c r="I98" s="10"/>
      <c r="J98" s="10"/>
      <c r="K98" s="10"/>
      <c r="L98" s="10"/>
      <c r="M98" s="10"/>
      <c r="N98" s="14" t="s">
        <v>66</v>
      </c>
      <c r="O98" s="9" t="str">
        <f>IF(OR(N90="",N106=""),"",+IF(N90&gt;N106,M90,M106))</f>
        <v/>
      </c>
      <c r="P98" s="17"/>
      <c r="Q98" s="10"/>
      <c r="R98" s="8"/>
    </row>
    <row r="99" spans="4:18" ht="13" thickBot="1">
      <c r="D99">
        <v>45</v>
      </c>
      <c r="E99" s="9">
        <f t="shared" si="1"/>
        <v>45</v>
      </c>
      <c r="F99" s="9"/>
      <c r="G99" s="9">
        <f>E99</f>
        <v>45</v>
      </c>
      <c r="H99" s="11"/>
      <c r="I99" s="10"/>
      <c r="J99" s="10"/>
      <c r="K99" s="10"/>
      <c r="L99" s="10"/>
      <c r="M99" s="10"/>
      <c r="N99" s="14"/>
      <c r="O99" s="10"/>
      <c r="P99" s="14"/>
      <c r="Q99" s="10"/>
      <c r="R99" s="8"/>
    </row>
    <row r="100" spans="4:18" ht="13" thickBot="1">
      <c r="E100" s="10">
        <f t="shared" si="1"/>
        <v>0</v>
      </c>
      <c r="F100" s="10"/>
      <c r="G100" s="12"/>
      <c r="H100" s="13" t="s">
        <v>28</v>
      </c>
      <c r="I100" s="9" t="str">
        <f>IF(OR(H99="",H101=""),"",+IF(H99&gt;H101,E99,E101))</f>
        <v/>
      </c>
      <c r="J100" s="17"/>
      <c r="K100" s="10"/>
      <c r="L100" s="10"/>
      <c r="M100" s="10"/>
      <c r="N100" s="14"/>
      <c r="O100" s="10"/>
      <c r="P100" s="14"/>
      <c r="Q100" s="10"/>
      <c r="R100" s="8"/>
    </row>
    <row r="101" spans="4:18" ht="13" thickBot="1">
      <c r="D101">
        <v>46</v>
      </c>
      <c r="E101" s="9">
        <f t="shared" si="1"/>
        <v>46</v>
      </c>
      <c r="F101" s="9"/>
      <c r="G101" s="9">
        <f>E101</f>
        <v>46</v>
      </c>
      <c r="H101" s="16"/>
      <c r="I101" s="10"/>
      <c r="J101" s="14"/>
      <c r="K101" s="10"/>
      <c r="L101" s="10"/>
      <c r="M101" s="10"/>
      <c r="N101" s="14"/>
      <c r="O101" s="10"/>
      <c r="P101" s="14"/>
      <c r="Q101" s="10"/>
      <c r="R101" s="8"/>
    </row>
    <row r="102" spans="4:18" ht="13" thickBot="1">
      <c r="E102" s="10">
        <f t="shared" si="1"/>
        <v>0</v>
      </c>
      <c r="F102" s="10"/>
      <c r="G102" s="12"/>
      <c r="H102" s="10"/>
      <c r="I102" s="10"/>
      <c r="J102" s="14"/>
      <c r="K102" s="9" t="str">
        <f>IF(OR(J100="",J104=""),"",+IF(J100&gt;J104,I100,I104))</f>
        <v/>
      </c>
      <c r="L102" s="17"/>
      <c r="M102" s="10"/>
      <c r="N102" s="14"/>
      <c r="O102" s="10"/>
      <c r="P102" s="14"/>
      <c r="Q102" s="10"/>
      <c r="R102" s="8"/>
    </row>
    <row r="103" spans="4:18" ht="13" thickBot="1">
      <c r="D103">
        <v>47</v>
      </c>
      <c r="E103" s="9">
        <f t="shared" si="1"/>
        <v>47</v>
      </c>
      <c r="F103" s="9"/>
      <c r="G103" s="9">
        <f>E103</f>
        <v>47</v>
      </c>
      <c r="H103" s="11"/>
      <c r="I103" s="10"/>
      <c r="J103" s="14" t="s">
        <v>50</v>
      </c>
      <c r="K103" s="10"/>
      <c r="L103" s="14"/>
      <c r="M103" s="10"/>
      <c r="N103" s="14"/>
      <c r="O103" s="10"/>
      <c r="P103" s="14"/>
      <c r="Q103" s="10"/>
      <c r="R103" s="8"/>
    </row>
    <row r="104" spans="4:18" ht="13" thickBot="1">
      <c r="E104" s="10">
        <f t="shared" si="1"/>
        <v>0</v>
      </c>
      <c r="F104" s="10"/>
      <c r="G104" s="12"/>
      <c r="H104" s="13" t="s">
        <v>29</v>
      </c>
      <c r="I104" s="9" t="str">
        <f>IF(OR(H103="",H105=""),"",+IF(H103&gt;H105,E103,E105))</f>
        <v/>
      </c>
      <c r="J104" s="16"/>
      <c r="K104" s="10"/>
      <c r="L104" s="14"/>
      <c r="M104" s="10"/>
      <c r="N104" s="14"/>
      <c r="O104" s="10"/>
      <c r="P104" s="14"/>
      <c r="Q104" s="10"/>
      <c r="R104" s="8"/>
    </row>
    <row r="105" spans="4:18" ht="13" thickBot="1">
      <c r="D105">
        <v>48</v>
      </c>
      <c r="E105" s="9">
        <f t="shared" si="1"/>
        <v>48</v>
      </c>
      <c r="F105" s="9"/>
      <c r="G105" s="9">
        <f>E105</f>
        <v>48</v>
      </c>
      <c r="H105" s="16"/>
      <c r="I105" s="10"/>
      <c r="J105" s="10"/>
      <c r="K105" s="10"/>
      <c r="L105" s="14"/>
      <c r="M105" s="10"/>
      <c r="N105" s="14"/>
      <c r="O105" s="10"/>
      <c r="P105" s="14"/>
      <c r="Q105" s="10"/>
      <c r="R105" s="8"/>
    </row>
    <row r="106" spans="4:18" ht="13" thickBot="1">
      <c r="E106" s="10">
        <f t="shared" si="1"/>
        <v>0</v>
      </c>
      <c r="F106" s="10"/>
      <c r="G106" s="10"/>
      <c r="H106" s="10"/>
      <c r="I106" s="10"/>
      <c r="J106" s="10"/>
      <c r="K106" s="10"/>
      <c r="L106" s="14" t="s">
        <v>61</v>
      </c>
      <c r="M106" s="9" t="str">
        <f>IF(OR(L102="",L111=""),"",+IF(L102&gt;L111,K102,K111))</f>
        <v/>
      </c>
      <c r="N106" s="16"/>
      <c r="O106" s="10"/>
      <c r="P106" s="14"/>
      <c r="Q106" s="10"/>
      <c r="R106" s="8"/>
    </row>
    <row r="107" spans="4:18" ht="13" thickBot="1">
      <c r="D107">
        <v>49</v>
      </c>
      <c r="E107" s="9">
        <f t="shared" si="1"/>
        <v>49</v>
      </c>
      <c r="F107" s="9"/>
      <c r="G107" s="9">
        <f>E107</f>
        <v>49</v>
      </c>
      <c r="H107" s="11"/>
      <c r="I107" s="10"/>
      <c r="J107" s="10"/>
      <c r="K107" s="10"/>
      <c r="L107" s="14"/>
      <c r="M107" s="10"/>
      <c r="N107" s="10"/>
      <c r="O107" s="10"/>
      <c r="P107" s="14"/>
      <c r="Q107" s="10"/>
      <c r="R107" s="8"/>
    </row>
    <row r="108" spans="4:18" ht="13" thickBot="1">
      <c r="E108" s="10">
        <f t="shared" si="1"/>
        <v>0</v>
      </c>
      <c r="F108" s="10"/>
      <c r="G108" s="12"/>
      <c r="H108" s="13" t="s">
        <v>30</v>
      </c>
      <c r="I108" s="9" t="str">
        <f>IF(OR(H107="",H109=""),"",+IF(H107&gt;H109,E107,E109))</f>
        <v/>
      </c>
      <c r="J108" s="17"/>
      <c r="K108" s="10"/>
      <c r="L108" s="14"/>
      <c r="M108" s="10"/>
      <c r="N108" s="10"/>
      <c r="O108" s="10"/>
      <c r="P108" s="14"/>
      <c r="Q108" s="10"/>
      <c r="R108" s="8"/>
    </row>
    <row r="109" spans="4:18" ht="13" thickBot="1">
      <c r="D109">
        <v>50</v>
      </c>
      <c r="E109" s="9">
        <f t="shared" si="1"/>
        <v>50</v>
      </c>
      <c r="F109" s="9"/>
      <c r="G109" s="9">
        <f>E109</f>
        <v>50</v>
      </c>
      <c r="H109" s="16"/>
      <c r="I109" s="10"/>
      <c r="J109" s="14"/>
      <c r="K109" s="10"/>
      <c r="L109" s="14"/>
      <c r="M109" s="10"/>
      <c r="N109" s="10"/>
      <c r="O109" s="10"/>
      <c r="P109" s="14"/>
      <c r="Q109" s="10"/>
      <c r="R109" s="8"/>
    </row>
    <row r="110" spans="4:18">
      <c r="E110" s="10">
        <f t="shared" si="1"/>
        <v>0</v>
      </c>
      <c r="F110" s="10"/>
      <c r="G110" s="10"/>
      <c r="H110" s="10"/>
      <c r="I110" s="10"/>
      <c r="J110" s="14"/>
      <c r="K110" s="10"/>
      <c r="L110" s="14"/>
      <c r="M110" s="10"/>
      <c r="N110" s="10"/>
      <c r="O110" s="10"/>
      <c r="P110" s="14"/>
      <c r="Q110" s="10"/>
      <c r="R110" s="8"/>
    </row>
    <row r="111" spans="4:18" ht="13" thickBot="1">
      <c r="D111">
        <v>51</v>
      </c>
      <c r="E111" s="10">
        <f t="shared" si="1"/>
        <v>51</v>
      </c>
      <c r="F111" s="11"/>
      <c r="G111" s="10"/>
      <c r="H111" s="10"/>
      <c r="I111" s="10"/>
      <c r="J111" s="14" t="s">
        <v>51</v>
      </c>
      <c r="K111" s="9" t="str">
        <f>IF(OR(J108="",J114=""),"",+IF(J108&gt;J114,I108,I114))</f>
        <v/>
      </c>
      <c r="L111" s="16"/>
      <c r="M111" s="10"/>
      <c r="N111" s="10"/>
      <c r="O111" s="10"/>
      <c r="P111" s="14"/>
      <c r="Q111" s="10"/>
      <c r="R111" s="8"/>
    </row>
    <row r="112" spans="4:18" ht="13" thickBot="1">
      <c r="E112" s="12">
        <f t="shared" si="1"/>
        <v>0</v>
      </c>
      <c r="F112" s="13" t="s">
        <v>5</v>
      </c>
      <c r="G112" s="9" t="str">
        <f>IF(OR(F111="",F113=""),"",+IF(F111&gt;F113,E111,E113))</f>
        <v/>
      </c>
      <c r="H112" s="11"/>
      <c r="I112" s="10"/>
      <c r="J112" s="14"/>
      <c r="K112" s="10"/>
      <c r="L112" s="10"/>
      <c r="M112" s="10"/>
      <c r="N112" s="10"/>
      <c r="O112" s="10"/>
      <c r="P112" s="14"/>
      <c r="Q112" s="10"/>
      <c r="R112" s="8"/>
    </row>
    <row r="113" spans="4:18" ht="13" thickBot="1">
      <c r="D113">
        <v>52</v>
      </c>
      <c r="E113" s="9">
        <f t="shared" si="1"/>
        <v>52</v>
      </c>
      <c r="F113" s="16"/>
      <c r="G113" s="10"/>
      <c r="H113" s="13"/>
      <c r="I113" s="10"/>
      <c r="J113" s="14"/>
      <c r="K113" s="10"/>
      <c r="L113" s="10"/>
      <c r="M113" s="10"/>
      <c r="N113" s="10"/>
      <c r="O113" s="10"/>
      <c r="P113" s="14"/>
      <c r="Q113" s="10"/>
      <c r="R113" s="8"/>
    </row>
    <row r="114" spans="4:18" ht="13" thickBot="1">
      <c r="E114" s="10">
        <f t="shared" si="1"/>
        <v>0</v>
      </c>
      <c r="F114" s="10"/>
      <c r="G114" s="10"/>
      <c r="H114" s="14" t="s">
        <v>31</v>
      </c>
      <c r="I114" s="9" t="str">
        <f>IF(OR(H112="",H115=""),"",+IF(H112&gt;H115,G112,E115))</f>
        <v/>
      </c>
      <c r="J114" s="16"/>
      <c r="K114" s="10"/>
      <c r="L114" s="10"/>
      <c r="M114" s="10"/>
      <c r="N114" s="10"/>
      <c r="O114" s="10"/>
      <c r="P114" s="14"/>
      <c r="Q114" s="10"/>
      <c r="R114" s="8"/>
    </row>
    <row r="115" spans="4:18" ht="13" thickBot="1">
      <c r="D115">
        <v>53</v>
      </c>
      <c r="E115" s="9">
        <f t="shared" si="1"/>
        <v>53</v>
      </c>
      <c r="F115" s="9"/>
      <c r="G115" s="9">
        <f>E115</f>
        <v>53</v>
      </c>
      <c r="H115" s="16"/>
      <c r="I115" s="10"/>
      <c r="J115" s="10"/>
      <c r="K115" s="10"/>
      <c r="L115" s="10"/>
      <c r="M115" s="10"/>
      <c r="N115" s="10"/>
      <c r="O115" s="10"/>
      <c r="P115" s="14"/>
      <c r="Q115" s="10"/>
      <c r="R115" s="8"/>
    </row>
    <row r="116" spans="4:18">
      <c r="E116" s="10">
        <f t="shared" si="1"/>
        <v>0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4"/>
      <c r="Q116" s="10"/>
      <c r="R116" s="8"/>
    </row>
    <row r="117" spans="4:18" ht="13" thickBot="1">
      <c r="D117">
        <v>54</v>
      </c>
      <c r="E117" s="9">
        <f t="shared" si="1"/>
        <v>54</v>
      </c>
      <c r="F117" s="9"/>
      <c r="G117" s="9">
        <f>E117</f>
        <v>54</v>
      </c>
      <c r="H117" s="11"/>
      <c r="I117" s="10"/>
      <c r="J117" s="10"/>
      <c r="K117" s="10"/>
      <c r="L117" s="10"/>
      <c r="M117" s="10"/>
      <c r="N117" s="10"/>
      <c r="O117" s="10"/>
      <c r="P117" s="14"/>
      <c r="Q117" s="10"/>
      <c r="R117" s="8"/>
    </row>
    <row r="118" spans="4:18" ht="13" thickBot="1">
      <c r="E118" s="12">
        <f t="shared" si="1"/>
        <v>0</v>
      </c>
      <c r="F118" s="10"/>
      <c r="G118" s="10"/>
      <c r="H118" s="13"/>
      <c r="I118" s="10"/>
      <c r="J118" s="10"/>
      <c r="K118" s="10"/>
      <c r="L118" s="10"/>
      <c r="M118" s="10"/>
      <c r="N118" s="10"/>
      <c r="O118" s="10"/>
      <c r="P118" s="14" t="s">
        <v>69</v>
      </c>
      <c r="Q118" s="9" t="str">
        <f>IF(OR(P98="",P135=""),"",+IF(P98&gt;P135,O98,O135))</f>
        <v/>
      </c>
      <c r="R118" s="8"/>
    </row>
    <row r="119" spans="4:18" ht="13" thickBot="1">
      <c r="E119" s="10">
        <f t="shared" si="1"/>
        <v>0</v>
      </c>
      <c r="F119" s="10"/>
      <c r="G119" s="10"/>
      <c r="H119" s="14" t="s">
        <v>32</v>
      </c>
      <c r="I119" s="9" t="str">
        <f>IF(OR(H117="",H121=""),"",+IF(H117&gt;H121,E117,G121))</f>
        <v/>
      </c>
      <c r="J119" s="11"/>
      <c r="K119" s="10"/>
      <c r="L119" s="10"/>
      <c r="M119" s="10"/>
      <c r="N119" s="10"/>
      <c r="O119" s="10"/>
      <c r="P119" s="14"/>
      <c r="Q119" s="10"/>
    </row>
    <row r="120" spans="4:18" ht="13" thickBot="1">
      <c r="D120">
        <v>55</v>
      </c>
      <c r="E120" s="10">
        <f t="shared" si="1"/>
        <v>55</v>
      </c>
      <c r="F120" s="11"/>
      <c r="G120" s="10"/>
      <c r="H120" s="14"/>
      <c r="I120" s="10"/>
      <c r="J120" s="13"/>
      <c r="K120" s="10"/>
      <c r="L120" s="10"/>
      <c r="M120" s="10"/>
      <c r="N120" s="10"/>
      <c r="O120" s="10"/>
      <c r="P120" s="14"/>
      <c r="Q120" s="10"/>
    </row>
    <row r="121" spans="4:18" ht="13" thickBot="1">
      <c r="E121" s="12">
        <f t="shared" si="1"/>
        <v>0</v>
      </c>
      <c r="F121" s="13" t="s">
        <v>6</v>
      </c>
      <c r="G121" s="9" t="str">
        <f>IF(OR(F120="",F122=""),"",+IF(F120&gt;F122,E120,E122))</f>
        <v/>
      </c>
      <c r="H121" s="16"/>
      <c r="I121" s="10"/>
      <c r="J121" s="14"/>
      <c r="K121" s="10"/>
      <c r="L121" s="10"/>
      <c r="M121" s="10"/>
      <c r="N121" s="10"/>
      <c r="O121" s="10"/>
      <c r="P121" s="14"/>
      <c r="Q121" s="10"/>
    </row>
    <row r="122" spans="4:18" ht="13" thickBot="1">
      <c r="D122">
        <v>56</v>
      </c>
      <c r="E122" s="10">
        <f t="shared" si="1"/>
        <v>56</v>
      </c>
      <c r="F122" s="16"/>
      <c r="G122" s="10"/>
      <c r="H122" s="10"/>
      <c r="I122" s="10"/>
      <c r="J122" s="14" t="s">
        <v>52</v>
      </c>
      <c r="K122" s="9" t="str">
        <f>IF(OR(J119="",J125=""),"",+IF(J119&gt;J125,I119,I125))</f>
        <v/>
      </c>
      <c r="L122" s="17"/>
      <c r="M122" s="10"/>
      <c r="N122" s="10"/>
      <c r="O122" s="10"/>
      <c r="P122" s="14"/>
      <c r="Q122" s="10"/>
    </row>
    <row r="123" spans="4:18">
      <c r="E123" s="12">
        <f t="shared" si="1"/>
        <v>0</v>
      </c>
      <c r="F123" s="10"/>
      <c r="G123" s="10"/>
      <c r="H123" s="10"/>
      <c r="I123" s="10"/>
      <c r="J123" s="14"/>
      <c r="K123" s="10"/>
      <c r="L123" s="10"/>
      <c r="M123" s="19"/>
      <c r="N123" s="10"/>
      <c r="O123" s="10"/>
      <c r="P123" s="14"/>
      <c r="Q123" s="10"/>
    </row>
    <row r="124" spans="4:18" ht="13" thickBot="1">
      <c r="D124">
        <v>57</v>
      </c>
      <c r="E124" s="9">
        <f t="shared" si="1"/>
        <v>57</v>
      </c>
      <c r="F124" s="9"/>
      <c r="G124" s="9">
        <f>E124</f>
        <v>57</v>
      </c>
      <c r="H124" s="11"/>
      <c r="I124" s="10"/>
      <c r="J124" s="14"/>
      <c r="K124" s="10"/>
      <c r="L124" s="10"/>
      <c r="M124" s="19"/>
      <c r="N124" s="10"/>
      <c r="O124" s="10"/>
      <c r="P124" s="14"/>
      <c r="Q124" s="10"/>
    </row>
    <row r="125" spans="4:18" ht="13" thickBot="1">
      <c r="E125" s="10">
        <f t="shared" si="1"/>
        <v>0</v>
      </c>
      <c r="F125" s="10"/>
      <c r="G125" s="10"/>
      <c r="H125" s="13" t="s">
        <v>33</v>
      </c>
      <c r="I125" s="9" t="str">
        <f>IF(OR(H124="",H126=""),"",+IF(H124&gt;H126,E124,E126))</f>
        <v/>
      </c>
      <c r="J125" s="16"/>
      <c r="K125" s="10"/>
      <c r="L125" s="10"/>
      <c r="M125" s="19"/>
      <c r="N125" s="10"/>
      <c r="O125" s="10"/>
      <c r="P125" s="14"/>
      <c r="Q125" s="10"/>
    </row>
    <row r="126" spans="4:18" ht="13" thickBot="1">
      <c r="D126">
        <v>58</v>
      </c>
      <c r="E126" s="9">
        <f t="shared" si="1"/>
        <v>58</v>
      </c>
      <c r="F126" s="9"/>
      <c r="G126" s="9">
        <f>E126</f>
        <v>58</v>
      </c>
      <c r="H126" s="16"/>
      <c r="I126" s="10"/>
      <c r="J126" s="10"/>
      <c r="K126" s="10"/>
      <c r="L126" s="10"/>
      <c r="M126" s="19"/>
      <c r="N126" s="10"/>
      <c r="O126" s="10"/>
      <c r="P126" s="14"/>
      <c r="Q126" s="10"/>
    </row>
    <row r="127" spans="4:18" ht="13" thickBot="1">
      <c r="E127" s="10">
        <f t="shared" si="1"/>
        <v>0</v>
      </c>
      <c r="F127" s="10"/>
      <c r="G127" s="10"/>
      <c r="H127" s="10"/>
      <c r="I127" s="10"/>
      <c r="J127" s="10"/>
      <c r="K127" s="10"/>
      <c r="L127" s="14" t="s">
        <v>62</v>
      </c>
      <c r="M127" s="9" t="str">
        <f>IF(OR(L122="",L131=""),"",+IF(L122&gt;L131,K122,K131))</f>
        <v/>
      </c>
      <c r="N127" s="17"/>
      <c r="O127" s="10"/>
      <c r="P127" s="14"/>
      <c r="Q127" s="10"/>
    </row>
    <row r="128" spans="4:18" ht="13" thickBot="1">
      <c r="D128">
        <v>59</v>
      </c>
      <c r="E128" s="9">
        <f t="shared" si="1"/>
        <v>59</v>
      </c>
      <c r="F128" s="9"/>
      <c r="G128" s="9">
        <f>E128</f>
        <v>59</v>
      </c>
      <c r="H128" s="11"/>
      <c r="I128" s="10"/>
      <c r="J128" s="10"/>
      <c r="K128" s="10"/>
      <c r="L128" s="10"/>
      <c r="M128" s="19"/>
      <c r="N128" s="13"/>
      <c r="O128" s="10"/>
      <c r="P128" s="14"/>
      <c r="Q128" s="10"/>
    </row>
    <row r="129" spans="4:17" ht="13" thickBot="1">
      <c r="E129" s="10">
        <f t="shared" si="1"/>
        <v>0</v>
      </c>
      <c r="F129" s="10"/>
      <c r="G129" s="12"/>
      <c r="H129" s="13" t="s">
        <v>34</v>
      </c>
      <c r="I129" s="9" t="str">
        <f>IF(OR(H128="",H130=""),"",+IF(H128&gt;H130,E128,E130))</f>
        <v/>
      </c>
      <c r="J129" s="17"/>
      <c r="K129" s="10"/>
      <c r="L129" s="10"/>
      <c r="M129" s="19"/>
      <c r="N129" s="14"/>
      <c r="O129" s="10"/>
      <c r="P129" s="14"/>
      <c r="Q129" s="10"/>
    </row>
    <row r="130" spans="4:17" ht="13" thickBot="1">
      <c r="D130">
        <v>60</v>
      </c>
      <c r="E130" s="9">
        <f t="shared" si="1"/>
        <v>60</v>
      </c>
      <c r="F130" s="9"/>
      <c r="G130" s="9">
        <f>E130</f>
        <v>60</v>
      </c>
      <c r="H130" s="16"/>
      <c r="I130" s="10"/>
      <c r="J130" s="14"/>
      <c r="K130" s="10"/>
      <c r="L130" s="10"/>
      <c r="M130" s="19"/>
      <c r="N130" s="14"/>
      <c r="O130" s="10"/>
      <c r="P130" s="14"/>
      <c r="Q130" s="10"/>
    </row>
    <row r="131" spans="4:17" ht="13" thickBot="1">
      <c r="E131" s="10">
        <f t="shared" si="1"/>
        <v>0</v>
      </c>
      <c r="F131" s="10"/>
      <c r="G131" s="12"/>
      <c r="H131" s="10"/>
      <c r="I131" s="10"/>
      <c r="J131" s="14" t="s">
        <v>53</v>
      </c>
      <c r="K131" s="9" t="str">
        <f>IF(OR(J129="",J133=""),"",+IF(J129&gt;J133,I129,I133))</f>
        <v/>
      </c>
      <c r="L131" s="16"/>
      <c r="M131" s="19"/>
      <c r="N131" s="14"/>
      <c r="O131" s="10"/>
      <c r="P131" s="14"/>
      <c r="Q131" s="10"/>
    </row>
    <row r="132" spans="4:17" ht="13" thickBot="1">
      <c r="D132">
        <v>61</v>
      </c>
      <c r="E132" s="9">
        <f t="shared" si="1"/>
        <v>61</v>
      </c>
      <c r="F132" s="9"/>
      <c r="G132" s="9">
        <f>E132</f>
        <v>61</v>
      </c>
      <c r="H132" s="11"/>
      <c r="I132" s="10"/>
      <c r="J132" s="14"/>
      <c r="K132" s="10"/>
      <c r="L132" s="10"/>
      <c r="M132" s="10"/>
      <c r="N132" s="14"/>
      <c r="O132" s="10"/>
      <c r="P132" s="14"/>
      <c r="Q132" s="10"/>
    </row>
    <row r="133" spans="4:17" ht="13" thickBot="1">
      <c r="E133" s="10">
        <f t="shared" si="1"/>
        <v>0</v>
      </c>
      <c r="F133" s="10"/>
      <c r="G133" s="12"/>
      <c r="H133" s="13" t="s">
        <v>35</v>
      </c>
      <c r="I133" s="9" t="str">
        <f>IF(OR(H132="",H134=""),"",+IF(H132&gt;H134,E132,E134))</f>
        <v/>
      </c>
      <c r="J133" s="16"/>
      <c r="K133" s="10"/>
      <c r="L133" s="10"/>
      <c r="M133" s="10"/>
      <c r="N133" s="14"/>
      <c r="O133" s="10"/>
      <c r="P133" s="14"/>
      <c r="Q133" s="10"/>
    </row>
    <row r="134" spans="4:17" ht="13" thickBot="1">
      <c r="D134">
        <v>62</v>
      </c>
      <c r="E134" s="9">
        <f t="shared" si="1"/>
        <v>62</v>
      </c>
      <c r="F134" s="9"/>
      <c r="G134" s="9">
        <f>E134</f>
        <v>62</v>
      </c>
      <c r="H134" s="16"/>
      <c r="I134" s="10"/>
      <c r="J134" s="10"/>
      <c r="K134" s="10"/>
      <c r="L134" s="10"/>
      <c r="M134" s="10"/>
      <c r="N134" s="14"/>
      <c r="O134" s="10"/>
      <c r="P134" s="14"/>
      <c r="Q134" s="10"/>
    </row>
    <row r="135" spans="4:17" ht="13" thickBot="1">
      <c r="E135" s="10">
        <f t="shared" si="1"/>
        <v>0</v>
      </c>
      <c r="F135" s="10"/>
      <c r="G135" s="10"/>
      <c r="H135" s="10"/>
      <c r="I135" s="10"/>
      <c r="J135" s="10"/>
      <c r="K135" s="10"/>
      <c r="L135" s="10"/>
      <c r="M135" s="10"/>
      <c r="N135" s="14" t="s">
        <v>67</v>
      </c>
      <c r="O135" s="9" t="str">
        <f>IF(OR(N127="",N143=""),"",+IF(N127&gt;N143,M127,M143))</f>
        <v/>
      </c>
      <c r="P135" s="16"/>
      <c r="Q135" s="10"/>
    </row>
    <row r="136" spans="4:17" ht="13" thickBot="1">
      <c r="D136">
        <v>63</v>
      </c>
      <c r="E136" s="9">
        <f t="shared" si="1"/>
        <v>63</v>
      </c>
      <c r="F136" s="9"/>
      <c r="G136" s="9">
        <f>E136</f>
        <v>63</v>
      </c>
      <c r="H136" s="11"/>
      <c r="I136" s="10"/>
      <c r="J136" s="10"/>
      <c r="K136" s="10"/>
      <c r="L136" s="10"/>
      <c r="M136" s="10"/>
      <c r="N136" s="14"/>
      <c r="O136" s="10"/>
      <c r="P136" s="10"/>
      <c r="Q136" s="10"/>
    </row>
    <row r="137" spans="4:17" ht="13" thickBot="1">
      <c r="E137" s="10">
        <f t="shared" si="1"/>
        <v>0</v>
      </c>
      <c r="F137" s="10"/>
      <c r="G137" s="12"/>
      <c r="H137" s="13" t="s">
        <v>36</v>
      </c>
      <c r="I137" s="9" t="str">
        <f>IF(OR(H136="",H138=""),"",+IF(H136&gt;H138,E136,E138))</f>
        <v/>
      </c>
      <c r="J137" s="17"/>
      <c r="K137" s="10"/>
      <c r="L137" s="10"/>
      <c r="M137" s="10"/>
      <c r="N137" s="14"/>
      <c r="O137" s="10"/>
      <c r="P137" s="10"/>
      <c r="Q137" s="10"/>
    </row>
    <row r="138" spans="4:17" ht="13" thickBot="1">
      <c r="D138">
        <v>64</v>
      </c>
      <c r="E138" s="9">
        <f t="shared" ref="E138:E152" si="2">D138</f>
        <v>64</v>
      </c>
      <c r="F138" s="9"/>
      <c r="G138" s="9">
        <f>E138</f>
        <v>64</v>
      </c>
      <c r="H138" s="16"/>
      <c r="I138" s="10"/>
      <c r="J138" s="14"/>
      <c r="K138" s="10"/>
      <c r="L138" s="10"/>
      <c r="M138" s="10"/>
      <c r="N138" s="14"/>
      <c r="O138" s="10"/>
      <c r="P138" s="10"/>
      <c r="Q138" s="10"/>
    </row>
    <row r="139" spans="4:17" ht="13" thickBot="1">
      <c r="E139" s="10">
        <f t="shared" si="2"/>
        <v>0</v>
      </c>
      <c r="F139" s="10"/>
      <c r="G139" s="12"/>
      <c r="H139" s="10"/>
      <c r="I139" s="10"/>
      <c r="J139" s="14" t="s">
        <v>54</v>
      </c>
      <c r="K139" s="9" t="str">
        <f>IF(OR(J137="",J141=""),"",+IF(J137&gt;J141,I137,I141))</f>
        <v/>
      </c>
      <c r="L139" s="17"/>
      <c r="M139" s="10"/>
      <c r="N139" s="14"/>
      <c r="O139" s="10"/>
      <c r="P139" s="10"/>
      <c r="Q139" s="10"/>
    </row>
    <row r="140" spans="4:17" ht="13" thickBot="1">
      <c r="D140">
        <v>65</v>
      </c>
      <c r="E140" s="9">
        <f t="shared" si="2"/>
        <v>65</v>
      </c>
      <c r="F140" s="9"/>
      <c r="G140" s="9">
        <f>E140</f>
        <v>65</v>
      </c>
      <c r="H140" s="11"/>
      <c r="I140" s="10"/>
      <c r="J140" s="14"/>
      <c r="K140" s="10"/>
      <c r="L140" s="14"/>
      <c r="M140" s="10"/>
      <c r="N140" s="14"/>
      <c r="O140" s="10"/>
      <c r="P140" s="10"/>
      <c r="Q140" s="10"/>
    </row>
    <row r="141" spans="4:17" ht="13" thickBot="1">
      <c r="E141" s="10">
        <f t="shared" si="2"/>
        <v>0</v>
      </c>
      <c r="F141" s="10"/>
      <c r="G141" s="12"/>
      <c r="H141" s="13" t="s">
        <v>37</v>
      </c>
      <c r="I141" s="9" t="str">
        <f>IF(OR(H140="",H142=""),"",+IF(H140&gt;H142,E140,E142))</f>
        <v/>
      </c>
      <c r="J141" s="16"/>
      <c r="K141" s="10"/>
      <c r="L141" s="14"/>
      <c r="M141" s="10"/>
      <c r="N141" s="14"/>
      <c r="O141" s="10"/>
      <c r="P141" s="10"/>
      <c r="Q141" s="10"/>
    </row>
    <row r="142" spans="4:17" ht="13" thickBot="1">
      <c r="D142">
        <v>66</v>
      </c>
      <c r="E142" s="9">
        <f t="shared" si="2"/>
        <v>66</v>
      </c>
      <c r="F142" s="9"/>
      <c r="G142" s="9">
        <f>E142</f>
        <v>66</v>
      </c>
      <c r="H142" s="16"/>
      <c r="I142" s="10"/>
      <c r="J142" s="10"/>
      <c r="K142" s="10"/>
      <c r="L142" s="14"/>
      <c r="M142" s="10"/>
      <c r="N142" s="14"/>
      <c r="O142" s="10"/>
      <c r="P142" s="10"/>
      <c r="Q142" s="10"/>
    </row>
    <row r="143" spans="4:17" ht="13" thickBot="1">
      <c r="E143" s="10">
        <f t="shared" si="2"/>
        <v>0</v>
      </c>
      <c r="F143" s="10"/>
      <c r="G143" s="10"/>
      <c r="H143" s="10"/>
      <c r="I143" s="10"/>
      <c r="J143" s="10"/>
      <c r="K143" s="10"/>
      <c r="L143" s="14" t="s">
        <v>63</v>
      </c>
      <c r="M143" s="9" t="str">
        <f>IF(OR(L139="",L148=""),"",+IF(L139&gt;L148,K139,K148))</f>
        <v/>
      </c>
      <c r="N143" s="16"/>
      <c r="O143" s="10"/>
      <c r="P143" s="10"/>
      <c r="Q143" s="10"/>
    </row>
    <row r="144" spans="4:17" ht="13" thickBot="1">
      <c r="D144">
        <v>67</v>
      </c>
      <c r="E144" s="9">
        <f t="shared" si="2"/>
        <v>67</v>
      </c>
      <c r="F144" s="9"/>
      <c r="G144" s="9">
        <f>E144</f>
        <v>67</v>
      </c>
      <c r="H144" s="11"/>
      <c r="I144" s="10"/>
      <c r="J144" s="10"/>
      <c r="K144" s="10"/>
      <c r="L144" s="14"/>
      <c r="M144" s="10"/>
      <c r="N144" s="10"/>
      <c r="O144" s="10"/>
      <c r="P144" s="10"/>
      <c r="Q144" s="10"/>
    </row>
    <row r="145" spans="4:17" ht="13" thickBot="1">
      <c r="E145" s="10">
        <f t="shared" si="2"/>
        <v>0</v>
      </c>
      <c r="F145" s="10"/>
      <c r="G145" s="12"/>
      <c r="H145" s="13" t="s">
        <v>38</v>
      </c>
      <c r="I145" s="9" t="str">
        <f>IF(OR(H144="",H146=""),"",+IF(H144&gt;H146,E144,E146))</f>
        <v/>
      </c>
      <c r="J145" s="17"/>
      <c r="K145" s="10"/>
      <c r="L145" s="14"/>
      <c r="M145" s="10"/>
      <c r="N145" s="10"/>
      <c r="O145" s="10"/>
      <c r="P145" s="10"/>
      <c r="Q145" s="10"/>
    </row>
    <row r="146" spans="4:17" ht="13" thickBot="1">
      <c r="D146">
        <v>68</v>
      </c>
      <c r="E146" s="9">
        <f t="shared" si="2"/>
        <v>68</v>
      </c>
      <c r="F146" s="9"/>
      <c r="G146" s="9">
        <f>E146</f>
        <v>68</v>
      </c>
      <c r="H146" s="16"/>
      <c r="I146" s="10"/>
      <c r="J146" s="14"/>
      <c r="K146" s="10"/>
      <c r="L146" s="14"/>
      <c r="M146" s="10"/>
      <c r="N146" s="10"/>
      <c r="O146" s="10"/>
      <c r="P146" s="10"/>
      <c r="Q146" s="10"/>
    </row>
    <row r="147" spans="4:17">
      <c r="E147" s="10">
        <f t="shared" si="2"/>
        <v>0</v>
      </c>
      <c r="F147" s="10"/>
      <c r="G147" s="10"/>
      <c r="H147" s="10"/>
      <c r="I147" s="10"/>
      <c r="J147" s="14"/>
      <c r="K147" s="10"/>
      <c r="L147" s="14"/>
      <c r="M147" s="10"/>
      <c r="N147" s="10"/>
      <c r="O147" s="10"/>
      <c r="P147" s="10"/>
      <c r="Q147" s="10"/>
    </row>
    <row r="148" spans="4:17" ht="13" thickBot="1">
      <c r="D148">
        <v>69</v>
      </c>
      <c r="E148" s="10">
        <f t="shared" si="2"/>
        <v>69</v>
      </c>
      <c r="F148" s="11"/>
      <c r="G148" s="10"/>
      <c r="H148" s="10"/>
      <c r="I148" s="10"/>
      <c r="J148" s="14" t="s">
        <v>55</v>
      </c>
      <c r="K148" s="9" t="str">
        <f>IF(OR(J145="",J151=""),"",+IF(J145&gt;J151,I145,I151))</f>
        <v/>
      </c>
      <c r="L148" s="16"/>
      <c r="M148" s="10"/>
      <c r="N148" s="10"/>
      <c r="O148" s="10"/>
      <c r="P148" s="10"/>
      <c r="Q148" s="10"/>
    </row>
    <row r="149" spans="4:17" ht="13" thickBot="1">
      <c r="E149" s="12">
        <f t="shared" si="2"/>
        <v>0</v>
      </c>
      <c r="F149" s="13" t="s">
        <v>7</v>
      </c>
      <c r="G149" s="9" t="str">
        <f>IF(OR(F148="",F150=""),"",+IF(F148&gt;F150,E148,E150))</f>
        <v/>
      </c>
      <c r="H149" s="11"/>
      <c r="I149" s="10"/>
      <c r="J149" s="14"/>
      <c r="K149" s="10"/>
      <c r="L149" s="10"/>
      <c r="M149" s="10"/>
      <c r="N149" s="10"/>
      <c r="O149" s="10"/>
      <c r="P149" s="10"/>
      <c r="Q149" s="10"/>
    </row>
    <row r="150" spans="4:17" ht="13" thickBot="1">
      <c r="D150">
        <v>70</v>
      </c>
      <c r="E150" s="9">
        <f t="shared" si="2"/>
        <v>70</v>
      </c>
      <c r="F150" s="16"/>
      <c r="G150" s="10"/>
      <c r="H150" s="13"/>
      <c r="I150" s="10"/>
      <c r="J150" s="14"/>
      <c r="K150" s="10"/>
      <c r="L150" s="10"/>
      <c r="M150" s="10"/>
      <c r="N150" s="10"/>
      <c r="O150" s="10"/>
      <c r="P150" s="10"/>
      <c r="Q150" s="10"/>
    </row>
    <row r="151" spans="4:17" ht="13" thickBot="1">
      <c r="E151" s="10">
        <f t="shared" si="2"/>
        <v>0</v>
      </c>
      <c r="F151" s="10"/>
      <c r="G151" s="10"/>
      <c r="H151" s="14" t="s">
        <v>39</v>
      </c>
      <c r="I151" s="9" t="str">
        <f>IF(OR(H149="",H152=""),"",+IF(H149&gt;H152,G149,E152))</f>
        <v/>
      </c>
      <c r="J151" s="16"/>
      <c r="K151" s="10"/>
      <c r="L151" s="10"/>
      <c r="M151" s="10"/>
      <c r="N151" s="10"/>
      <c r="O151" s="10"/>
      <c r="P151" s="10"/>
      <c r="Q151" s="10"/>
    </row>
    <row r="152" spans="4:17" ht="13" thickBot="1">
      <c r="D152">
        <v>71</v>
      </c>
      <c r="E152" s="9">
        <f t="shared" si="2"/>
        <v>71</v>
      </c>
      <c r="F152" s="9"/>
      <c r="G152" s="9">
        <f>E152</f>
        <v>71</v>
      </c>
      <c r="H152" s="16"/>
      <c r="I152" s="10"/>
      <c r="J152" s="10"/>
      <c r="K152" s="10"/>
      <c r="L152" s="10"/>
      <c r="M152" s="10"/>
      <c r="N152" s="10"/>
      <c r="O152" s="10"/>
      <c r="P152" s="10"/>
      <c r="Q152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4"/>
  <dimension ref="D4:AG150"/>
  <sheetViews>
    <sheetView showGridLines="0" topLeftCell="J1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5" max="15" width="13.87890625" customWidth="1"/>
    <col min="16" max="16" width="3.64453125" customWidth="1"/>
    <col min="17" max="17" width="13.1171875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2</v>
      </c>
      <c r="V5" t="s">
        <v>77</v>
      </c>
      <c r="W5" s="29">
        <f>E12</f>
        <v>3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E45</f>
        <v>19</v>
      </c>
      <c r="V6" t="s">
        <v>77</v>
      </c>
      <c r="W6" s="29">
        <f>E47</f>
        <v>20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>
        <f>D7</f>
        <v>1</v>
      </c>
      <c r="F7" s="9"/>
      <c r="G7" s="9">
        <f>E7</f>
        <v>1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E73</f>
        <v>33</v>
      </c>
      <c r="V7" t="s">
        <v>77</v>
      </c>
      <c r="W7" s="29">
        <f>E75</f>
        <v>34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E83</f>
        <v>37</v>
      </c>
      <c r="V8" t="s">
        <v>77</v>
      </c>
      <c r="W8" s="29">
        <f>E85</f>
        <v>38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7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E118</f>
        <v>54</v>
      </c>
      <c r="V9" t="s">
        <v>77</v>
      </c>
      <c r="W9" s="29">
        <f>E120</f>
        <v>55</v>
      </c>
      <c r="Z9" s="34"/>
      <c r="AA9" s="40"/>
      <c r="AB9" s="40"/>
      <c r="AC9" s="38" t="s">
        <v>159</v>
      </c>
      <c r="AD9" s="48"/>
      <c r="AE9" s="53" t="e">
        <f>LOOKUP(AD9,T$5:T$78,U$5:U$77)</f>
        <v>#N/A</v>
      </c>
      <c r="AF9" s="37" t="s">
        <v>157</v>
      </c>
      <c r="AG9" s="65" t="e">
        <f>LOOKUP(AD9,T$5:T$78,W$5:W$77)</f>
        <v>#N/A</v>
      </c>
    </row>
    <row r="10" spans="4:33" ht="13" thickBot="1">
      <c r="D10">
        <v>2</v>
      </c>
      <c r="E10" s="10">
        <f t="shared" ref="E10:E73" si="0">D10</f>
        <v>2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E146</f>
        <v>68</v>
      </c>
      <c r="V10" t="s">
        <v>77</v>
      </c>
      <c r="W10" s="29">
        <f>E148</f>
        <v>69</v>
      </c>
      <c r="Z10" s="34"/>
      <c r="AA10" s="40"/>
      <c r="AB10" s="40"/>
      <c r="AC10" s="38" t="s">
        <v>159</v>
      </c>
      <c r="AD10" s="48"/>
      <c r="AE10" s="53" t="e">
        <f>LOOKUP(AD10,T$5:T$78,U$5:U$77)</f>
        <v>#N/A</v>
      </c>
      <c r="AF10" s="37" t="s">
        <v>157</v>
      </c>
      <c r="AG10" s="65" t="e">
        <f>LOOKUP(AD10,T$5:T$78,W$5:W$77)</f>
        <v>#N/A</v>
      </c>
    </row>
    <row r="11" spans="4:33" ht="13" thickBot="1">
      <c r="E11" s="12">
        <f t="shared" si="0"/>
        <v>0</v>
      </c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E7</f>
        <v>1</v>
      </c>
      <c r="V11" t="s">
        <v>77</v>
      </c>
      <c r="W11" s="29" t="s">
        <v>78</v>
      </c>
      <c r="Z11" s="34"/>
      <c r="AA11" s="40"/>
      <c r="AB11" s="40"/>
      <c r="AC11" s="38" t="s">
        <v>159</v>
      </c>
      <c r="AD11" s="48"/>
      <c r="AE11" s="53" t="e">
        <f>LOOKUP(AD11,T$5:T$78,U$5:U$77)</f>
        <v>#N/A</v>
      </c>
      <c r="AF11" s="37" t="s">
        <v>157</v>
      </c>
      <c r="AG11" s="65" t="e">
        <f>LOOKUP(AD11,T$5:T$78,W$5:W$77)</f>
        <v>#N/A</v>
      </c>
    </row>
    <row r="12" spans="4:33" ht="13" thickBot="1">
      <c r="D12">
        <v>3</v>
      </c>
      <c r="E12" s="10">
        <f t="shared" si="0"/>
        <v>3</v>
      </c>
      <c r="F12" s="16"/>
      <c r="G12" s="10"/>
      <c r="H12" s="10"/>
      <c r="I12" s="10"/>
      <c r="J12" s="14" t="s">
        <v>39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E14</f>
        <v>4</v>
      </c>
      <c r="V12" t="s">
        <v>77</v>
      </c>
      <c r="W12" s="29">
        <f>E16</f>
        <v>5</v>
      </c>
      <c r="Z12" s="34"/>
      <c r="AA12" s="40"/>
      <c r="AB12" s="40"/>
      <c r="AC12" s="38" t="s">
        <v>159</v>
      </c>
      <c r="AD12" s="48"/>
      <c r="AE12" s="53" t="e">
        <f>LOOKUP(AD12,T$5:T$78,U$5:U$77)</f>
        <v>#N/A</v>
      </c>
      <c r="AF12" s="37" t="s">
        <v>157</v>
      </c>
      <c r="AG12" s="65" t="e">
        <f>LOOKUP(AD12,T$5:T$78,W$5:W$77)</f>
        <v>#N/A</v>
      </c>
    </row>
    <row r="13" spans="4:33">
      <c r="E13" s="12">
        <f t="shared" si="0"/>
        <v>0</v>
      </c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E18</f>
        <v>6</v>
      </c>
      <c r="V13" t="s">
        <v>77</v>
      </c>
      <c r="W13" s="29">
        <f>E20</f>
        <v>7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>
        <f t="shared" si="0"/>
        <v>4</v>
      </c>
      <c r="F14" s="9"/>
      <c r="G14" s="9">
        <f>E14</f>
        <v>4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E22</f>
        <v>8</v>
      </c>
      <c r="V14" t="s">
        <v>77</v>
      </c>
      <c r="W14" s="29">
        <f>E24</f>
        <v>9</v>
      </c>
      <c r="Z14" s="34"/>
      <c r="AA14" s="40"/>
      <c r="AB14" s="40"/>
      <c r="AC14" s="38" t="s">
        <v>159</v>
      </c>
      <c r="AD14" s="48"/>
      <c r="AE14" s="53" t="e">
        <f>LOOKUP(AD14,T$5:T$78,U$5:U$77)</f>
        <v>#N/A</v>
      </c>
      <c r="AF14" s="37" t="s">
        <v>157</v>
      </c>
      <c r="AG14" s="65" t="e">
        <f>LOOKUP(AD14,T$5:T$78,W$5:W$77)</f>
        <v>#N/A</v>
      </c>
    </row>
    <row r="15" spans="4:33" ht="13" thickBot="1">
      <c r="E15" s="10">
        <f t="shared" si="0"/>
        <v>0</v>
      </c>
      <c r="F15" s="10"/>
      <c r="G15" s="10"/>
      <c r="H15" s="13" t="s">
        <v>8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E26</f>
        <v>10</v>
      </c>
      <c r="V15" t="s">
        <v>77</v>
      </c>
      <c r="W15" s="29">
        <f>E28</f>
        <v>11</v>
      </c>
      <c r="Z15" s="34"/>
      <c r="AA15" s="40"/>
      <c r="AB15" s="40"/>
      <c r="AC15" s="38" t="s">
        <v>159</v>
      </c>
      <c r="AD15" s="48"/>
      <c r="AE15" s="53" t="e">
        <f>LOOKUP(AD15,T$5:T$78,U$5:U$77)</f>
        <v>#N/A</v>
      </c>
      <c r="AF15" s="37" t="s">
        <v>157</v>
      </c>
      <c r="AG15" s="65" t="e">
        <f>LOOKUP(AD15,T$5:T$78,W$5:W$77)</f>
        <v>#N/A</v>
      </c>
    </row>
    <row r="16" spans="4:33" ht="13" thickBot="1">
      <c r="D16">
        <v>5</v>
      </c>
      <c r="E16" s="9">
        <f t="shared" si="0"/>
        <v>5</v>
      </c>
      <c r="F16" s="9"/>
      <c r="G16" s="9">
        <f>E16</f>
        <v>5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E30</f>
        <v>12</v>
      </c>
      <c r="V16" t="s">
        <v>77</v>
      </c>
      <c r="W16" s="29">
        <f>E32</f>
        <v>13</v>
      </c>
      <c r="Z16" s="34"/>
      <c r="AA16" s="40"/>
      <c r="AB16" s="40"/>
      <c r="AC16" s="38" t="s">
        <v>159</v>
      </c>
      <c r="AD16" s="48"/>
      <c r="AE16" s="53" t="e">
        <f>LOOKUP(AD16,T$5:T$78,U$5:U$77)</f>
        <v>#N/A</v>
      </c>
      <c r="AF16" s="37" t="s">
        <v>157</v>
      </c>
      <c r="AG16" s="65" t="e">
        <f>LOOKUP(AD16,T$5:T$78,W$5:W$77)</f>
        <v>#N/A</v>
      </c>
    </row>
    <row r="17" spans="4:33" ht="13" thickBot="1">
      <c r="E17" s="10">
        <f t="shared" si="0"/>
        <v>0</v>
      </c>
      <c r="F17" s="10"/>
      <c r="G17" s="10"/>
      <c r="H17" s="10"/>
      <c r="I17" s="10"/>
      <c r="J17" s="10"/>
      <c r="K17" s="10"/>
      <c r="L17" s="14" t="s">
        <v>55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E34</f>
        <v>14</v>
      </c>
      <c r="V17" t="s">
        <v>77</v>
      </c>
      <c r="W17" s="29">
        <f>E36</f>
        <v>15</v>
      </c>
      <c r="Z17" s="34"/>
      <c r="AA17" s="40"/>
      <c r="AB17" s="40"/>
      <c r="AC17" s="38" t="s">
        <v>159</v>
      </c>
      <c r="AD17" s="48"/>
      <c r="AE17" s="53" t="e">
        <f>LOOKUP(AD17,T$5:T$78,U$5:U$77)</f>
        <v>#N/A</v>
      </c>
      <c r="AF17" s="37" t="s">
        <v>157</v>
      </c>
      <c r="AG17" s="65" t="e">
        <f>LOOKUP(AD17,T$5:T$78,W$5:W$77)</f>
        <v>#N/A</v>
      </c>
    </row>
    <row r="18" spans="4:33" ht="13" thickBot="1">
      <c r="D18">
        <v>6</v>
      </c>
      <c r="E18" s="9">
        <f t="shared" si="0"/>
        <v>6</v>
      </c>
      <c r="F18" s="9"/>
      <c r="G18" s="9">
        <f>E18</f>
        <v>6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E38</f>
        <v>16</v>
      </c>
      <c r="V18" t="s">
        <v>77</v>
      </c>
      <c r="W18" s="29">
        <f>E40</f>
        <v>17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>
        <f t="shared" si="0"/>
        <v>0</v>
      </c>
      <c r="F19" s="10"/>
      <c r="G19" s="12"/>
      <c r="H19" s="13" t="s">
        <v>9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E42</f>
        <v>18</v>
      </c>
      <c r="V19" t="s">
        <v>77</v>
      </c>
      <c r="W19" s="29" t="s">
        <v>160</v>
      </c>
      <c r="Z19" s="34"/>
      <c r="AA19" s="40"/>
      <c r="AB19" s="40"/>
      <c r="AC19" s="38" t="s">
        <v>159</v>
      </c>
      <c r="AD19" s="48"/>
      <c r="AE19" s="53" t="e">
        <f>LOOKUP(AD19,T$5:T$78,U$5:U$77)</f>
        <v>#N/A</v>
      </c>
      <c r="AF19" s="37" t="s">
        <v>157</v>
      </c>
      <c r="AG19" s="65" t="e">
        <f>LOOKUP(AD19,T$5:T$78,W$5:W$77)</f>
        <v>#N/A</v>
      </c>
    </row>
    <row r="20" spans="4:33" ht="13" thickBot="1">
      <c r="D20">
        <v>7</v>
      </c>
      <c r="E20" s="9">
        <f t="shared" si="0"/>
        <v>7</v>
      </c>
      <c r="F20" s="9"/>
      <c r="G20" s="9">
        <f>E20</f>
        <v>7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E49</f>
        <v>21</v>
      </c>
      <c r="V20" t="s">
        <v>77</v>
      </c>
      <c r="W20" s="29">
        <f>E51</f>
        <v>22</v>
      </c>
      <c r="Z20" s="34"/>
      <c r="AA20" s="40"/>
      <c r="AB20" s="40"/>
      <c r="AC20" s="38" t="s">
        <v>159</v>
      </c>
      <c r="AD20" s="48"/>
      <c r="AE20" s="53" t="e">
        <f>LOOKUP(AD20,T$5:T$78,U$5:U$77)</f>
        <v>#N/A</v>
      </c>
      <c r="AF20" s="37" t="s">
        <v>157</v>
      </c>
      <c r="AG20" s="65" t="e">
        <f>LOOKUP(AD20,T$5:T$78,W$5:W$77)</f>
        <v>#N/A</v>
      </c>
    </row>
    <row r="21" spans="4:33" ht="13" thickBot="1">
      <c r="E21" s="10">
        <f t="shared" si="0"/>
        <v>0</v>
      </c>
      <c r="F21" s="10"/>
      <c r="G21" s="12"/>
      <c r="H21" s="10"/>
      <c r="I21" s="10"/>
      <c r="J21" s="14" t="s">
        <v>40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E53</f>
        <v>23</v>
      </c>
      <c r="V21" t="s">
        <v>77</v>
      </c>
      <c r="W21" s="29">
        <f>E55</f>
        <v>24</v>
      </c>
      <c r="Z21" s="34"/>
      <c r="AA21" s="40"/>
      <c r="AB21" s="40"/>
      <c r="AC21" s="38" t="s">
        <v>159</v>
      </c>
      <c r="AD21" s="48"/>
      <c r="AE21" s="53" t="e">
        <f>LOOKUP(AD21,T$5:T$78,U$5:U$77)</f>
        <v>#N/A</v>
      </c>
      <c r="AF21" s="37" t="s">
        <v>157</v>
      </c>
      <c r="AG21" s="65" t="e">
        <f>LOOKUP(AD21,T$5:T$78,W$5:W$77)</f>
        <v>#N/A</v>
      </c>
    </row>
    <row r="22" spans="4:33" ht="13" thickBot="1">
      <c r="D22">
        <v>8</v>
      </c>
      <c r="E22" s="9">
        <f t="shared" si="0"/>
        <v>8</v>
      </c>
      <c r="F22" s="9"/>
      <c r="G22" s="9">
        <f>E22</f>
        <v>8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E57</f>
        <v>25</v>
      </c>
      <c r="V22" t="s">
        <v>77</v>
      </c>
      <c r="W22" s="29">
        <f>E59</f>
        <v>26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0">
        <f t="shared" si="0"/>
        <v>0</v>
      </c>
      <c r="F23" s="10"/>
      <c r="G23" s="12"/>
      <c r="H23" s="13" t="s">
        <v>10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E61</f>
        <v>27</v>
      </c>
      <c r="V23" t="s">
        <v>77</v>
      </c>
      <c r="W23" s="29">
        <f>E63</f>
        <v>28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>
        <f t="shared" si="0"/>
        <v>9</v>
      </c>
      <c r="F24" s="9"/>
      <c r="G24" s="9">
        <f>E24</f>
        <v>9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>
        <f>E65</f>
        <v>29</v>
      </c>
      <c r="V24" t="s">
        <v>77</v>
      </c>
      <c r="W24" s="29">
        <f>E67</f>
        <v>30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0">
        <f t="shared" si="0"/>
        <v>0</v>
      </c>
      <c r="F25" s="10"/>
      <c r="G25" s="10"/>
      <c r="H25" s="10"/>
      <c r="I25" s="10"/>
      <c r="J25" s="10"/>
      <c r="K25" s="10"/>
      <c r="L25" s="10"/>
      <c r="M25" s="10"/>
      <c r="N25" s="14" t="s">
        <v>63</v>
      </c>
      <c r="O25" s="9" t="str">
        <f>IF(OR(N17="",N33=""),"",+IF(N17&gt;N33,M17,M33))</f>
        <v/>
      </c>
      <c r="P25" s="17"/>
      <c r="Q25" s="10"/>
      <c r="T25">
        <v>21</v>
      </c>
      <c r="U25" s="28">
        <f>E69</f>
        <v>31</v>
      </c>
      <c r="V25" t="s">
        <v>77</v>
      </c>
      <c r="W25" s="29">
        <f>E71</f>
        <v>32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>
        <f t="shared" si="0"/>
        <v>10</v>
      </c>
      <c r="F26" s="9"/>
      <c r="G26" s="9">
        <f>E26</f>
        <v>10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 t="s">
        <v>161</v>
      </c>
      <c r="V26" t="s">
        <v>77</v>
      </c>
      <c r="W26" s="29">
        <f>E77</f>
        <v>35</v>
      </c>
      <c r="Z26" s="34"/>
      <c r="AA26" s="40"/>
      <c r="AB26" s="40"/>
      <c r="AC26" s="38" t="s">
        <v>159</v>
      </c>
      <c r="AD26" s="48"/>
      <c r="AE26" s="53" t="e">
        <f>LOOKUP(AD26,T$5:T$78,U$5:U$77)</f>
        <v>#N/A</v>
      </c>
      <c r="AF26" s="37" t="s">
        <v>157</v>
      </c>
      <c r="AG26" s="65" t="e">
        <f>LOOKUP(AD26,T$5:T$78,W$5:W$77)</f>
        <v>#N/A</v>
      </c>
    </row>
    <row r="27" spans="4:33" ht="13" thickBot="1">
      <c r="E27" s="10">
        <f t="shared" si="0"/>
        <v>0</v>
      </c>
      <c r="F27" s="10"/>
      <c r="G27" s="10"/>
      <c r="H27" s="13" t="s">
        <v>11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>
        <f>E80</f>
        <v>36</v>
      </c>
      <c r="V27" t="s">
        <v>77</v>
      </c>
      <c r="W27" s="29" t="s">
        <v>81</v>
      </c>
      <c r="Z27" s="34"/>
      <c r="AA27" s="40"/>
      <c r="AB27" s="40"/>
      <c r="AC27" s="38" t="s">
        <v>159</v>
      </c>
      <c r="AD27" s="48"/>
      <c r="AE27" s="53" t="e">
        <f>LOOKUP(AD27,T$5:T$78,U$5:U$77)</f>
        <v>#N/A</v>
      </c>
      <c r="AF27" s="37" t="s">
        <v>157</v>
      </c>
      <c r="AG27" s="65" t="e">
        <f>LOOKUP(AD27,T$5:T$78,W$5:W$77)</f>
        <v>#N/A</v>
      </c>
    </row>
    <row r="28" spans="4:33" ht="13" thickBot="1">
      <c r="D28">
        <v>11</v>
      </c>
      <c r="E28" s="9">
        <f t="shared" si="0"/>
        <v>11</v>
      </c>
      <c r="F28" s="9"/>
      <c r="G28" s="9">
        <f>E28</f>
        <v>11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>
        <f>E87</f>
        <v>39</v>
      </c>
      <c r="V28" t="s">
        <v>77</v>
      </c>
      <c r="W28" s="29">
        <f>E89</f>
        <v>40</v>
      </c>
      <c r="Z28" s="34"/>
      <c r="AA28" s="40"/>
      <c r="AB28" s="40"/>
      <c r="AC28" s="38" t="s">
        <v>159</v>
      </c>
      <c r="AD28" s="48"/>
      <c r="AE28" s="53" t="e">
        <f>LOOKUP(AD28,T$5:T$78,U$5:U$77)</f>
        <v>#N/A</v>
      </c>
      <c r="AF28" s="37" t="s">
        <v>157</v>
      </c>
      <c r="AG28" s="65" t="e">
        <f>LOOKUP(AD28,T$5:T$78,W$5:W$77)</f>
        <v>#N/A</v>
      </c>
    </row>
    <row r="29" spans="4:33" ht="13" thickBot="1">
      <c r="E29" s="10">
        <f t="shared" si="0"/>
        <v>0</v>
      </c>
      <c r="F29" s="10"/>
      <c r="G29" s="10"/>
      <c r="H29" s="10"/>
      <c r="I29" s="10"/>
      <c r="J29" s="14" t="s">
        <v>41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>
        <f>E91</f>
        <v>41</v>
      </c>
      <c r="V29" t="s">
        <v>77</v>
      </c>
      <c r="W29" s="29">
        <f>E93</f>
        <v>42</v>
      </c>
      <c r="Z29" s="34"/>
      <c r="AA29" s="40"/>
      <c r="AB29" s="40"/>
      <c r="AC29" s="38" t="s">
        <v>159</v>
      </c>
      <c r="AD29" s="48"/>
      <c r="AE29" s="53" t="e">
        <f>LOOKUP(AD29,T$5:T$78,U$5:U$77)</f>
        <v>#N/A</v>
      </c>
      <c r="AF29" s="37" t="s">
        <v>157</v>
      </c>
      <c r="AG29" s="65" t="e">
        <f>LOOKUP(AD29,T$5:T$78,W$5:W$77)</f>
        <v>#N/A</v>
      </c>
    </row>
    <row r="30" spans="4:33" ht="13" thickBot="1">
      <c r="D30">
        <v>12</v>
      </c>
      <c r="E30" s="9">
        <f t="shared" si="0"/>
        <v>12</v>
      </c>
      <c r="F30" s="9"/>
      <c r="G30" s="9">
        <f>E30</f>
        <v>12</v>
      </c>
      <c r="H30" s="11"/>
      <c r="I30" s="10"/>
      <c r="J30" s="14"/>
      <c r="K30" s="10"/>
      <c r="L30" s="13"/>
      <c r="M30" s="10"/>
      <c r="N30" s="14"/>
      <c r="O30" s="10"/>
      <c r="P30" s="14"/>
      <c r="Q30" s="10"/>
      <c r="T30">
        <v>26</v>
      </c>
      <c r="U30" s="28">
        <f>E95</f>
        <v>43</v>
      </c>
      <c r="V30" t="s">
        <v>77</v>
      </c>
      <c r="W30" s="29">
        <f>E97</f>
        <v>44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>
        <f t="shared" si="0"/>
        <v>0</v>
      </c>
      <c r="F31" s="10"/>
      <c r="G31" s="10"/>
      <c r="H31" s="13" t="s">
        <v>12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>
        <f>E99</f>
        <v>45</v>
      </c>
      <c r="V31" t="s">
        <v>77</v>
      </c>
      <c r="W31" s="29">
        <f>E101</f>
        <v>46</v>
      </c>
      <c r="Z31" s="34"/>
      <c r="AA31" s="40"/>
      <c r="AB31" s="40"/>
      <c r="AC31" s="38" t="s">
        <v>159</v>
      </c>
      <c r="AD31" s="48"/>
      <c r="AE31" s="53" t="e">
        <f>LOOKUP(AD31,T$5:T$78,U$5:U$77)</f>
        <v>#N/A</v>
      </c>
      <c r="AF31" s="37" t="s">
        <v>157</v>
      </c>
      <c r="AG31" s="65" t="e">
        <f>LOOKUP(AD31,T$5:T$78,W$5:W$77)</f>
        <v>#N/A</v>
      </c>
    </row>
    <row r="32" spans="4:33" ht="13" thickBot="1">
      <c r="D32">
        <v>13</v>
      </c>
      <c r="E32" s="9">
        <f t="shared" si="0"/>
        <v>13</v>
      </c>
      <c r="F32" s="9"/>
      <c r="G32" s="9">
        <f>E32</f>
        <v>13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>
        <f>E103</f>
        <v>47</v>
      </c>
      <c r="V32" t="s">
        <v>77</v>
      </c>
      <c r="W32" s="29">
        <f>E105</f>
        <v>48</v>
      </c>
      <c r="Z32" s="34"/>
      <c r="AA32" s="40"/>
      <c r="AB32" s="40"/>
      <c r="AC32" s="38" t="s">
        <v>159</v>
      </c>
      <c r="AD32" s="48"/>
      <c r="AE32" s="53" t="e">
        <f>LOOKUP(AD32,T$5:T$78,U$5:U$77)</f>
        <v>#N/A</v>
      </c>
      <c r="AF32" s="37" t="s">
        <v>157</v>
      </c>
      <c r="AG32" s="65" t="e">
        <f>LOOKUP(AD32,T$5:T$78,W$5:W$77)</f>
        <v>#N/A</v>
      </c>
    </row>
    <row r="33" spans="4:33" ht="13" thickBot="1">
      <c r="E33" s="10">
        <f t="shared" si="0"/>
        <v>0</v>
      </c>
      <c r="F33" s="10"/>
      <c r="G33" s="10"/>
      <c r="H33" s="10"/>
      <c r="I33" s="10"/>
      <c r="J33" s="10"/>
      <c r="K33" s="10"/>
      <c r="L33" s="14" t="s">
        <v>56</v>
      </c>
      <c r="M33" s="9" t="str">
        <f>IF(OR(L29="",L37=""),"",+IF(L29&gt;L37,K29,K37))</f>
        <v/>
      </c>
      <c r="N33" s="16"/>
      <c r="O33" s="10"/>
      <c r="P33" s="14"/>
      <c r="Q33" s="10"/>
      <c r="T33">
        <v>29</v>
      </c>
      <c r="U33" s="28">
        <f>E107</f>
        <v>49</v>
      </c>
      <c r="V33" t="s">
        <v>77</v>
      </c>
      <c r="W33" s="29">
        <f>E109</f>
        <v>50</v>
      </c>
      <c r="Z33" s="34"/>
      <c r="AA33" s="40"/>
      <c r="AB33" s="40"/>
      <c r="AC33" s="38" t="s">
        <v>159</v>
      </c>
      <c r="AD33" s="48"/>
      <c r="AE33" s="53" t="e">
        <f>LOOKUP(AD33,T$5:T$78,U$5:U$77)</f>
        <v>#N/A</v>
      </c>
      <c r="AF33" s="37" t="s">
        <v>157</v>
      </c>
      <c r="AG33" s="65" t="e">
        <f>LOOKUP(AD33,T$5:T$78,W$5:W$77)</f>
        <v>#N/A</v>
      </c>
    </row>
    <row r="34" spans="4:33" ht="13" thickBot="1">
      <c r="D34">
        <v>14</v>
      </c>
      <c r="E34" s="9">
        <f t="shared" si="0"/>
        <v>14</v>
      </c>
      <c r="F34" s="9"/>
      <c r="G34" s="9">
        <f>E34</f>
        <v>14</v>
      </c>
      <c r="H34" s="11"/>
      <c r="I34" s="10"/>
      <c r="J34" s="10"/>
      <c r="K34" s="10"/>
      <c r="L34" s="14"/>
      <c r="M34" s="10"/>
      <c r="N34" s="10"/>
      <c r="O34" s="10"/>
      <c r="P34" s="14"/>
      <c r="Q34" s="10"/>
      <c r="T34">
        <v>30</v>
      </c>
      <c r="U34" s="28">
        <f>E111</f>
        <v>51</v>
      </c>
      <c r="V34" t="s">
        <v>77</v>
      </c>
      <c r="W34" s="29">
        <f>E113</f>
        <v>52</v>
      </c>
      <c r="Z34" s="34"/>
      <c r="AA34" s="40"/>
      <c r="AB34" s="40"/>
      <c r="AC34" s="38" t="s">
        <v>159</v>
      </c>
      <c r="AD34" s="48"/>
      <c r="AE34" s="53" t="e">
        <f>LOOKUP(AD34,T$5:T$78,U$5:U$77)</f>
        <v>#N/A</v>
      </c>
      <c r="AF34" s="37" t="s">
        <v>157</v>
      </c>
      <c r="AG34" s="65" t="e">
        <f>LOOKUP(AD34,T$5:T$78,W$5:W$77)</f>
        <v>#N/A</v>
      </c>
    </row>
    <row r="35" spans="4:33" ht="13" thickBot="1">
      <c r="E35" s="10">
        <f t="shared" si="0"/>
        <v>0</v>
      </c>
      <c r="F35" s="10"/>
      <c r="G35" s="10"/>
      <c r="H35" s="13" t="s">
        <v>13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>
        <f>E115</f>
        <v>53</v>
      </c>
      <c r="V35" t="s">
        <v>77</v>
      </c>
      <c r="W35" s="29" t="s">
        <v>162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>
        <f t="shared" si="0"/>
        <v>15</v>
      </c>
      <c r="F36" s="9"/>
      <c r="G36" s="9">
        <f>E36</f>
        <v>15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>
        <f>E122</f>
        <v>56</v>
      </c>
      <c r="V36" t="s">
        <v>77</v>
      </c>
      <c r="W36" s="29">
        <f>E124</f>
        <v>57</v>
      </c>
      <c r="Z36" s="34"/>
      <c r="AA36" s="40"/>
      <c r="AB36" s="40"/>
      <c r="AC36" s="38" t="s">
        <v>159</v>
      </c>
      <c r="AD36" s="48"/>
      <c r="AE36" s="53" t="e">
        <f>LOOKUP(AD36,T$5:T$78,U$5:U$77)</f>
        <v>#N/A</v>
      </c>
      <c r="AF36" s="37" t="s">
        <v>157</v>
      </c>
      <c r="AG36" s="65" t="e">
        <f>LOOKUP(AD36,T$5:T$78,W$5:W$77)</f>
        <v>#N/A</v>
      </c>
    </row>
    <row r="37" spans="4:33" ht="13" thickBot="1">
      <c r="E37" s="10">
        <f t="shared" si="0"/>
        <v>0</v>
      </c>
      <c r="F37" s="10"/>
      <c r="G37" s="10"/>
      <c r="H37" s="10"/>
      <c r="I37" s="10"/>
      <c r="J37" s="14" t="s">
        <v>42</v>
      </c>
      <c r="K37" s="9" t="str">
        <f>IF(OR(J35="",J39=""),"",+IF(J35&gt;J39,I35,I39))</f>
        <v/>
      </c>
      <c r="L37" s="16"/>
      <c r="M37" s="10"/>
      <c r="N37" s="10"/>
      <c r="O37" s="10"/>
      <c r="P37" s="14"/>
      <c r="Q37" s="10"/>
      <c r="T37">
        <v>33</v>
      </c>
      <c r="U37" s="28">
        <f>E126</f>
        <v>58</v>
      </c>
      <c r="V37" t="s">
        <v>77</v>
      </c>
      <c r="W37" s="29">
        <f>E128</f>
        <v>59</v>
      </c>
      <c r="Z37" s="34"/>
      <c r="AA37" s="40"/>
      <c r="AB37" s="40"/>
      <c r="AC37" s="38" t="s">
        <v>159</v>
      </c>
      <c r="AD37" s="48"/>
      <c r="AE37" s="53" t="e">
        <f>LOOKUP(AD37,T$5:T$78,U$5:U$77)</f>
        <v>#N/A</v>
      </c>
      <c r="AF37" s="37" t="s">
        <v>157</v>
      </c>
      <c r="AG37" s="65" t="e">
        <f>LOOKUP(AD37,T$5:T$78,W$5:W$77)</f>
        <v>#N/A</v>
      </c>
    </row>
    <row r="38" spans="4:33" ht="13" thickBot="1">
      <c r="D38">
        <v>16</v>
      </c>
      <c r="E38" s="9">
        <f t="shared" si="0"/>
        <v>16</v>
      </c>
      <c r="F38" s="9"/>
      <c r="G38" s="9">
        <f>E38</f>
        <v>16</v>
      </c>
      <c r="H38" s="11"/>
      <c r="I38" s="10"/>
      <c r="J38" s="14"/>
      <c r="K38" s="10"/>
      <c r="L38" s="10"/>
      <c r="M38" s="10"/>
      <c r="N38" s="10"/>
      <c r="O38" s="10"/>
      <c r="P38" s="14"/>
      <c r="Q38" s="10"/>
      <c r="T38">
        <v>34</v>
      </c>
      <c r="U38" s="28">
        <f>E130</f>
        <v>60</v>
      </c>
      <c r="V38" t="s">
        <v>77</v>
      </c>
      <c r="W38" s="29">
        <f>E132</f>
        <v>61</v>
      </c>
      <c r="Z38" s="34"/>
      <c r="AA38" s="40"/>
      <c r="AB38" s="40"/>
      <c r="AC38" s="38" t="s">
        <v>159</v>
      </c>
      <c r="AD38" s="48"/>
      <c r="AE38" s="53" t="e">
        <f>LOOKUP(AD38,T$5:T$78,U$5:U$77)</f>
        <v>#N/A</v>
      </c>
      <c r="AF38" s="37" t="s">
        <v>157</v>
      </c>
      <c r="AG38" s="65" t="e">
        <f>LOOKUP(AD38,T$5:T$78,W$5:W$77)</f>
        <v>#N/A</v>
      </c>
    </row>
    <row r="39" spans="4:33" ht="13" thickBot="1">
      <c r="E39" s="10">
        <f t="shared" si="0"/>
        <v>0</v>
      </c>
      <c r="F39" s="10"/>
      <c r="G39" s="10"/>
      <c r="H39" s="13" t="s">
        <v>14</v>
      </c>
      <c r="I39" s="9" t="str">
        <f>IF(OR(H38="",H40=""),"",+IF(H38&gt;H40,E38,E40))</f>
        <v/>
      </c>
      <c r="J39" s="16"/>
      <c r="K39" s="10"/>
      <c r="L39" s="10"/>
      <c r="M39" s="10"/>
      <c r="N39" s="10"/>
      <c r="O39" s="10"/>
      <c r="P39" s="14"/>
      <c r="Q39" s="10"/>
      <c r="T39">
        <v>35</v>
      </c>
      <c r="U39" s="28">
        <f>E134</f>
        <v>62</v>
      </c>
      <c r="V39" t="s">
        <v>77</v>
      </c>
      <c r="W39" s="29">
        <f>E136</f>
        <v>63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D40">
        <v>17</v>
      </c>
      <c r="E40" s="9">
        <f t="shared" si="0"/>
        <v>17</v>
      </c>
      <c r="F40" s="9"/>
      <c r="G40" s="9">
        <f>E40</f>
        <v>17</v>
      </c>
      <c r="H40" s="16"/>
      <c r="I40" s="10"/>
      <c r="J40" s="10"/>
      <c r="K40" s="10"/>
      <c r="L40" s="10"/>
      <c r="M40" s="10"/>
      <c r="N40" s="10"/>
      <c r="O40" s="10"/>
      <c r="P40" s="14"/>
      <c r="Q40" s="10"/>
      <c r="T40">
        <v>36</v>
      </c>
      <c r="U40" s="28">
        <f>E138</f>
        <v>64</v>
      </c>
      <c r="V40" t="s">
        <v>77</v>
      </c>
      <c r="W40" s="29">
        <f>E140</f>
        <v>65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>
        <f t="shared" si="0"/>
        <v>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4" t="s">
        <v>67</v>
      </c>
      <c r="Q41" s="9" t="str">
        <f>IF(OR(P25="",P60=""),"",+IF(P25&gt;P60,O25,O60))</f>
        <v/>
      </c>
      <c r="T41">
        <v>37</v>
      </c>
      <c r="U41" s="28">
        <f>E142</f>
        <v>66</v>
      </c>
      <c r="V41" t="s">
        <v>77</v>
      </c>
      <c r="W41" s="29">
        <f>E144</f>
        <v>67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9">
        <f t="shared" si="0"/>
        <v>18</v>
      </c>
      <c r="F42" s="9"/>
      <c r="G42" s="9">
        <f>E42</f>
        <v>18</v>
      </c>
      <c r="H42" s="11"/>
      <c r="I42" s="10"/>
      <c r="J42" s="10"/>
      <c r="K42" s="10"/>
      <c r="L42" s="10"/>
      <c r="M42" s="10"/>
      <c r="N42" s="10"/>
      <c r="O42" s="10"/>
      <c r="P42" s="14"/>
      <c r="Q42" s="10"/>
      <c r="R42" s="8"/>
      <c r="T42">
        <v>38</v>
      </c>
      <c r="U42" s="28" t="s">
        <v>163</v>
      </c>
      <c r="V42" t="s">
        <v>77</v>
      </c>
      <c r="W42" s="29">
        <f>E150</f>
        <v>70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>
      <c r="E43" s="12">
        <f t="shared" si="0"/>
        <v>0</v>
      </c>
      <c r="F43" s="10"/>
      <c r="G43" s="10"/>
      <c r="H43" s="13"/>
      <c r="I43" s="10"/>
      <c r="J43" s="10"/>
      <c r="K43" s="10"/>
      <c r="L43" s="10"/>
      <c r="M43" s="10"/>
      <c r="N43" s="10"/>
      <c r="O43" s="10"/>
      <c r="P43" s="14"/>
      <c r="Q43" s="10"/>
      <c r="R43" s="8"/>
      <c r="T43">
        <v>39</v>
      </c>
      <c r="U43" s="28" t="s">
        <v>84</v>
      </c>
      <c r="V43" t="s">
        <v>77</v>
      </c>
      <c r="W43" s="29" t="s">
        <v>164</v>
      </c>
      <c r="Z43" s="34"/>
      <c r="AA43" s="40"/>
      <c r="AB43" s="40"/>
      <c r="AC43" s="38" t="s">
        <v>159</v>
      </c>
      <c r="AD43" s="48"/>
      <c r="AE43" s="53" t="e">
        <f>LOOKUP(AD43,T$5:T$78,U$5:U$77)</f>
        <v>#N/A</v>
      </c>
      <c r="AF43" s="37" t="s">
        <v>157</v>
      </c>
      <c r="AG43" s="65" t="e">
        <f>LOOKUP(AD43,T$5:T$78,W$5:W$77)</f>
        <v>#N/A</v>
      </c>
    </row>
    <row r="44" spans="4:33" ht="13" thickBot="1">
      <c r="E44" s="10">
        <f t="shared" si="0"/>
        <v>0</v>
      </c>
      <c r="F44" s="10"/>
      <c r="G44" s="10"/>
      <c r="H44" s="14" t="s">
        <v>15</v>
      </c>
      <c r="I44" s="9" t="str">
        <f>IF(OR(H42="",H46=""),"",+IF(H42&gt;H46,E42,G46))</f>
        <v/>
      </c>
      <c r="J44" s="11"/>
      <c r="K44" s="10"/>
      <c r="L44" s="10"/>
      <c r="M44" s="10"/>
      <c r="N44" s="10"/>
      <c r="O44" s="10"/>
      <c r="P44" s="14"/>
      <c r="Q44" s="10"/>
      <c r="R44" s="8"/>
      <c r="T44">
        <v>40</v>
      </c>
      <c r="U44" s="28" t="s">
        <v>86</v>
      </c>
      <c r="V44" t="s">
        <v>77</v>
      </c>
      <c r="W44" s="29" t="s">
        <v>87</v>
      </c>
      <c r="Z44" s="34"/>
      <c r="AA44" s="40"/>
      <c r="AB44" s="40"/>
      <c r="AC44" s="38" t="s">
        <v>159</v>
      </c>
      <c r="AD44" s="48"/>
      <c r="AE44" s="53" t="e">
        <f>LOOKUP(AD44,T$5:T$78,U$5:U$77)</f>
        <v>#N/A</v>
      </c>
      <c r="AF44" s="37" t="s">
        <v>157</v>
      </c>
      <c r="AG44" s="65" t="e">
        <f>LOOKUP(AD44,T$5:T$78,W$5:W$77)</f>
        <v>#N/A</v>
      </c>
    </row>
    <row r="45" spans="4:33" ht="13" thickBot="1">
      <c r="D45">
        <v>19</v>
      </c>
      <c r="E45" s="10">
        <f t="shared" si="0"/>
        <v>19</v>
      </c>
      <c r="F45" s="11"/>
      <c r="G45" s="10"/>
      <c r="H45" s="14"/>
      <c r="I45" s="10"/>
      <c r="J45" s="13"/>
      <c r="K45" s="10"/>
      <c r="L45" s="10"/>
      <c r="M45" s="10"/>
      <c r="N45" s="10"/>
      <c r="O45" s="10"/>
      <c r="P45" s="14"/>
      <c r="Q45" s="10"/>
      <c r="R45" s="8"/>
      <c r="T45">
        <v>41</v>
      </c>
      <c r="U45" s="28" t="s">
        <v>88</v>
      </c>
      <c r="V45" t="s">
        <v>77</v>
      </c>
      <c r="W45" s="29" t="s">
        <v>89</v>
      </c>
      <c r="Z45" s="34"/>
      <c r="AA45" s="40"/>
      <c r="AB45" s="40"/>
      <c r="AC45" s="38" t="s">
        <v>159</v>
      </c>
      <c r="AD45" s="48"/>
      <c r="AE45" s="53" t="e">
        <f>LOOKUP(AD45,T$5:T$78,U$5:U$77)</f>
        <v>#N/A</v>
      </c>
      <c r="AF45" s="37" t="s">
        <v>157</v>
      </c>
      <c r="AG45" s="65" t="e">
        <f>LOOKUP(AD45,T$5:T$78,W$5:W$77)</f>
        <v>#N/A</v>
      </c>
    </row>
    <row r="46" spans="4:33" ht="13" thickBot="1">
      <c r="E46" s="12">
        <f t="shared" si="0"/>
        <v>0</v>
      </c>
      <c r="F46" s="13" t="s">
        <v>2</v>
      </c>
      <c r="G46" s="9" t="str">
        <f>IF(OR(F45="",F47=""),"",+IF(F45&gt;F47,E45,E47))</f>
        <v/>
      </c>
      <c r="H46" s="16"/>
      <c r="I46" s="10"/>
      <c r="J46" s="14"/>
      <c r="K46" s="10"/>
      <c r="L46" s="10"/>
      <c r="M46" s="10"/>
      <c r="N46" s="10"/>
      <c r="O46" s="10"/>
      <c r="P46" s="14"/>
      <c r="Q46" s="10"/>
      <c r="R46" s="8"/>
      <c r="T46">
        <v>42</v>
      </c>
      <c r="U46" s="28" t="s">
        <v>90</v>
      </c>
      <c r="V46" t="s">
        <v>77</v>
      </c>
      <c r="W46" s="29" t="s">
        <v>91</v>
      </c>
      <c r="Z46" s="34"/>
      <c r="AA46" s="40"/>
      <c r="AB46" s="40"/>
      <c r="AC46" s="38" t="s">
        <v>159</v>
      </c>
      <c r="AD46" s="48"/>
      <c r="AE46" s="53" t="e">
        <f>LOOKUP(AD46,T$5:T$78,U$5:U$77)</f>
        <v>#N/A</v>
      </c>
      <c r="AF46" s="37" t="s">
        <v>157</v>
      </c>
      <c r="AG46" s="65" t="e">
        <f>LOOKUP(AD46,T$5:T$78,W$5:W$77)</f>
        <v>#N/A</v>
      </c>
    </row>
    <row r="47" spans="4:33" ht="13" thickBot="1">
      <c r="D47">
        <v>20</v>
      </c>
      <c r="E47" s="10">
        <f t="shared" si="0"/>
        <v>20</v>
      </c>
      <c r="F47" s="16"/>
      <c r="G47" s="10"/>
      <c r="H47" s="10"/>
      <c r="I47" s="10"/>
      <c r="J47" s="14" t="s">
        <v>43</v>
      </c>
      <c r="K47" s="9" t="str">
        <f>IF(OR(J44="",J50=""),"",+IF(J44&gt;J50,I44,I50))</f>
        <v/>
      </c>
      <c r="L47" s="17"/>
      <c r="M47" s="10"/>
      <c r="N47" s="10"/>
      <c r="O47" s="10"/>
      <c r="P47" s="14"/>
      <c r="Q47" s="10"/>
      <c r="R47" s="8"/>
      <c r="T47">
        <v>43</v>
      </c>
      <c r="U47" s="28" t="s">
        <v>92</v>
      </c>
      <c r="V47" t="s">
        <v>77</v>
      </c>
      <c r="W47" s="29" t="s">
        <v>165</v>
      </c>
      <c r="Z47" s="34"/>
      <c r="AA47" s="41"/>
      <c r="AB47" s="33"/>
      <c r="AC47" s="33"/>
      <c r="AD47" s="50"/>
      <c r="AE47" s="54"/>
      <c r="AF47" s="33"/>
      <c r="AG47" s="58"/>
    </row>
    <row r="48" spans="4:33">
      <c r="E48" s="12">
        <f t="shared" si="0"/>
        <v>0</v>
      </c>
      <c r="F48" s="10"/>
      <c r="G48" s="10"/>
      <c r="H48" s="10"/>
      <c r="I48" s="10"/>
      <c r="J48" s="14"/>
      <c r="K48" s="10"/>
      <c r="L48" s="10"/>
      <c r="M48" s="19"/>
      <c r="N48" s="10"/>
      <c r="O48" s="10"/>
      <c r="P48" s="14"/>
      <c r="Q48" s="10"/>
      <c r="R48" s="8"/>
      <c r="T48">
        <v>44</v>
      </c>
      <c r="U48" s="28" t="s">
        <v>94</v>
      </c>
      <c r="V48" t="s">
        <v>77</v>
      </c>
      <c r="W48" s="29" t="s">
        <v>95</v>
      </c>
      <c r="Z48" s="34"/>
      <c r="AA48" s="40"/>
      <c r="AB48" s="40"/>
      <c r="AC48" s="38" t="s">
        <v>159</v>
      </c>
      <c r="AD48" s="48"/>
      <c r="AE48" s="53" t="e">
        <f>LOOKUP(AD48,T$5:T$78,U$5:U$77)</f>
        <v>#N/A</v>
      </c>
      <c r="AF48" s="37" t="s">
        <v>157</v>
      </c>
      <c r="AG48" s="65" t="e">
        <f>LOOKUP(AD48,T$5:T$78,W$5:W$77)</f>
        <v>#N/A</v>
      </c>
    </row>
    <row r="49" spans="4:33" ht="13" thickBot="1">
      <c r="D49">
        <v>21</v>
      </c>
      <c r="E49" s="9">
        <f t="shared" si="0"/>
        <v>21</v>
      </c>
      <c r="F49" s="9"/>
      <c r="G49" s="9">
        <f>E49</f>
        <v>21</v>
      </c>
      <c r="H49" s="11"/>
      <c r="I49" s="10"/>
      <c r="J49" s="14"/>
      <c r="K49" s="10"/>
      <c r="L49" s="10"/>
      <c r="M49" s="19"/>
      <c r="N49" s="10"/>
      <c r="O49" s="10"/>
      <c r="P49" s="14"/>
      <c r="Q49" s="10"/>
      <c r="R49" s="8"/>
      <c r="T49">
        <v>45</v>
      </c>
      <c r="U49" s="28" t="s">
        <v>96</v>
      </c>
      <c r="V49" t="s">
        <v>77</v>
      </c>
      <c r="W49" s="29" t="s">
        <v>97</v>
      </c>
      <c r="Z49" s="34"/>
      <c r="AA49" s="40"/>
      <c r="AB49" s="40"/>
      <c r="AC49" s="38" t="s">
        <v>159</v>
      </c>
      <c r="AD49" s="48"/>
      <c r="AE49" s="53" t="e">
        <f>LOOKUP(AD49,T$5:T$78,U$5:U$77)</f>
        <v>#N/A</v>
      </c>
      <c r="AF49" s="37" t="s">
        <v>157</v>
      </c>
      <c r="AG49" s="65" t="e">
        <f>LOOKUP(AD49,T$5:T$78,W$5:W$77)</f>
        <v>#N/A</v>
      </c>
    </row>
    <row r="50" spans="4:33" ht="13" thickBot="1">
      <c r="E50" s="10">
        <f t="shared" si="0"/>
        <v>0</v>
      </c>
      <c r="F50" s="10"/>
      <c r="G50" s="10"/>
      <c r="H50" s="13" t="s">
        <v>16</v>
      </c>
      <c r="I50" s="9" t="str">
        <f>IF(OR(H49="",H51=""),"",+IF(H49&gt;H51,E49,E51))</f>
        <v/>
      </c>
      <c r="J50" s="16"/>
      <c r="K50" s="10"/>
      <c r="L50" s="10"/>
      <c r="M50" s="19"/>
      <c r="N50" s="10"/>
      <c r="O50" s="10"/>
      <c r="P50" s="14"/>
      <c r="Q50" s="10"/>
      <c r="R50" s="8"/>
      <c r="T50">
        <v>46</v>
      </c>
      <c r="U50" s="28" t="s">
        <v>98</v>
      </c>
      <c r="V50" t="s">
        <v>77</v>
      </c>
      <c r="W50" s="29" t="s">
        <v>99</v>
      </c>
      <c r="Z50" s="34"/>
      <c r="AA50" s="40"/>
      <c r="AB50" s="40"/>
      <c r="AC50" s="38" t="s">
        <v>159</v>
      </c>
      <c r="AD50" s="48"/>
      <c r="AE50" s="53" t="e">
        <f>LOOKUP(AD50,T$5:T$78,U$5:U$77)</f>
        <v>#N/A</v>
      </c>
      <c r="AF50" s="37" t="s">
        <v>157</v>
      </c>
      <c r="AG50" s="65" t="e">
        <f>LOOKUP(AD50,T$5:T$78,W$5:W$77)</f>
        <v>#N/A</v>
      </c>
    </row>
    <row r="51" spans="4:33" ht="13" thickBot="1">
      <c r="D51">
        <v>22</v>
      </c>
      <c r="E51" s="9">
        <f t="shared" si="0"/>
        <v>22</v>
      </c>
      <c r="F51" s="9"/>
      <c r="G51" s="9">
        <f>E51</f>
        <v>22</v>
      </c>
      <c r="H51" s="16"/>
      <c r="I51" s="10"/>
      <c r="J51" s="10"/>
      <c r="K51" s="10"/>
      <c r="L51" s="10"/>
      <c r="M51" s="19"/>
      <c r="N51" s="10"/>
      <c r="O51" s="10"/>
      <c r="P51" s="14"/>
      <c r="Q51" s="10"/>
      <c r="R51" s="8"/>
      <c r="T51">
        <v>47</v>
      </c>
      <c r="U51" s="28" t="s">
        <v>100</v>
      </c>
      <c r="V51" t="s">
        <v>77</v>
      </c>
      <c r="W51" s="29" t="s">
        <v>101</v>
      </c>
      <c r="Z51" s="34"/>
      <c r="AA51" s="40"/>
      <c r="AB51" s="40"/>
      <c r="AC51" s="38" t="s">
        <v>159</v>
      </c>
      <c r="AD51" s="48"/>
      <c r="AE51" s="53" t="e">
        <f>LOOKUP(AD51,T$5:T$78,U$5:U$77)</f>
        <v>#N/A</v>
      </c>
      <c r="AF51" s="37" t="s">
        <v>157</v>
      </c>
      <c r="AG51" s="65" t="e">
        <f>LOOKUP(AD51,T$5:T$78,W$5:W$77)</f>
        <v>#N/A</v>
      </c>
    </row>
    <row r="52" spans="4:33" ht="13" thickBot="1">
      <c r="E52" s="10">
        <f t="shared" si="0"/>
        <v>0</v>
      </c>
      <c r="F52" s="10"/>
      <c r="G52" s="10"/>
      <c r="H52" s="10"/>
      <c r="I52" s="10"/>
      <c r="J52" s="10"/>
      <c r="K52" s="10"/>
      <c r="L52" s="14" t="s">
        <v>57</v>
      </c>
      <c r="M52" s="9" t="str">
        <f>IF(OR(L47="",L56=""),"",+IF(L47&gt;L56,K47,K56))</f>
        <v/>
      </c>
      <c r="N52" s="17"/>
      <c r="O52" s="10"/>
      <c r="P52" s="14"/>
      <c r="Q52" s="10"/>
      <c r="R52" s="8"/>
      <c r="T52">
        <v>48</v>
      </c>
      <c r="U52" s="28" t="s">
        <v>102</v>
      </c>
      <c r="V52" t="s">
        <v>77</v>
      </c>
      <c r="W52" s="29" t="s">
        <v>103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9">
        <f t="shared" si="0"/>
        <v>23</v>
      </c>
      <c r="F53" s="9"/>
      <c r="G53" s="9">
        <f>E53</f>
        <v>23</v>
      </c>
      <c r="H53" s="11"/>
      <c r="I53" s="10"/>
      <c r="J53" s="10"/>
      <c r="K53" s="10"/>
      <c r="L53" s="10"/>
      <c r="M53" s="19"/>
      <c r="N53" s="13"/>
      <c r="O53" s="10"/>
      <c r="P53" s="14"/>
      <c r="Q53" s="10"/>
      <c r="R53" s="8"/>
      <c r="T53">
        <v>49</v>
      </c>
      <c r="U53" s="28" t="s">
        <v>104</v>
      </c>
      <c r="V53" t="s">
        <v>77</v>
      </c>
      <c r="W53" s="29" t="s">
        <v>105</v>
      </c>
      <c r="Z53" s="34"/>
      <c r="AA53" s="40"/>
      <c r="AB53" s="40"/>
      <c r="AC53" s="38" t="s">
        <v>159</v>
      </c>
      <c r="AD53" s="48"/>
      <c r="AE53" s="53" t="e">
        <f>LOOKUP(AD53,T$5:T$78,U$5:U$77)</f>
        <v>#N/A</v>
      </c>
      <c r="AF53" s="37" t="s">
        <v>157</v>
      </c>
      <c r="AG53" s="65" t="e">
        <f>LOOKUP(AD53,T$5:T$78,W$5:W$77)</f>
        <v>#N/A</v>
      </c>
    </row>
    <row r="54" spans="4:33" ht="13" thickBot="1">
      <c r="E54" s="10">
        <f t="shared" si="0"/>
        <v>0</v>
      </c>
      <c r="F54" s="10"/>
      <c r="G54" s="12"/>
      <c r="H54" s="13" t="s">
        <v>17</v>
      </c>
      <c r="I54" s="9" t="str">
        <f>IF(OR(H53="",H55=""),"",+IF(H53&gt;H55,E53,E55))</f>
        <v/>
      </c>
      <c r="J54" s="17"/>
      <c r="K54" s="10"/>
      <c r="L54" s="10"/>
      <c r="M54" s="19"/>
      <c r="N54" s="14"/>
      <c r="O54" s="10"/>
      <c r="P54" s="14"/>
      <c r="Q54" s="10"/>
      <c r="R54" s="8"/>
      <c r="T54">
        <v>50</v>
      </c>
      <c r="U54" s="28" t="s">
        <v>106</v>
      </c>
      <c r="V54" t="s">
        <v>77</v>
      </c>
      <c r="W54" s="29" t="s">
        <v>107</v>
      </c>
      <c r="Z54" s="34"/>
      <c r="AA54" s="40"/>
      <c r="AB54" s="40"/>
      <c r="AC54" s="38" t="s">
        <v>159</v>
      </c>
      <c r="AD54" s="48"/>
      <c r="AE54" s="53" t="e">
        <f>LOOKUP(AD54,T$5:T$78,U$5:U$77)</f>
        <v>#N/A</v>
      </c>
      <c r="AF54" s="37" t="s">
        <v>157</v>
      </c>
      <c r="AG54" s="65" t="e">
        <f>LOOKUP(AD54,T$5:T$78,W$5:W$77)</f>
        <v>#N/A</v>
      </c>
    </row>
    <row r="55" spans="4:33" ht="13" thickBot="1">
      <c r="D55">
        <v>24</v>
      </c>
      <c r="E55" s="9">
        <f t="shared" si="0"/>
        <v>24</v>
      </c>
      <c r="F55" s="9"/>
      <c r="G55" s="9">
        <f>E55</f>
        <v>24</v>
      </c>
      <c r="H55" s="16"/>
      <c r="I55" s="10"/>
      <c r="J55" s="14"/>
      <c r="K55" s="10"/>
      <c r="L55" s="10"/>
      <c r="M55" s="19"/>
      <c r="N55" s="14"/>
      <c r="O55" s="10"/>
      <c r="P55" s="14"/>
      <c r="Q55" s="10"/>
      <c r="R55" s="8"/>
      <c r="T55">
        <v>51</v>
      </c>
      <c r="U55" s="28" t="s">
        <v>108</v>
      </c>
      <c r="V55" t="s">
        <v>77</v>
      </c>
      <c r="W55" s="29" t="s">
        <v>109</v>
      </c>
      <c r="Z55" s="34"/>
      <c r="AA55" s="40"/>
      <c r="AB55" s="40"/>
      <c r="AC55" s="38" t="s">
        <v>159</v>
      </c>
      <c r="AD55" s="48"/>
      <c r="AE55" s="53" t="e">
        <f>LOOKUP(AD55,T$5:T$78,U$5:U$77)</f>
        <v>#N/A</v>
      </c>
      <c r="AF55" s="37" t="s">
        <v>157</v>
      </c>
      <c r="AG55" s="65" t="e">
        <f>LOOKUP(AD55,T$5:T$78,W$5:W$77)</f>
        <v>#N/A</v>
      </c>
    </row>
    <row r="56" spans="4:33" ht="13" thickBot="1">
      <c r="E56" s="10">
        <f t="shared" si="0"/>
        <v>0</v>
      </c>
      <c r="F56" s="10"/>
      <c r="G56" s="12"/>
      <c r="H56" s="10"/>
      <c r="I56" s="10"/>
      <c r="J56" s="14" t="s">
        <v>44</v>
      </c>
      <c r="K56" s="9" t="str">
        <f>IF(OR(J54="",J58=""),"",+IF(J54&gt;J58,I54,I58))</f>
        <v/>
      </c>
      <c r="L56" s="16"/>
      <c r="M56" s="19"/>
      <c r="N56" s="14"/>
      <c r="O56" s="10"/>
      <c r="P56" s="14"/>
      <c r="Q56" s="10"/>
      <c r="R56" s="8"/>
      <c r="T56">
        <v>52</v>
      </c>
      <c r="U56" s="28" t="s">
        <v>110</v>
      </c>
      <c r="V56" t="s">
        <v>77</v>
      </c>
      <c r="W56" s="29" t="s">
        <v>111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9">
        <f t="shared" si="0"/>
        <v>25</v>
      </c>
      <c r="F57" s="9"/>
      <c r="G57" s="9">
        <f>E57</f>
        <v>25</v>
      </c>
      <c r="H57" s="11"/>
      <c r="I57" s="10"/>
      <c r="J57" s="14"/>
      <c r="K57" s="10"/>
      <c r="L57" s="10"/>
      <c r="M57" s="10"/>
      <c r="N57" s="14"/>
      <c r="O57" s="10"/>
      <c r="P57" s="14"/>
      <c r="Q57" s="10"/>
      <c r="R57" s="8"/>
      <c r="T57">
        <v>53</v>
      </c>
      <c r="U57" s="28" t="s">
        <v>112</v>
      </c>
      <c r="V57" t="s">
        <v>77</v>
      </c>
      <c r="W57" s="29" t="s">
        <v>113</v>
      </c>
    </row>
    <row r="58" spans="4:33" ht="13" thickBot="1">
      <c r="E58" s="10">
        <f t="shared" si="0"/>
        <v>0</v>
      </c>
      <c r="F58" s="10"/>
      <c r="G58" s="12"/>
      <c r="H58" s="13" t="s">
        <v>18</v>
      </c>
      <c r="I58" s="9" t="str">
        <f>IF(OR(H57="",H59=""),"",+IF(H57&gt;H59,E57,E59))</f>
        <v/>
      </c>
      <c r="J58" s="16"/>
      <c r="K58" s="10"/>
      <c r="L58" s="10"/>
      <c r="M58" s="10"/>
      <c r="N58" s="14"/>
      <c r="O58" s="10"/>
      <c r="P58" s="14"/>
      <c r="Q58" s="10"/>
      <c r="R58" s="8"/>
      <c r="T58">
        <v>54</v>
      </c>
      <c r="U58" s="28" t="s">
        <v>114</v>
      </c>
      <c r="V58" t="s">
        <v>77</v>
      </c>
      <c r="W58" s="29" t="s">
        <v>115</v>
      </c>
    </row>
    <row r="59" spans="4:33" ht="13" thickBot="1">
      <c r="D59">
        <v>26</v>
      </c>
      <c r="E59" s="9">
        <f t="shared" si="0"/>
        <v>26</v>
      </c>
      <c r="F59" s="9"/>
      <c r="G59" s="9">
        <f>E59</f>
        <v>26</v>
      </c>
      <c r="H59" s="16"/>
      <c r="I59" s="10"/>
      <c r="J59" s="10"/>
      <c r="K59" s="10"/>
      <c r="L59" s="10"/>
      <c r="M59" s="10"/>
      <c r="N59" s="14"/>
      <c r="O59" s="10"/>
      <c r="P59" s="14"/>
      <c r="Q59" s="10"/>
      <c r="R59" s="8"/>
      <c r="T59">
        <v>55</v>
      </c>
      <c r="U59" s="28" t="s">
        <v>116</v>
      </c>
      <c r="V59" t="s">
        <v>77</v>
      </c>
      <c r="W59" s="29" t="s">
        <v>117</v>
      </c>
    </row>
    <row r="60" spans="4:33" ht="13" thickBot="1">
      <c r="E60" s="10">
        <f t="shared" si="0"/>
        <v>0</v>
      </c>
      <c r="F60" s="10"/>
      <c r="G60" s="10"/>
      <c r="H60" s="10"/>
      <c r="I60" s="10"/>
      <c r="J60" s="10"/>
      <c r="K60" s="10"/>
      <c r="L60" s="10"/>
      <c r="M60" s="10"/>
      <c r="N60" s="14" t="s">
        <v>64</v>
      </c>
      <c r="O60" s="9" t="str">
        <f>IF(OR(N52="",N68=""),"",+IF(N52&gt;N68,M52,M68))</f>
        <v/>
      </c>
      <c r="P60" s="16"/>
      <c r="Q60" s="10"/>
      <c r="R60" s="8"/>
      <c r="T60">
        <v>56</v>
      </c>
      <c r="U60" s="28" t="s">
        <v>118</v>
      </c>
      <c r="V60" t="s">
        <v>77</v>
      </c>
      <c r="W60" s="29" t="s">
        <v>119</v>
      </c>
    </row>
    <row r="61" spans="4:33" ht="13" thickBot="1">
      <c r="D61">
        <v>27</v>
      </c>
      <c r="E61" s="9">
        <f t="shared" si="0"/>
        <v>27</v>
      </c>
      <c r="F61" s="9"/>
      <c r="G61" s="9">
        <f>E61</f>
        <v>27</v>
      </c>
      <c r="H61" s="11"/>
      <c r="I61" s="10"/>
      <c r="J61" s="10"/>
      <c r="K61" s="10"/>
      <c r="L61" s="10"/>
      <c r="M61" s="10"/>
      <c r="N61" s="14"/>
      <c r="O61" s="10"/>
      <c r="P61" s="10"/>
      <c r="Q61" s="10"/>
      <c r="R61" s="8"/>
      <c r="T61">
        <v>57</v>
      </c>
      <c r="U61" s="28" t="s">
        <v>120</v>
      </c>
      <c r="V61" t="s">
        <v>77</v>
      </c>
      <c r="W61" s="29" t="s">
        <v>121</v>
      </c>
    </row>
    <row r="62" spans="4:33" ht="13" thickBot="1">
      <c r="E62" s="10">
        <f t="shared" si="0"/>
        <v>0</v>
      </c>
      <c r="F62" s="10"/>
      <c r="G62" s="12"/>
      <c r="H62" s="13" t="s">
        <v>19</v>
      </c>
      <c r="I62" s="9" t="str">
        <f>IF(OR(H61="",H63=""),"",+IF(H61&gt;H63,E61,E63))</f>
        <v/>
      </c>
      <c r="J62" s="17"/>
      <c r="K62" s="10"/>
      <c r="L62" s="10"/>
      <c r="M62" s="10"/>
      <c r="N62" s="14"/>
      <c r="O62" s="10"/>
      <c r="P62" s="10"/>
      <c r="Q62" s="10"/>
      <c r="R62" s="8"/>
      <c r="T62">
        <v>58</v>
      </c>
      <c r="U62" s="28" t="s">
        <v>122</v>
      </c>
      <c r="V62" t="s">
        <v>77</v>
      </c>
      <c r="W62" s="29" t="s">
        <v>123</v>
      </c>
    </row>
    <row r="63" spans="4:33" ht="13" thickBot="1">
      <c r="D63">
        <v>28</v>
      </c>
      <c r="E63" s="9">
        <f t="shared" si="0"/>
        <v>28</v>
      </c>
      <c r="F63" s="9"/>
      <c r="G63" s="9">
        <f>E63</f>
        <v>28</v>
      </c>
      <c r="H63" s="16"/>
      <c r="I63" s="10"/>
      <c r="J63" s="14"/>
      <c r="K63" s="10"/>
      <c r="L63" s="10"/>
      <c r="M63" s="10"/>
      <c r="N63" s="14"/>
      <c r="O63" s="10"/>
      <c r="P63" s="10"/>
      <c r="Q63" s="10"/>
      <c r="R63" s="8"/>
      <c r="T63">
        <v>59</v>
      </c>
      <c r="U63" s="28" t="s">
        <v>124</v>
      </c>
      <c r="V63" t="s">
        <v>77</v>
      </c>
      <c r="W63" s="29" t="s">
        <v>125</v>
      </c>
    </row>
    <row r="64" spans="4:33" ht="13" thickBot="1">
      <c r="E64" s="10">
        <f t="shared" si="0"/>
        <v>0</v>
      </c>
      <c r="F64" s="10"/>
      <c r="G64" s="12"/>
      <c r="H64" s="10"/>
      <c r="I64" s="10"/>
      <c r="J64" s="14" t="s">
        <v>45</v>
      </c>
      <c r="K64" s="9" t="str">
        <f>IF(OR(J62="",J66=""),"",+IF(J62&gt;J66,I62,I66))</f>
        <v/>
      </c>
      <c r="L64" s="17"/>
      <c r="M64" s="10"/>
      <c r="N64" s="14"/>
      <c r="O64" s="10"/>
      <c r="P64" s="10"/>
      <c r="Q64" s="10"/>
      <c r="R64" s="8"/>
      <c r="T64">
        <v>60</v>
      </c>
      <c r="U64" s="28" t="s">
        <v>126</v>
      </c>
      <c r="V64" t="s">
        <v>77</v>
      </c>
      <c r="W64" s="29" t="s">
        <v>127</v>
      </c>
    </row>
    <row r="65" spans="4:23" ht="13" thickBot="1">
      <c r="D65">
        <v>29</v>
      </c>
      <c r="E65" s="9">
        <f t="shared" si="0"/>
        <v>29</v>
      </c>
      <c r="F65" s="9"/>
      <c r="G65" s="9">
        <f>E65</f>
        <v>29</v>
      </c>
      <c r="H65" s="11"/>
      <c r="I65" s="10"/>
      <c r="J65" s="14"/>
      <c r="K65" s="10"/>
      <c r="L65" s="14"/>
      <c r="M65" s="10"/>
      <c r="N65" s="14"/>
      <c r="O65" s="10"/>
      <c r="P65" s="10"/>
      <c r="Q65" s="10"/>
      <c r="R65" s="8"/>
      <c r="T65">
        <v>61</v>
      </c>
      <c r="U65" s="28" t="s">
        <v>130</v>
      </c>
      <c r="V65" t="s">
        <v>77</v>
      </c>
      <c r="W65" s="29" t="s">
        <v>128</v>
      </c>
    </row>
    <row r="66" spans="4:23" ht="13" thickBot="1">
      <c r="E66" s="10">
        <f t="shared" si="0"/>
        <v>0</v>
      </c>
      <c r="F66" s="10"/>
      <c r="G66" s="12"/>
      <c r="H66" s="13" t="s">
        <v>20</v>
      </c>
      <c r="I66" s="9" t="str">
        <f>IF(OR(H65="",H67=""),"",+IF(H65&gt;H67,E65,E67))</f>
        <v/>
      </c>
      <c r="J66" s="16"/>
      <c r="K66" s="10"/>
      <c r="L66" s="14"/>
      <c r="M66" s="10"/>
      <c r="N66" s="14"/>
      <c r="O66" s="10"/>
      <c r="P66" s="10"/>
      <c r="Q66" s="10"/>
      <c r="R66" s="8"/>
      <c r="T66">
        <v>62</v>
      </c>
      <c r="U66" s="28" t="s">
        <v>129</v>
      </c>
      <c r="V66" t="s">
        <v>77</v>
      </c>
      <c r="W66" s="29" t="s">
        <v>131</v>
      </c>
    </row>
    <row r="67" spans="4:23" ht="13" thickBot="1">
      <c r="D67">
        <v>30</v>
      </c>
      <c r="E67" s="9">
        <f t="shared" si="0"/>
        <v>30</v>
      </c>
      <c r="F67" s="9"/>
      <c r="G67" s="9">
        <f>E67</f>
        <v>30</v>
      </c>
      <c r="H67" s="16"/>
      <c r="I67" s="10"/>
      <c r="J67" s="10"/>
      <c r="K67" s="10"/>
      <c r="L67" s="14"/>
      <c r="M67" s="10"/>
      <c r="N67" s="14"/>
      <c r="O67" s="10"/>
      <c r="P67" s="10"/>
      <c r="Q67" s="10"/>
      <c r="R67" s="8"/>
      <c r="T67">
        <v>63</v>
      </c>
      <c r="U67" s="28" t="s">
        <v>132</v>
      </c>
      <c r="V67" t="s">
        <v>77</v>
      </c>
      <c r="W67" s="29" t="s">
        <v>133</v>
      </c>
    </row>
    <row r="68" spans="4:23" ht="13" thickBot="1">
      <c r="E68" s="10">
        <f t="shared" si="0"/>
        <v>0</v>
      </c>
      <c r="F68" s="10"/>
      <c r="G68" s="10"/>
      <c r="H68" s="10"/>
      <c r="I68" s="10"/>
      <c r="J68" s="10"/>
      <c r="K68" s="10"/>
      <c r="L68" s="14" t="s">
        <v>58</v>
      </c>
      <c r="M68" s="9" t="str">
        <f>IF(OR(L64="",L73=""),"",+IF(L64&gt;L73,K64,K73))</f>
        <v/>
      </c>
      <c r="N68" s="16"/>
      <c r="O68" s="10"/>
      <c r="P68" s="10"/>
      <c r="Q68" s="10"/>
      <c r="R68" s="8"/>
      <c r="T68">
        <v>64</v>
      </c>
      <c r="U68" s="28" t="s">
        <v>134</v>
      </c>
      <c r="V68" t="s">
        <v>77</v>
      </c>
      <c r="W68" s="29" t="s">
        <v>135</v>
      </c>
    </row>
    <row r="69" spans="4:23" ht="13" thickBot="1">
      <c r="D69">
        <v>31</v>
      </c>
      <c r="E69" s="9">
        <f t="shared" si="0"/>
        <v>31</v>
      </c>
      <c r="F69" s="9"/>
      <c r="G69" s="9">
        <f>E69</f>
        <v>31</v>
      </c>
      <c r="H69" s="11"/>
      <c r="I69" s="10"/>
      <c r="J69" s="10"/>
      <c r="K69" s="10"/>
      <c r="L69" s="14"/>
      <c r="M69" s="10"/>
      <c r="N69" s="10"/>
      <c r="O69" s="10"/>
      <c r="P69" s="10"/>
      <c r="Q69" s="10"/>
      <c r="R69" s="8"/>
      <c r="T69">
        <v>65</v>
      </c>
      <c r="U69" s="28" t="s">
        <v>136</v>
      </c>
      <c r="V69" t="s">
        <v>77</v>
      </c>
      <c r="W69" s="29" t="s">
        <v>137</v>
      </c>
    </row>
    <row r="70" spans="4:23" ht="13" thickBot="1">
      <c r="E70" s="10">
        <f t="shared" si="0"/>
        <v>0</v>
      </c>
      <c r="F70" s="10"/>
      <c r="G70" s="12"/>
      <c r="H70" s="13" t="s">
        <v>21</v>
      </c>
      <c r="I70" s="9" t="str">
        <f>IF(OR(H69="",H71=""),"",+IF(H69&gt;H71,E69,E71))</f>
        <v/>
      </c>
      <c r="J70" s="17"/>
      <c r="K70" s="10"/>
      <c r="L70" s="14"/>
      <c r="M70" s="10"/>
      <c r="N70" s="10"/>
      <c r="O70" s="10"/>
      <c r="P70" s="10"/>
      <c r="Q70" s="10"/>
      <c r="R70" s="8"/>
      <c r="T70">
        <v>66</v>
      </c>
      <c r="U70" s="28" t="s">
        <v>138</v>
      </c>
      <c r="V70" t="s">
        <v>77</v>
      </c>
      <c r="W70" s="29" t="s">
        <v>144</v>
      </c>
    </row>
    <row r="71" spans="4:23" ht="13" thickBot="1">
      <c r="D71">
        <v>32</v>
      </c>
      <c r="E71" s="9">
        <f t="shared" si="0"/>
        <v>32</v>
      </c>
      <c r="F71" s="9"/>
      <c r="G71" s="9">
        <f>E71</f>
        <v>32</v>
      </c>
      <c r="H71" s="16"/>
      <c r="I71" s="10"/>
      <c r="J71" s="14"/>
      <c r="K71" s="10"/>
      <c r="L71" s="14"/>
      <c r="M71" s="10"/>
      <c r="N71" s="10"/>
      <c r="O71" s="10"/>
      <c r="P71" s="10"/>
      <c r="Q71" s="10"/>
      <c r="R71" s="8"/>
      <c r="T71">
        <v>67</v>
      </c>
      <c r="U71" s="28" t="s">
        <v>139</v>
      </c>
      <c r="V71" t="s">
        <v>77</v>
      </c>
      <c r="W71" s="29" t="s">
        <v>140</v>
      </c>
    </row>
    <row r="72" spans="4:23">
      <c r="E72" s="10">
        <f t="shared" si="0"/>
        <v>0</v>
      </c>
      <c r="F72" s="10"/>
      <c r="G72" s="10"/>
      <c r="H72" s="10"/>
      <c r="I72" s="10"/>
      <c r="J72" s="14"/>
      <c r="K72" s="10"/>
      <c r="L72" s="14"/>
      <c r="M72" s="10"/>
      <c r="N72" s="10"/>
      <c r="O72" s="10"/>
      <c r="P72" s="10"/>
      <c r="Q72" s="10"/>
      <c r="R72" s="8"/>
      <c r="T72">
        <v>68</v>
      </c>
      <c r="U72" s="28" t="s">
        <v>141</v>
      </c>
      <c r="V72" t="s">
        <v>77</v>
      </c>
      <c r="W72" s="29" t="s">
        <v>143</v>
      </c>
    </row>
    <row r="73" spans="4:23" ht="13" thickBot="1">
      <c r="D73">
        <v>33</v>
      </c>
      <c r="E73" s="10">
        <f t="shared" si="0"/>
        <v>33</v>
      </c>
      <c r="F73" s="11"/>
      <c r="G73" s="10"/>
      <c r="H73" s="10"/>
      <c r="I73" s="10"/>
      <c r="J73" s="14" t="s">
        <v>46</v>
      </c>
      <c r="K73" s="9" t="str">
        <f>IF(OR(J70="",J76=""),"",+IF(J70&gt;J76,I70,I76))</f>
        <v/>
      </c>
      <c r="L73" s="16"/>
      <c r="M73" s="10"/>
      <c r="N73" s="10"/>
      <c r="O73" s="10"/>
      <c r="P73" s="10"/>
      <c r="Q73" s="10"/>
      <c r="R73" s="8"/>
      <c r="T73">
        <v>69</v>
      </c>
      <c r="U73" s="28" t="s">
        <v>142</v>
      </c>
      <c r="V73" t="s">
        <v>77</v>
      </c>
      <c r="W73" s="29" t="s">
        <v>145</v>
      </c>
    </row>
    <row r="74" spans="4:23" ht="13" thickBot="1">
      <c r="E74" s="12">
        <f t="shared" ref="E74:E137" si="1">D74</f>
        <v>0</v>
      </c>
      <c r="F74" s="13" t="s">
        <v>3</v>
      </c>
      <c r="G74" s="9" t="str">
        <f>IF(OR(F73="",F75=""),"",+IF(F73&gt;F75,E73,E75))</f>
        <v/>
      </c>
      <c r="H74" s="11"/>
      <c r="I74" s="10"/>
      <c r="J74" s="14"/>
      <c r="K74" s="10"/>
      <c r="L74" s="10"/>
      <c r="M74" s="10"/>
      <c r="N74" s="10"/>
      <c r="O74" s="10"/>
      <c r="P74" s="10"/>
      <c r="Q74" s="10"/>
      <c r="R74" s="8"/>
    </row>
    <row r="75" spans="4:23" ht="13" thickBot="1">
      <c r="D75">
        <v>34</v>
      </c>
      <c r="E75" s="21">
        <f t="shared" si="1"/>
        <v>34</v>
      </c>
      <c r="F75" s="16"/>
      <c r="G75" s="10"/>
      <c r="H75" s="13"/>
      <c r="I75" s="10"/>
      <c r="J75" s="14"/>
      <c r="K75" s="10"/>
      <c r="L75" s="10"/>
      <c r="M75" s="10"/>
      <c r="N75" s="10"/>
      <c r="O75" s="10"/>
      <c r="P75" s="10"/>
      <c r="Q75" s="10"/>
      <c r="R75" s="8"/>
    </row>
    <row r="76" spans="4:23" ht="13" thickBot="1">
      <c r="E76" s="10">
        <f t="shared" si="1"/>
        <v>0</v>
      </c>
      <c r="F76" s="10"/>
      <c r="G76" s="10"/>
      <c r="H76" s="14" t="s">
        <v>22</v>
      </c>
      <c r="I76" s="9" t="str">
        <f>IF(OR(H74="",H77=""),"",+IF(H74&gt;H77,G74,E77))</f>
        <v/>
      </c>
      <c r="J76" s="16"/>
      <c r="K76" s="10"/>
      <c r="L76" s="10"/>
      <c r="M76" s="10"/>
      <c r="N76" s="10"/>
      <c r="O76" s="10"/>
      <c r="P76" s="10"/>
      <c r="Q76" s="10"/>
      <c r="R76" s="8"/>
    </row>
    <row r="77" spans="4:23" ht="13" thickBot="1">
      <c r="D77">
        <v>35</v>
      </c>
      <c r="E77" s="9">
        <f t="shared" si="1"/>
        <v>35</v>
      </c>
      <c r="F77" s="9"/>
      <c r="G77" s="9">
        <f>E77</f>
        <v>35</v>
      </c>
      <c r="H77" s="16"/>
      <c r="I77" s="10"/>
      <c r="J77" s="10"/>
      <c r="K77" s="10"/>
      <c r="L77" s="10"/>
      <c r="M77" s="10"/>
      <c r="N77" s="10"/>
      <c r="O77" s="10"/>
      <c r="P77" s="10"/>
      <c r="Q77" s="10"/>
      <c r="R77" s="8"/>
    </row>
    <row r="78" spans="4:23" ht="13" thickBot="1">
      <c r="E78">
        <f t="shared" si="1"/>
        <v>0</v>
      </c>
      <c r="Q78" s="28" t="s">
        <v>69</v>
      </c>
      <c r="R78" s="27"/>
    </row>
    <row r="79" spans="4:23">
      <c r="E79">
        <f t="shared" si="1"/>
        <v>0</v>
      </c>
      <c r="R79" s="8"/>
    </row>
    <row r="80" spans="4:23" ht="13" thickBot="1">
      <c r="D80">
        <v>36</v>
      </c>
      <c r="E80" s="9">
        <f t="shared" si="1"/>
        <v>36</v>
      </c>
      <c r="F80" s="9"/>
      <c r="G80" s="9">
        <f>E80</f>
        <v>36</v>
      </c>
      <c r="H80" s="11"/>
      <c r="I80" s="10"/>
      <c r="J80" s="10"/>
      <c r="K80" s="10"/>
      <c r="L80" s="10"/>
      <c r="M80" s="10"/>
      <c r="N80" s="10"/>
      <c r="O80" s="10"/>
      <c r="P80" s="10"/>
      <c r="Q80" s="10"/>
      <c r="R80" s="8"/>
    </row>
    <row r="81" spans="4:18">
      <c r="E81" s="12">
        <f t="shared" si="1"/>
        <v>0</v>
      </c>
      <c r="F81" s="10"/>
      <c r="G81" s="10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8"/>
    </row>
    <row r="82" spans="4:18" ht="13" thickBot="1">
      <c r="E82" s="10">
        <f t="shared" si="1"/>
        <v>0</v>
      </c>
      <c r="F82" s="10"/>
      <c r="G82" s="10"/>
      <c r="H82" s="14" t="s">
        <v>23</v>
      </c>
      <c r="I82" s="9" t="str">
        <f>IF(OR(H80="",H84=""),"",+IF(H80&gt;H84,E80,G84))</f>
        <v/>
      </c>
      <c r="J82" s="11"/>
      <c r="K82" s="10"/>
      <c r="L82" s="10"/>
      <c r="M82" s="10"/>
      <c r="N82" s="10"/>
      <c r="O82" s="10"/>
      <c r="P82" s="10"/>
      <c r="Q82" s="10"/>
      <c r="R82" s="8"/>
    </row>
    <row r="83" spans="4:18" ht="13" thickBot="1">
      <c r="D83">
        <v>37</v>
      </c>
      <c r="E83" s="10">
        <f t="shared" si="1"/>
        <v>37</v>
      </c>
      <c r="F83" s="11"/>
      <c r="G83" s="10"/>
      <c r="H83" s="14"/>
      <c r="I83" s="10"/>
      <c r="J83" s="13"/>
      <c r="K83" s="10"/>
      <c r="L83" s="10"/>
      <c r="M83" s="10"/>
      <c r="N83" s="10"/>
      <c r="O83" s="10"/>
      <c r="P83" s="10"/>
      <c r="Q83" s="10"/>
      <c r="R83" s="8"/>
    </row>
    <row r="84" spans="4:18" ht="13" thickBot="1">
      <c r="E84" s="12">
        <f t="shared" si="1"/>
        <v>0</v>
      </c>
      <c r="F84" s="13" t="s">
        <v>4</v>
      </c>
      <c r="G84" s="9" t="str">
        <f>IF(OR(F83="",F85=""),"",+IF(F83&gt;F85,E83,E85))</f>
        <v/>
      </c>
      <c r="H84" s="16"/>
      <c r="I84" s="10"/>
      <c r="J84" s="14"/>
      <c r="K84" s="10"/>
      <c r="L84" s="10"/>
      <c r="M84" s="10"/>
      <c r="N84" s="10"/>
      <c r="O84" s="10"/>
      <c r="P84" s="10"/>
      <c r="Q84" s="10"/>
      <c r="R84" s="8"/>
    </row>
    <row r="85" spans="4:18" ht="13" thickBot="1">
      <c r="D85">
        <v>38</v>
      </c>
      <c r="E85" s="10">
        <f t="shared" si="1"/>
        <v>38</v>
      </c>
      <c r="F85" s="16"/>
      <c r="G85" s="10"/>
      <c r="H85" s="10"/>
      <c r="I85" s="10"/>
      <c r="J85" s="14" t="s">
        <v>47</v>
      </c>
      <c r="K85" s="9" t="str">
        <f>IF(OR(J82="",J88=""),"",+IF(J82&gt;J88,I82,I88))</f>
        <v/>
      </c>
      <c r="L85" s="17"/>
      <c r="M85" s="10"/>
      <c r="N85" s="10"/>
      <c r="O85" s="10"/>
      <c r="P85" s="10"/>
      <c r="Q85" s="10"/>
      <c r="R85" s="8"/>
    </row>
    <row r="86" spans="4:18">
      <c r="E86" s="12">
        <f t="shared" si="1"/>
        <v>0</v>
      </c>
      <c r="F86" s="10"/>
      <c r="G86" s="10"/>
      <c r="H86" s="10"/>
      <c r="I86" s="10"/>
      <c r="J86" s="14"/>
      <c r="K86" s="10"/>
      <c r="L86" s="10"/>
      <c r="M86" s="19"/>
      <c r="N86" s="10"/>
      <c r="O86" s="10"/>
      <c r="P86" s="10"/>
      <c r="Q86" s="10"/>
      <c r="R86" s="8"/>
    </row>
    <row r="87" spans="4:18" ht="13" thickBot="1">
      <c r="D87">
        <v>39</v>
      </c>
      <c r="E87" s="9">
        <f t="shared" si="1"/>
        <v>39</v>
      </c>
      <c r="F87" s="9"/>
      <c r="G87" s="9">
        <f>E87</f>
        <v>39</v>
      </c>
      <c r="H87" s="11"/>
      <c r="I87" s="10"/>
      <c r="J87" s="14"/>
      <c r="K87" s="10"/>
      <c r="L87" s="10"/>
      <c r="M87" s="19"/>
      <c r="N87" s="10"/>
      <c r="O87" s="10"/>
      <c r="P87" s="10"/>
      <c r="Q87" s="10"/>
      <c r="R87" s="8"/>
    </row>
    <row r="88" spans="4:18" ht="13" thickBot="1">
      <c r="E88" s="10">
        <f t="shared" si="1"/>
        <v>0</v>
      </c>
      <c r="F88" s="10"/>
      <c r="G88" s="10"/>
      <c r="H88" s="13" t="s">
        <v>24</v>
      </c>
      <c r="I88" s="9" t="str">
        <f>IF(OR(H87="",H89=""),"",+IF(H87&gt;H89,E87,E89))</f>
        <v/>
      </c>
      <c r="J88" s="16"/>
      <c r="K88" s="10"/>
      <c r="L88" s="10"/>
      <c r="M88" s="19"/>
      <c r="N88" s="10"/>
      <c r="O88" s="10"/>
      <c r="P88" s="10"/>
      <c r="Q88" s="10"/>
      <c r="R88" s="8"/>
    </row>
    <row r="89" spans="4:18" ht="13" thickBot="1">
      <c r="D89">
        <v>40</v>
      </c>
      <c r="E89" s="9">
        <f t="shared" si="1"/>
        <v>40</v>
      </c>
      <c r="F89" s="9"/>
      <c r="G89" s="9">
        <f>E89</f>
        <v>40</v>
      </c>
      <c r="H89" s="16"/>
      <c r="I89" s="10"/>
      <c r="J89" s="10"/>
      <c r="K89" s="10"/>
      <c r="L89" s="10"/>
      <c r="M89" s="19"/>
      <c r="N89" s="10"/>
      <c r="O89" s="10"/>
      <c r="P89" s="10"/>
      <c r="Q89" s="10"/>
      <c r="R89" s="8"/>
    </row>
    <row r="90" spans="4:18" ht="13" thickBot="1">
      <c r="E90" s="10">
        <f t="shared" si="1"/>
        <v>0</v>
      </c>
      <c r="F90" s="10"/>
      <c r="G90" s="10"/>
      <c r="H90" s="10"/>
      <c r="I90" s="10"/>
      <c r="J90" s="10"/>
      <c r="K90" s="10"/>
      <c r="L90" s="14" t="s">
        <v>59</v>
      </c>
      <c r="M90" s="9" t="str">
        <f>IF(OR(L85="",L94=""),"",+IF(L85&gt;L94,K85,K94))</f>
        <v/>
      </c>
      <c r="N90" s="17"/>
      <c r="O90" s="10"/>
      <c r="P90" s="10"/>
      <c r="Q90" s="10"/>
      <c r="R90" s="8"/>
    </row>
    <row r="91" spans="4:18" ht="13" thickBot="1">
      <c r="D91">
        <v>41</v>
      </c>
      <c r="E91" s="9">
        <f t="shared" si="1"/>
        <v>41</v>
      </c>
      <c r="F91" s="9"/>
      <c r="G91" s="9">
        <f>E91</f>
        <v>41</v>
      </c>
      <c r="H91" s="11"/>
      <c r="I91" s="10"/>
      <c r="J91" s="10"/>
      <c r="K91" s="10"/>
      <c r="L91" s="10"/>
      <c r="M91" s="19"/>
      <c r="N91" s="13"/>
      <c r="O91" s="10"/>
      <c r="P91" s="10"/>
      <c r="Q91" s="10"/>
      <c r="R91" s="8"/>
    </row>
    <row r="92" spans="4:18" ht="13" thickBot="1">
      <c r="E92" s="10">
        <f t="shared" si="1"/>
        <v>0</v>
      </c>
      <c r="F92" s="10"/>
      <c r="G92" s="12"/>
      <c r="H92" s="13" t="s">
        <v>25</v>
      </c>
      <c r="I92" s="9" t="str">
        <f>IF(OR(H91="",H93=""),"",+IF(H91&gt;H93,E91,E93))</f>
        <v/>
      </c>
      <c r="J92" s="17"/>
      <c r="K92" s="10"/>
      <c r="L92" s="10"/>
      <c r="M92" s="19"/>
      <c r="N92" s="14"/>
      <c r="O92" s="10"/>
      <c r="P92" s="10"/>
      <c r="Q92" s="10"/>
      <c r="R92" s="8"/>
    </row>
    <row r="93" spans="4:18" ht="13" thickBot="1">
      <c r="D93">
        <v>42</v>
      </c>
      <c r="E93" s="9">
        <f t="shared" si="1"/>
        <v>42</v>
      </c>
      <c r="F93" s="9"/>
      <c r="G93" s="9">
        <f>E93</f>
        <v>42</v>
      </c>
      <c r="H93" s="16"/>
      <c r="I93" s="10"/>
      <c r="J93" s="14"/>
      <c r="K93" s="10"/>
      <c r="L93" s="10"/>
      <c r="M93" s="19"/>
      <c r="N93" s="14"/>
      <c r="O93" s="10"/>
      <c r="P93" s="10"/>
      <c r="Q93" s="10"/>
      <c r="R93" s="8"/>
    </row>
    <row r="94" spans="4:18" ht="13" thickBot="1">
      <c r="E94" s="10">
        <f t="shared" si="1"/>
        <v>0</v>
      </c>
      <c r="F94" s="10"/>
      <c r="G94" s="12"/>
      <c r="H94" s="10"/>
      <c r="I94" s="10"/>
      <c r="J94" s="14" t="s">
        <v>48</v>
      </c>
      <c r="K94" s="9" t="str">
        <f>IF(OR(J92="",J96=""),"",+IF(J92&gt;J96,I92,I96))</f>
        <v/>
      </c>
      <c r="L94" s="16"/>
      <c r="M94" s="19"/>
      <c r="N94" s="14"/>
      <c r="O94" s="10"/>
      <c r="P94" s="10"/>
      <c r="Q94" s="10"/>
      <c r="R94" s="8"/>
    </row>
    <row r="95" spans="4:18" ht="13" thickBot="1">
      <c r="D95">
        <v>43</v>
      </c>
      <c r="E95" s="9">
        <f t="shared" si="1"/>
        <v>43</v>
      </c>
      <c r="F95" s="9"/>
      <c r="G95" s="9">
        <f>E95</f>
        <v>43</v>
      </c>
      <c r="H95" s="11"/>
      <c r="I95" s="10"/>
      <c r="J95" s="14"/>
      <c r="K95" s="10"/>
      <c r="L95" s="10"/>
      <c r="M95" s="10"/>
      <c r="N95" s="14"/>
      <c r="O95" s="10"/>
      <c r="P95" s="10"/>
      <c r="Q95" s="10"/>
      <c r="R95" s="8"/>
    </row>
    <row r="96" spans="4:18" ht="13" thickBot="1">
      <c r="E96" s="10">
        <f t="shared" si="1"/>
        <v>0</v>
      </c>
      <c r="F96" s="10"/>
      <c r="G96" s="12"/>
      <c r="H96" s="13" t="s">
        <v>26</v>
      </c>
      <c r="I96" s="9" t="str">
        <f>IF(OR(H95="",H97=""),"",+IF(H95&gt;H97,E95,E97))</f>
        <v/>
      </c>
      <c r="J96" s="16"/>
      <c r="K96" s="10"/>
      <c r="L96" s="10"/>
      <c r="M96" s="10"/>
      <c r="N96" s="14"/>
      <c r="O96" s="10"/>
      <c r="P96" s="10"/>
      <c r="Q96" s="10"/>
      <c r="R96" s="8"/>
    </row>
    <row r="97" spans="4:18" ht="13" thickBot="1">
      <c r="D97">
        <v>44</v>
      </c>
      <c r="E97" s="9">
        <f t="shared" si="1"/>
        <v>44</v>
      </c>
      <c r="F97" s="9"/>
      <c r="G97" s="9">
        <f>E97</f>
        <v>44</v>
      </c>
      <c r="H97" s="16"/>
      <c r="I97" s="10"/>
      <c r="J97" s="10"/>
      <c r="K97" s="10"/>
      <c r="L97" s="10"/>
      <c r="M97" s="10"/>
      <c r="N97" s="14"/>
      <c r="O97" s="10"/>
      <c r="P97" s="10"/>
      <c r="Q97" s="10"/>
      <c r="R97" s="8"/>
    </row>
    <row r="98" spans="4:18" ht="13" thickBot="1">
      <c r="E98" s="10">
        <f t="shared" si="1"/>
        <v>0</v>
      </c>
      <c r="F98" s="10"/>
      <c r="G98" s="10"/>
      <c r="H98" s="10"/>
      <c r="I98" s="10"/>
      <c r="J98" s="10"/>
      <c r="K98" s="10"/>
      <c r="L98" s="10"/>
      <c r="M98" s="10"/>
      <c r="N98" s="14" t="s">
        <v>65</v>
      </c>
      <c r="O98" s="9" t="str">
        <f>IF(OR(N90="",N106=""),"",+IF(N90&gt;N106,M90,M106))</f>
        <v/>
      </c>
      <c r="P98" s="17"/>
      <c r="Q98" s="10"/>
      <c r="R98" s="8"/>
    </row>
    <row r="99" spans="4:18" ht="13" thickBot="1">
      <c r="D99">
        <v>45</v>
      </c>
      <c r="E99" s="9">
        <f t="shared" si="1"/>
        <v>45</v>
      </c>
      <c r="F99" s="9"/>
      <c r="G99" s="9">
        <f>E99</f>
        <v>45</v>
      </c>
      <c r="H99" s="11"/>
      <c r="I99" s="10"/>
      <c r="J99" s="10"/>
      <c r="K99" s="10"/>
      <c r="L99" s="10"/>
      <c r="M99" s="10"/>
      <c r="N99" s="14"/>
      <c r="O99" s="10"/>
      <c r="P99" s="14"/>
      <c r="Q99" s="10"/>
      <c r="R99" s="8"/>
    </row>
    <row r="100" spans="4:18" ht="13" thickBot="1">
      <c r="E100" s="10">
        <f t="shared" si="1"/>
        <v>0</v>
      </c>
      <c r="F100" s="10"/>
      <c r="G100" s="10"/>
      <c r="H100" s="13" t="s">
        <v>27</v>
      </c>
      <c r="I100" s="9" t="str">
        <f>IF(OR(H99="",H101=""),"",+IF(H99&gt;H101,E99,E101))</f>
        <v/>
      </c>
      <c r="J100" s="17"/>
      <c r="K100" s="10"/>
      <c r="L100" s="10"/>
      <c r="M100" s="10"/>
      <c r="N100" s="14"/>
      <c r="O100" s="10"/>
      <c r="P100" s="14"/>
      <c r="Q100" s="10"/>
      <c r="R100" s="8"/>
    </row>
    <row r="101" spans="4:18" ht="13" thickBot="1">
      <c r="D101">
        <v>46</v>
      </c>
      <c r="E101" s="9">
        <f t="shared" si="1"/>
        <v>46</v>
      </c>
      <c r="F101" s="9"/>
      <c r="G101" s="9">
        <f>E101</f>
        <v>46</v>
      </c>
      <c r="H101" s="16"/>
      <c r="I101" s="10"/>
      <c r="J101" s="14"/>
      <c r="K101" s="10"/>
      <c r="L101" s="10"/>
      <c r="M101" s="10"/>
      <c r="N101" s="14"/>
      <c r="O101" s="10"/>
      <c r="P101" s="14"/>
      <c r="Q101" s="10"/>
      <c r="R101" s="8"/>
    </row>
    <row r="102" spans="4:18" ht="13" thickBot="1">
      <c r="E102" s="10">
        <f t="shared" si="1"/>
        <v>0</v>
      </c>
      <c r="F102" s="10"/>
      <c r="G102" s="10"/>
      <c r="H102" s="10"/>
      <c r="I102" s="10"/>
      <c r="J102" s="14" t="s">
        <v>49</v>
      </c>
      <c r="K102" s="9" t="str">
        <f>IF(OR(J100="",J104=""),"",+IF(J100&gt;J104,I100,I104))</f>
        <v/>
      </c>
      <c r="L102" s="17"/>
      <c r="M102" s="10"/>
      <c r="N102" s="14"/>
      <c r="O102" s="10"/>
      <c r="P102" s="14"/>
      <c r="Q102" s="10"/>
      <c r="R102" s="8"/>
    </row>
    <row r="103" spans="4:18" ht="13" thickBot="1">
      <c r="D103">
        <v>47</v>
      </c>
      <c r="E103" s="9">
        <f t="shared" si="1"/>
        <v>47</v>
      </c>
      <c r="F103" s="9"/>
      <c r="G103" s="9">
        <f>E103</f>
        <v>47</v>
      </c>
      <c r="H103" s="11"/>
      <c r="I103" s="10"/>
      <c r="J103" s="14"/>
      <c r="K103" s="10"/>
      <c r="L103" s="13"/>
      <c r="M103" s="10"/>
      <c r="N103" s="14"/>
      <c r="O103" s="10"/>
      <c r="P103" s="14"/>
      <c r="Q103" s="10"/>
      <c r="R103" s="8"/>
    </row>
    <row r="104" spans="4:18" ht="13" thickBot="1">
      <c r="E104" s="10">
        <f t="shared" si="1"/>
        <v>0</v>
      </c>
      <c r="F104" s="10"/>
      <c r="G104" s="10"/>
      <c r="H104" s="13" t="s">
        <v>28</v>
      </c>
      <c r="I104" s="9" t="str">
        <f>IF(OR(H103="",H105=""),"",+IF(H103&gt;H105,E103,E105))</f>
        <v/>
      </c>
      <c r="J104" s="16"/>
      <c r="K104" s="10"/>
      <c r="L104" s="14"/>
      <c r="M104" s="10"/>
      <c r="N104" s="14"/>
      <c r="O104" s="10"/>
      <c r="P104" s="14"/>
      <c r="Q104" s="10"/>
      <c r="R104" s="8"/>
    </row>
    <row r="105" spans="4:18" ht="13" thickBot="1">
      <c r="D105">
        <v>48</v>
      </c>
      <c r="E105" s="9">
        <f t="shared" si="1"/>
        <v>48</v>
      </c>
      <c r="F105" s="9"/>
      <c r="G105" s="9">
        <f>E105</f>
        <v>48</v>
      </c>
      <c r="H105" s="16"/>
      <c r="I105" s="10"/>
      <c r="J105" s="10"/>
      <c r="K105" s="10"/>
      <c r="L105" s="14"/>
      <c r="M105" s="10"/>
      <c r="N105" s="14"/>
      <c r="O105" s="10"/>
      <c r="P105" s="14"/>
      <c r="Q105" s="10"/>
      <c r="R105" s="8"/>
    </row>
    <row r="106" spans="4:18" ht="13" thickBot="1">
      <c r="E106" s="10">
        <f t="shared" si="1"/>
        <v>0</v>
      </c>
      <c r="F106" s="10"/>
      <c r="G106" s="10"/>
      <c r="H106" s="10"/>
      <c r="I106" s="10"/>
      <c r="J106" s="10"/>
      <c r="K106" s="10"/>
      <c r="L106" s="14" t="s">
        <v>60</v>
      </c>
      <c r="M106" s="9" t="str">
        <f>IF(OR(L102="",L110=""),"",+IF(L102&gt;L110,K102,K110))</f>
        <v/>
      </c>
      <c r="N106" s="16"/>
      <c r="O106" s="10"/>
      <c r="P106" s="14"/>
      <c r="Q106" s="10"/>
      <c r="R106" s="8"/>
    </row>
    <row r="107" spans="4:18" ht="13" thickBot="1">
      <c r="D107">
        <v>49</v>
      </c>
      <c r="E107" s="9">
        <f t="shared" si="1"/>
        <v>49</v>
      </c>
      <c r="F107" s="9"/>
      <c r="G107" s="9">
        <f>E107</f>
        <v>49</v>
      </c>
      <c r="H107" s="11"/>
      <c r="I107" s="10"/>
      <c r="J107" s="10"/>
      <c r="K107" s="10"/>
      <c r="L107" s="14"/>
      <c r="M107" s="10"/>
      <c r="N107" s="10"/>
      <c r="O107" s="10"/>
      <c r="P107" s="14"/>
      <c r="Q107" s="10"/>
      <c r="R107" s="8"/>
    </row>
    <row r="108" spans="4:18" ht="13" thickBot="1">
      <c r="E108" s="10">
        <f t="shared" si="1"/>
        <v>0</v>
      </c>
      <c r="F108" s="10"/>
      <c r="G108" s="10"/>
      <c r="H108" s="13" t="s">
        <v>29</v>
      </c>
      <c r="I108" s="9" t="str">
        <f>IF(OR(H107="",H109=""),"",+IF(H107&gt;H109,E107,E109))</f>
        <v/>
      </c>
      <c r="J108" s="17"/>
      <c r="K108" s="10"/>
      <c r="L108" s="14"/>
      <c r="M108" s="10"/>
      <c r="N108" s="10"/>
      <c r="O108" s="10"/>
      <c r="P108" s="14"/>
      <c r="Q108" s="10"/>
      <c r="R108" s="8"/>
    </row>
    <row r="109" spans="4:18" ht="13" thickBot="1">
      <c r="D109">
        <v>50</v>
      </c>
      <c r="E109" s="9">
        <f t="shared" si="1"/>
        <v>50</v>
      </c>
      <c r="F109" s="9"/>
      <c r="G109" s="9">
        <f>E109</f>
        <v>50</v>
      </c>
      <c r="H109" s="16"/>
      <c r="I109" s="10"/>
      <c r="J109" s="14"/>
      <c r="K109" s="10"/>
      <c r="L109" s="14"/>
      <c r="M109" s="10"/>
      <c r="N109" s="10"/>
      <c r="O109" s="10"/>
      <c r="P109" s="14"/>
      <c r="Q109" s="10"/>
      <c r="R109" s="8"/>
    </row>
    <row r="110" spans="4:18" ht="13" thickBot="1">
      <c r="E110" s="10">
        <f t="shared" si="1"/>
        <v>0</v>
      </c>
      <c r="F110" s="10"/>
      <c r="G110" s="10"/>
      <c r="H110" s="10"/>
      <c r="I110" s="10"/>
      <c r="J110" s="14" t="s">
        <v>50</v>
      </c>
      <c r="K110" s="9" t="str">
        <f>IF(OR(J108="",J112=""),"",+IF(J108&gt;J112,I108,I112))</f>
        <v/>
      </c>
      <c r="L110" s="16"/>
      <c r="M110" s="10"/>
      <c r="N110" s="10"/>
      <c r="O110" s="10"/>
      <c r="P110" s="14"/>
      <c r="Q110" s="10"/>
      <c r="R110" s="8"/>
    </row>
    <row r="111" spans="4:18" ht="13" thickBot="1">
      <c r="D111">
        <v>51</v>
      </c>
      <c r="E111" s="9">
        <f t="shared" si="1"/>
        <v>51</v>
      </c>
      <c r="F111" s="9"/>
      <c r="G111" s="9">
        <f>E111</f>
        <v>51</v>
      </c>
      <c r="H111" s="11"/>
      <c r="I111" s="10"/>
      <c r="J111" s="14"/>
      <c r="K111" s="10"/>
      <c r="L111" s="10"/>
      <c r="M111" s="10"/>
      <c r="N111" s="10"/>
      <c r="O111" s="10"/>
      <c r="P111" s="14"/>
      <c r="Q111" s="10"/>
      <c r="R111" s="8"/>
    </row>
    <row r="112" spans="4:18" ht="13" thickBot="1">
      <c r="E112" s="10">
        <f t="shared" si="1"/>
        <v>0</v>
      </c>
      <c r="F112" s="10"/>
      <c r="G112" s="10"/>
      <c r="H112" s="13" t="s">
        <v>30</v>
      </c>
      <c r="I112" s="9" t="str">
        <f>IF(OR(H111="",H113=""),"",+IF(H111&gt;H113,E111,E113))</f>
        <v/>
      </c>
      <c r="J112" s="16"/>
      <c r="K112" s="10"/>
      <c r="L112" s="10"/>
      <c r="M112" s="10"/>
      <c r="N112" s="10"/>
      <c r="O112" s="10"/>
      <c r="P112" s="14"/>
      <c r="Q112" s="10"/>
      <c r="R112" s="8"/>
    </row>
    <row r="113" spans="4:18" ht="13" thickBot="1">
      <c r="D113">
        <v>52</v>
      </c>
      <c r="E113" s="9">
        <f t="shared" si="1"/>
        <v>52</v>
      </c>
      <c r="F113" s="9"/>
      <c r="G113" s="9">
        <f>E113</f>
        <v>52</v>
      </c>
      <c r="H113" s="16"/>
      <c r="I113" s="10"/>
      <c r="J113" s="10"/>
      <c r="K113" s="10"/>
      <c r="L113" s="10"/>
      <c r="M113" s="10"/>
      <c r="N113" s="10"/>
      <c r="O113" s="10"/>
      <c r="P113" s="14"/>
      <c r="Q113" s="10"/>
      <c r="R113" s="8"/>
    </row>
    <row r="114" spans="4:18" ht="13" thickBot="1">
      <c r="E114" s="10">
        <f t="shared" si="1"/>
        <v>0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4" t="s">
        <v>68</v>
      </c>
      <c r="Q114" s="9" t="str">
        <f>IF(OR(P98="",P133=""),"",+IF(P98&gt;P133,O98,O133))</f>
        <v/>
      </c>
      <c r="R114" s="8"/>
    </row>
    <row r="115" spans="4:18" ht="13" thickBot="1">
      <c r="D115">
        <v>53</v>
      </c>
      <c r="E115" s="9">
        <f t="shared" si="1"/>
        <v>53</v>
      </c>
      <c r="F115" s="9"/>
      <c r="G115" s="9">
        <f>E115</f>
        <v>53</v>
      </c>
      <c r="H115" s="11"/>
      <c r="I115" s="10"/>
      <c r="J115" s="10"/>
      <c r="K115" s="10"/>
      <c r="L115" s="10"/>
      <c r="M115" s="10"/>
      <c r="N115" s="10"/>
      <c r="O115" s="10"/>
      <c r="P115" s="14"/>
      <c r="Q115" s="10"/>
    </row>
    <row r="116" spans="4:18">
      <c r="E116" s="12">
        <f t="shared" si="1"/>
        <v>0</v>
      </c>
      <c r="F116" s="10"/>
      <c r="G116" s="10"/>
      <c r="H116" s="13"/>
      <c r="I116" s="10"/>
      <c r="J116" s="10"/>
      <c r="K116" s="10"/>
      <c r="L116" s="10"/>
      <c r="M116" s="10"/>
      <c r="N116" s="10"/>
      <c r="O116" s="10"/>
      <c r="P116" s="14"/>
      <c r="Q116" s="10"/>
    </row>
    <row r="117" spans="4:18" ht="13" thickBot="1">
      <c r="E117" s="10">
        <f t="shared" si="1"/>
        <v>0</v>
      </c>
      <c r="F117" s="10"/>
      <c r="G117" s="10"/>
      <c r="H117" s="14" t="s">
        <v>31</v>
      </c>
      <c r="I117" s="9" t="str">
        <f>IF(OR(H115="",H119=""),"",+IF(H115&gt;H119,E115,G119))</f>
        <v/>
      </c>
      <c r="J117" s="11"/>
      <c r="K117" s="10"/>
      <c r="L117" s="10"/>
      <c r="M117" s="10"/>
      <c r="N117" s="10"/>
      <c r="O117" s="10"/>
      <c r="P117" s="14"/>
      <c r="Q117" s="10"/>
    </row>
    <row r="118" spans="4:18" ht="13" thickBot="1">
      <c r="D118">
        <v>54</v>
      </c>
      <c r="E118" s="10">
        <f t="shared" si="1"/>
        <v>54</v>
      </c>
      <c r="F118" s="11"/>
      <c r="G118" s="10"/>
      <c r="H118" s="14"/>
      <c r="I118" s="10"/>
      <c r="J118" s="13"/>
      <c r="K118" s="10"/>
      <c r="L118" s="10"/>
      <c r="M118" s="10"/>
      <c r="N118" s="10"/>
      <c r="O118" s="10"/>
      <c r="P118" s="14"/>
      <c r="Q118" s="10"/>
    </row>
    <row r="119" spans="4:18" ht="13" thickBot="1">
      <c r="E119" s="12">
        <f t="shared" si="1"/>
        <v>0</v>
      </c>
      <c r="F119" s="13" t="s">
        <v>5</v>
      </c>
      <c r="G119" s="9" t="str">
        <f>IF(OR(F118="",F120=""),"",+IF(F118&gt;F120,E118,E120))</f>
        <v/>
      </c>
      <c r="H119" s="16"/>
      <c r="I119" s="10"/>
      <c r="J119" s="14"/>
      <c r="K119" s="10"/>
      <c r="L119" s="10"/>
      <c r="M119" s="10"/>
      <c r="N119" s="10"/>
      <c r="O119" s="10"/>
      <c r="P119" s="14"/>
      <c r="Q119" s="10"/>
    </row>
    <row r="120" spans="4:18" ht="13" thickBot="1">
      <c r="D120">
        <v>55</v>
      </c>
      <c r="E120" s="10">
        <f t="shared" si="1"/>
        <v>55</v>
      </c>
      <c r="F120" s="16"/>
      <c r="G120" s="10"/>
      <c r="H120" s="10"/>
      <c r="I120" s="10"/>
      <c r="J120" s="14" t="s">
        <v>51</v>
      </c>
      <c r="K120" s="9" t="str">
        <f>IF(OR(J117="",J123=""),"",+IF(J117&gt;J123,I117,I123))</f>
        <v/>
      </c>
      <c r="L120" s="17"/>
      <c r="M120" s="10"/>
      <c r="N120" s="10"/>
      <c r="O120" s="10"/>
      <c r="P120" s="14"/>
      <c r="Q120" s="10"/>
    </row>
    <row r="121" spans="4:18">
      <c r="E121" s="12">
        <f t="shared" si="1"/>
        <v>0</v>
      </c>
      <c r="F121" s="10"/>
      <c r="G121" s="10"/>
      <c r="H121" s="10"/>
      <c r="I121" s="10"/>
      <c r="J121" s="14"/>
      <c r="K121" s="10"/>
      <c r="L121" s="10"/>
      <c r="M121" s="19"/>
      <c r="N121" s="10"/>
      <c r="O121" s="10"/>
      <c r="P121" s="14"/>
      <c r="Q121" s="10"/>
    </row>
    <row r="122" spans="4:18" ht="13" thickBot="1">
      <c r="D122">
        <v>56</v>
      </c>
      <c r="E122" s="9">
        <f t="shared" si="1"/>
        <v>56</v>
      </c>
      <c r="F122" s="9"/>
      <c r="G122" s="9">
        <f>E122</f>
        <v>56</v>
      </c>
      <c r="H122" s="11"/>
      <c r="I122" s="10"/>
      <c r="J122" s="14"/>
      <c r="K122" s="10"/>
      <c r="L122" s="10"/>
      <c r="M122" s="19"/>
      <c r="N122" s="10"/>
      <c r="O122" s="10"/>
      <c r="P122" s="14"/>
      <c r="Q122" s="10"/>
    </row>
    <row r="123" spans="4:18" ht="13" thickBot="1">
      <c r="E123" s="10">
        <f t="shared" si="1"/>
        <v>0</v>
      </c>
      <c r="F123" s="10"/>
      <c r="G123" s="10"/>
      <c r="H123" s="13" t="s">
        <v>32</v>
      </c>
      <c r="I123" s="9" t="str">
        <f>IF(OR(H122="",H124=""),"",+IF(H122&gt;H124,E122,E124))</f>
        <v/>
      </c>
      <c r="J123" s="16"/>
      <c r="K123" s="10"/>
      <c r="L123" s="10"/>
      <c r="M123" s="19"/>
      <c r="N123" s="10"/>
      <c r="O123" s="10"/>
      <c r="P123" s="14"/>
      <c r="Q123" s="10"/>
    </row>
    <row r="124" spans="4:18" ht="13" thickBot="1">
      <c r="D124">
        <v>57</v>
      </c>
      <c r="E124" s="9">
        <f t="shared" si="1"/>
        <v>57</v>
      </c>
      <c r="F124" s="9"/>
      <c r="G124" s="9">
        <f>E124</f>
        <v>57</v>
      </c>
      <c r="H124" s="16"/>
      <c r="I124" s="10"/>
      <c r="J124" s="10"/>
      <c r="K124" s="10"/>
      <c r="L124" s="10"/>
      <c r="M124" s="19"/>
      <c r="N124" s="10"/>
      <c r="O124" s="10"/>
      <c r="P124" s="14"/>
      <c r="Q124" s="10"/>
    </row>
    <row r="125" spans="4:18" ht="13" thickBot="1">
      <c r="E125" s="10">
        <f t="shared" si="1"/>
        <v>0</v>
      </c>
      <c r="F125" s="10"/>
      <c r="G125" s="10"/>
      <c r="H125" s="10"/>
      <c r="I125" s="10"/>
      <c r="J125" s="10"/>
      <c r="K125" s="10"/>
      <c r="L125" s="14" t="s">
        <v>61</v>
      </c>
      <c r="M125" s="9" t="str">
        <f>IF(OR(L120="",L129=""),"",+IF(L120&gt;L129,K120,K129))</f>
        <v/>
      </c>
      <c r="N125" s="17"/>
      <c r="O125" s="10"/>
      <c r="P125" s="14"/>
      <c r="Q125" s="10"/>
    </row>
    <row r="126" spans="4:18" ht="13" thickBot="1">
      <c r="D126">
        <v>58</v>
      </c>
      <c r="E126" s="9">
        <f t="shared" si="1"/>
        <v>58</v>
      </c>
      <c r="F126" s="9"/>
      <c r="G126" s="9">
        <f>E126</f>
        <v>58</v>
      </c>
      <c r="H126" s="11"/>
      <c r="I126" s="10"/>
      <c r="J126" s="10"/>
      <c r="K126" s="10"/>
      <c r="L126" s="10"/>
      <c r="M126" s="19"/>
      <c r="N126" s="13"/>
      <c r="O126" s="10"/>
      <c r="P126" s="14"/>
      <c r="Q126" s="10"/>
    </row>
    <row r="127" spans="4:18" ht="13" thickBot="1">
      <c r="E127" s="10">
        <f t="shared" si="1"/>
        <v>0</v>
      </c>
      <c r="F127" s="10"/>
      <c r="G127" s="12"/>
      <c r="H127" s="13" t="s">
        <v>33</v>
      </c>
      <c r="I127" s="9" t="str">
        <f>IF(OR(H126="",H128=""),"",+IF(H126&gt;H128,E126,E128))</f>
        <v/>
      </c>
      <c r="J127" s="17"/>
      <c r="K127" s="10"/>
      <c r="L127" s="10"/>
      <c r="M127" s="19"/>
      <c r="N127" s="14"/>
      <c r="O127" s="10"/>
      <c r="P127" s="14"/>
      <c r="Q127" s="10"/>
    </row>
    <row r="128" spans="4:18" ht="13" thickBot="1">
      <c r="D128">
        <v>59</v>
      </c>
      <c r="E128" s="9">
        <f t="shared" si="1"/>
        <v>59</v>
      </c>
      <c r="F128" s="9"/>
      <c r="G128" s="9">
        <f>E128</f>
        <v>59</v>
      </c>
      <c r="H128" s="16"/>
      <c r="I128" s="10"/>
      <c r="J128" s="14"/>
      <c r="K128" s="10"/>
      <c r="L128" s="10"/>
      <c r="M128" s="19"/>
      <c r="N128" s="14"/>
      <c r="O128" s="10"/>
      <c r="P128" s="14"/>
      <c r="Q128" s="10"/>
    </row>
    <row r="129" spans="4:17" ht="13" thickBot="1">
      <c r="E129" s="10">
        <f t="shared" si="1"/>
        <v>0</v>
      </c>
      <c r="F129" s="10"/>
      <c r="G129" s="12"/>
      <c r="H129" s="10"/>
      <c r="I129" s="10"/>
      <c r="J129" s="14" t="s">
        <v>52</v>
      </c>
      <c r="K129" s="9" t="str">
        <f>IF(OR(J127="",J131=""),"",+IF(J127&gt;J131,I127,I131))</f>
        <v/>
      </c>
      <c r="L129" s="16"/>
      <c r="M129" s="19"/>
      <c r="N129" s="14"/>
      <c r="O129" s="10"/>
      <c r="P129" s="14"/>
      <c r="Q129" s="10"/>
    </row>
    <row r="130" spans="4:17" ht="13" thickBot="1">
      <c r="D130">
        <v>60</v>
      </c>
      <c r="E130" s="9">
        <f t="shared" si="1"/>
        <v>60</v>
      </c>
      <c r="F130" s="9"/>
      <c r="G130" s="9">
        <f>E130</f>
        <v>60</v>
      </c>
      <c r="H130" s="11"/>
      <c r="I130" s="10"/>
      <c r="J130" s="14"/>
      <c r="K130" s="10"/>
      <c r="L130" s="10"/>
      <c r="M130" s="10"/>
      <c r="N130" s="14"/>
      <c r="O130" s="10"/>
      <c r="P130" s="14"/>
      <c r="Q130" s="10"/>
    </row>
    <row r="131" spans="4:17" ht="13" thickBot="1">
      <c r="E131" s="10">
        <f t="shared" si="1"/>
        <v>0</v>
      </c>
      <c r="F131" s="10"/>
      <c r="G131" s="12"/>
      <c r="H131" s="13" t="s">
        <v>34</v>
      </c>
      <c r="I131" s="9" t="str">
        <f>IF(OR(H130="",H132=""),"",+IF(H130&gt;H132,E130,E132))</f>
        <v/>
      </c>
      <c r="J131" s="16"/>
      <c r="K131" s="10"/>
      <c r="L131" s="10"/>
      <c r="M131" s="10"/>
      <c r="N131" s="14"/>
      <c r="O131" s="10"/>
      <c r="P131" s="14"/>
      <c r="Q131" s="10"/>
    </row>
    <row r="132" spans="4:17" ht="13" thickBot="1">
      <c r="D132">
        <v>61</v>
      </c>
      <c r="E132" s="9">
        <f t="shared" si="1"/>
        <v>61</v>
      </c>
      <c r="F132" s="9"/>
      <c r="G132" s="9">
        <f>E132</f>
        <v>61</v>
      </c>
      <c r="H132" s="16"/>
      <c r="I132" s="10"/>
      <c r="J132" s="10"/>
      <c r="K132" s="10"/>
      <c r="L132" s="10"/>
      <c r="M132" s="10"/>
      <c r="N132" s="14"/>
      <c r="O132" s="10"/>
      <c r="P132" s="14"/>
      <c r="Q132" s="10"/>
    </row>
    <row r="133" spans="4:17" ht="13" thickBot="1">
      <c r="E133" s="10">
        <f t="shared" si="1"/>
        <v>0</v>
      </c>
      <c r="F133" s="10"/>
      <c r="G133" s="10"/>
      <c r="H133" s="10"/>
      <c r="I133" s="10"/>
      <c r="J133" s="10"/>
      <c r="K133" s="10"/>
      <c r="L133" s="10"/>
      <c r="M133" s="10"/>
      <c r="N133" s="14" t="s">
        <v>66</v>
      </c>
      <c r="O133" s="9" t="str">
        <f>IF(OR(N125="",N141=""),"",+IF(N125&gt;N141,M125,M141))</f>
        <v/>
      </c>
      <c r="P133" s="16"/>
      <c r="Q133" s="10"/>
    </row>
    <row r="134" spans="4:17" ht="13" thickBot="1">
      <c r="D134">
        <v>62</v>
      </c>
      <c r="E134" s="9">
        <f t="shared" si="1"/>
        <v>62</v>
      </c>
      <c r="F134" s="9"/>
      <c r="G134" s="9">
        <f>E134</f>
        <v>62</v>
      </c>
      <c r="H134" s="11"/>
      <c r="I134" s="10"/>
      <c r="J134" s="10"/>
      <c r="K134" s="10"/>
      <c r="L134" s="10"/>
      <c r="M134" s="10"/>
      <c r="N134" s="14"/>
      <c r="O134" s="10"/>
      <c r="P134" s="10"/>
      <c r="Q134" s="10"/>
    </row>
    <row r="135" spans="4:17" ht="13" thickBot="1">
      <c r="E135" s="10">
        <f t="shared" si="1"/>
        <v>0</v>
      </c>
      <c r="F135" s="10"/>
      <c r="G135" s="12"/>
      <c r="H135" s="13" t="s">
        <v>35</v>
      </c>
      <c r="I135" s="9" t="str">
        <f>IF(OR(H134="",H136=""),"",+IF(H134&gt;H136,E134,E136))</f>
        <v/>
      </c>
      <c r="J135" s="17"/>
      <c r="K135" s="10"/>
      <c r="L135" s="10"/>
      <c r="M135" s="10"/>
      <c r="N135" s="14"/>
      <c r="O135" s="10"/>
      <c r="P135" s="10"/>
      <c r="Q135" s="10"/>
    </row>
    <row r="136" spans="4:17" ht="13" thickBot="1">
      <c r="D136">
        <v>63</v>
      </c>
      <c r="E136" s="9">
        <f t="shared" si="1"/>
        <v>63</v>
      </c>
      <c r="F136" s="9"/>
      <c r="G136" s="9">
        <f>E136</f>
        <v>63</v>
      </c>
      <c r="H136" s="16"/>
      <c r="I136" s="10"/>
      <c r="J136" s="14"/>
      <c r="K136" s="10"/>
      <c r="L136" s="10"/>
      <c r="M136" s="10"/>
      <c r="N136" s="14"/>
      <c r="O136" s="10"/>
      <c r="P136" s="10"/>
      <c r="Q136" s="10"/>
    </row>
    <row r="137" spans="4:17" ht="13" thickBot="1">
      <c r="E137" s="10">
        <f t="shared" si="1"/>
        <v>0</v>
      </c>
      <c r="F137" s="10"/>
      <c r="G137" s="12"/>
      <c r="H137" s="10"/>
      <c r="I137" s="10"/>
      <c r="J137" s="14" t="s">
        <v>53</v>
      </c>
      <c r="K137" s="9" t="str">
        <f>IF(OR(J135="",J139=""),"",+IF(J135&gt;J139,I135,I139))</f>
        <v/>
      </c>
      <c r="L137" s="17"/>
      <c r="M137" s="10"/>
      <c r="N137" s="14"/>
      <c r="O137" s="10"/>
      <c r="P137" s="10"/>
      <c r="Q137" s="10"/>
    </row>
    <row r="138" spans="4:17" ht="13" thickBot="1">
      <c r="D138">
        <v>64</v>
      </c>
      <c r="E138" s="9">
        <f t="shared" ref="E138:E149" si="2">D138</f>
        <v>64</v>
      </c>
      <c r="F138" s="9"/>
      <c r="G138" s="9">
        <f>E138</f>
        <v>64</v>
      </c>
      <c r="H138" s="11"/>
      <c r="I138" s="10"/>
      <c r="J138" s="14"/>
      <c r="K138" s="10"/>
      <c r="L138" s="14"/>
      <c r="M138" s="10"/>
      <c r="N138" s="14"/>
      <c r="O138" s="10"/>
      <c r="P138" s="10"/>
      <c r="Q138" s="10"/>
    </row>
    <row r="139" spans="4:17" ht="13" thickBot="1">
      <c r="E139" s="10">
        <f t="shared" si="2"/>
        <v>0</v>
      </c>
      <c r="F139" s="10"/>
      <c r="G139" s="12"/>
      <c r="H139" s="13" t="s">
        <v>36</v>
      </c>
      <c r="I139" s="9" t="str">
        <f>IF(OR(H138="",H140=""),"",+IF(H138&gt;H140,E138,E140))</f>
        <v/>
      </c>
      <c r="J139" s="16"/>
      <c r="K139" s="10"/>
      <c r="L139" s="14"/>
      <c r="M139" s="10"/>
      <c r="N139" s="14"/>
      <c r="O139" s="10"/>
      <c r="P139" s="10"/>
      <c r="Q139" s="10"/>
    </row>
    <row r="140" spans="4:17" ht="13" thickBot="1">
      <c r="D140">
        <v>65</v>
      </c>
      <c r="E140" s="9">
        <f t="shared" si="2"/>
        <v>65</v>
      </c>
      <c r="F140" s="9"/>
      <c r="G140" s="9">
        <f>E140</f>
        <v>65</v>
      </c>
      <c r="H140" s="16"/>
      <c r="I140" s="10"/>
      <c r="J140" s="10"/>
      <c r="K140" s="10"/>
      <c r="L140" s="14"/>
      <c r="M140" s="10"/>
      <c r="N140" s="14"/>
      <c r="O140" s="10"/>
      <c r="P140" s="10"/>
      <c r="Q140" s="10"/>
    </row>
    <row r="141" spans="4:17" ht="13" thickBot="1">
      <c r="E141" s="10">
        <f t="shared" si="2"/>
        <v>0</v>
      </c>
      <c r="F141" s="10"/>
      <c r="G141" s="10"/>
      <c r="H141" s="10"/>
      <c r="I141" s="10"/>
      <c r="J141" s="10"/>
      <c r="K141" s="10"/>
      <c r="L141" s="14" t="s">
        <v>62</v>
      </c>
      <c r="M141" s="9" t="str">
        <f>IF(OR(L137="",L146=""),"",+IF(L137&gt;L146,K137,K146))</f>
        <v/>
      </c>
      <c r="N141" s="16"/>
      <c r="O141" s="10"/>
      <c r="P141" s="10"/>
      <c r="Q141" s="10"/>
    </row>
    <row r="142" spans="4:17" ht="13" thickBot="1">
      <c r="D142">
        <v>66</v>
      </c>
      <c r="E142" s="9">
        <f t="shared" si="2"/>
        <v>66</v>
      </c>
      <c r="F142" s="9"/>
      <c r="G142" s="9">
        <f>E142</f>
        <v>66</v>
      </c>
      <c r="H142" s="11"/>
      <c r="I142" s="10"/>
      <c r="J142" s="10"/>
      <c r="K142" s="10"/>
      <c r="L142" s="14"/>
      <c r="M142" s="10"/>
      <c r="N142" s="10"/>
      <c r="O142" s="10"/>
      <c r="P142" s="10"/>
      <c r="Q142" s="10"/>
    </row>
    <row r="143" spans="4:17" ht="13" thickBot="1">
      <c r="E143" s="10">
        <f t="shared" si="2"/>
        <v>0</v>
      </c>
      <c r="F143" s="10"/>
      <c r="G143" s="12"/>
      <c r="H143" s="13" t="s">
        <v>37</v>
      </c>
      <c r="I143" s="9" t="str">
        <f>IF(OR(H142="",H144=""),"",+IF(H142&gt;H144,E142,E144))</f>
        <v/>
      </c>
      <c r="J143" s="17"/>
      <c r="K143" s="10"/>
      <c r="L143" s="14"/>
      <c r="M143" s="10"/>
      <c r="N143" s="10"/>
      <c r="O143" s="10"/>
      <c r="P143" s="10"/>
      <c r="Q143" s="10"/>
    </row>
    <row r="144" spans="4:17" ht="13" thickBot="1">
      <c r="D144">
        <v>67</v>
      </c>
      <c r="E144" s="9">
        <f t="shared" si="2"/>
        <v>67</v>
      </c>
      <c r="F144" s="9"/>
      <c r="G144" s="9">
        <f>E144</f>
        <v>67</v>
      </c>
      <c r="H144" s="16"/>
      <c r="I144" s="10"/>
      <c r="J144" s="14"/>
      <c r="K144" s="10"/>
      <c r="L144" s="14"/>
      <c r="M144" s="10"/>
      <c r="N144" s="10"/>
      <c r="O144" s="10"/>
      <c r="P144" s="10"/>
      <c r="Q144" s="10"/>
    </row>
    <row r="145" spans="4:17">
      <c r="E145" s="10">
        <f t="shared" si="2"/>
        <v>0</v>
      </c>
      <c r="F145" s="10"/>
      <c r="G145" s="10"/>
      <c r="H145" s="10"/>
      <c r="I145" s="10"/>
      <c r="J145" s="14"/>
      <c r="K145" s="10"/>
      <c r="L145" s="14"/>
      <c r="M145" s="10"/>
      <c r="N145" s="10"/>
      <c r="O145" s="10"/>
      <c r="P145" s="10"/>
      <c r="Q145" s="10"/>
    </row>
    <row r="146" spans="4:17" ht="13" thickBot="1">
      <c r="D146">
        <v>68</v>
      </c>
      <c r="E146" s="10">
        <f t="shared" si="2"/>
        <v>68</v>
      </c>
      <c r="F146" s="11"/>
      <c r="G146" s="10"/>
      <c r="H146" s="10"/>
      <c r="I146" s="10"/>
      <c r="J146" s="14" t="s">
        <v>54</v>
      </c>
      <c r="K146" s="9" t="str">
        <f>IF(OR(J143="",J149=""),"",+IF(J143&gt;J149,I143,I149))</f>
        <v/>
      </c>
      <c r="L146" s="16"/>
      <c r="M146" s="10"/>
      <c r="N146" s="10"/>
      <c r="O146" s="10"/>
      <c r="P146" s="10"/>
      <c r="Q146" s="10"/>
    </row>
    <row r="147" spans="4:17" ht="13" thickBot="1">
      <c r="E147" s="12">
        <f t="shared" si="2"/>
        <v>0</v>
      </c>
      <c r="F147" s="13" t="s">
        <v>6</v>
      </c>
      <c r="G147" s="9" t="str">
        <f>IF(OR(F146="",F148=""),"",+IF(F146&gt;F148,E146,E148))</f>
        <v/>
      </c>
      <c r="H147" s="11"/>
      <c r="I147" s="10"/>
      <c r="J147" s="14"/>
      <c r="K147" s="10"/>
      <c r="L147" s="10"/>
      <c r="M147" s="10"/>
      <c r="N147" s="10"/>
      <c r="O147" s="10"/>
      <c r="P147" s="10"/>
      <c r="Q147" s="10"/>
    </row>
    <row r="148" spans="4:17" ht="13" thickBot="1">
      <c r="D148">
        <v>69</v>
      </c>
      <c r="E148" s="9">
        <f t="shared" si="2"/>
        <v>69</v>
      </c>
      <c r="F148" s="16"/>
      <c r="G148" s="10"/>
      <c r="H148" s="13" t="s">
        <v>38</v>
      </c>
      <c r="I148" s="10"/>
      <c r="J148" s="14"/>
      <c r="K148" s="10"/>
      <c r="L148" s="10"/>
      <c r="M148" s="10"/>
      <c r="N148" s="10"/>
      <c r="O148" s="10"/>
      <c r="P148" s="10"/>
      <c r="Q148" s="10"/>
    </row>
    <row r="149" spans="4:17" ht="13" thickBot="1">
      <c r="E149" s="10">
        <f t="shared" si="2"/>
        <v>0</v>
      </c>
      <c r="F149" s="10"/>
      <c r="G149" s="10"/>
      <c r="H149" s="14"/>
      <c r="I149" s="9" t="str">
        <f>IF(OR(H147="",H150=""),"",+IF(H147&gt;H150,G147,E150))</f>
        <v/>
      </c>
      <c r="J149" s="16"/>
      <c r="K149" s="10"/>
      <c r="L149" s="10"/>
      <c r="M149" s="10"/>
      <c r="N149" s="10"/>
      <c r="O149" s="10"/>
      <c r="P149" s="10"/>
      <c r="Q149" s="10"/>
    </row>
    <row r="150" spans="4:17" ht="13" thickBot="1">
      <c r="D150">
        <v>70</v>
      </c>
      <c r="E150" s="9">
        <f>D150</f>
        <v>70</v>
      </c>
      <c r="F150" s="9"/>
      <c r="G150" s="9">
        <f>E150</f>
        <v>70</v>
      </c>
      <c r="H150" s="16"/>
      <c r="I150" s="10"/>
      <c r="J150" s="10"/>
      <c r="K150" s="10"/>
      <c r="L150" s="10"/>
      <c r="M150" s="10"/>
      <c r="N150" s="10"/>
      <c r="O150" s="10"/>
      <c r="P150" s="10"/>
      <c r="Q150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55"/>
  <dimension ref="D4:AG148"/>
  <sheetViews>
    <sheetView showGridLines="0" topLeftCell="A49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5" max="15" width="13.87890625" customWidth="1"/>
    <col min="16" max="16" width="3.64453125" customWidth="1"/>
    <col min="17" max="17" width="16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2</v>
      </c>
      <c r="V5" t="s">
        <v>77</v>
      </c>
      <c r="W5" s="29">
        <f>E12</f>
        <v>3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E45</f>
        <v>19</v>
      </c>
      <c r="V6" t="s">
        <v>77</v>
      </c>
      <c r="W6" s="29">
        <f>E47</f>
        <v>20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>
        <f>D7</f>
        <v>1</v>
      </c>
      <c r="F7" s="9"/>
      <c r="G7" s="9">
        <f>E7</f>
        <v>1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E81</f>
        <v>36</v>
      </c>
      <c r="V7" t="s">
        <v>77</v>
      </c>
      <c r="W7" s="29">
        <f>E83</f>
        <v>37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E116</f>
        <v>53</v>
      </c>
      <c r="V8" t="s">
        <v>77</v>
      </c>
      <c r="W8" s="29">
        <f>E118</f>
        <v>54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6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E144</f>
        <v>67</v>
      </c>
      <c r="V9" t="s">
        <v>77</v>
      </c>
      <c r="W9" s="29">
        <f>E146</f>
        <v>68</v>
      </c>
      <c r="Z9" s="34"/>
      <c r="AA9" s="40"/>
      <c r="AB9" s="40"/>
      <c r="AC9" s="38" t="s">
        <v>159</v>
      </c>
      <c r="AD9" s="48"/>
      <c r="AE9" s="53" t="e">
        <f>LOOKUP(AD9,T$5:T$78,U$5:U$76)</f>
        <v>#N/A</v>
      </c>
      <c r="AF9" s="37" t="s">
        <v>157</v>
      </c>
      <c r="AG9" s="65" t="e">
        <f>LOOKUP(AD9,T$5:T$78,W$5:W$76)</f>
        <v>#N/A</v>
      </c>
    </row>
    <row r="10" spans="4:33" ht="13" thickBot="1">
      <c r="D10">
        <v>2</v>
      </c>
      <c r="E10" s="10">
        <f t="shared" ref="E10:E73" si="0">D10</f>
        <v>2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E7</f>
        <v>1</v>
      </c>
      <c r="V10" t="s">
        <v>77</v>
      </c>
      <c r="W10" s="29" t="s">
        <v>78</v>
      </c>
      <c r="Z10" s="34"/>
      <c r="AA10" s="40"/>
      <c r="AB10" s="40"/>
      <c r="AC10" s="38" t="s">
        <v>159</v>
      </c>
      <c r="AD10" s="48"/>
      <c r="AE10" s="53" t="e">
        <f>LOOKUP(AD10,T$5:T$78,U$5:U$76)</f>
        <v>#N/A</v>
      </c>
      <c r="AF10" s="37" t="s">
        <v>157</v>
      </c>
      <c r="AG10" s="65" t="e">
        <f>LOOKUP(AD10,T$5:T$78,W$5:W$76)</f>
        <v>#N/A</v>
      </c>
    </row>
    <row r="11" spans="4:33" ht="13" thickBot="1">
      <c r="E11" s="12">
        <f t="shared" si="0"/>
        <v>0</v>
      </c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E14</f>
        <v>4</v>
      </c>
      <c r="V11" t="s">
        <v>77</v>
      </c>
      <c r="W11" s="29">
        <f>E16</f>
        <v>5</v>
      </c>
      <c r="Z11" s="34"/>
      <c r="AA11" s="40"/>
      <c r="AB11" s="40"/>
      <c r="AC11" s="38" t="s">
        <v>159</v>
      </c>
      <c r="AD11" s="48"/>
      <c r="AE11" s="53" t="e">
        <f>LOOKUP(AD11,T$5:T$78,U$5:U$76)</f>
        <v>#N/A</v>
      </c>
      <c r="AF11" s="37" t="s">
        <v>157</v>
      </c>
      <c r="AG11" s="65" t="e">
        <f>LOOKUP(AD11,T$5:T$78,W$5:W$76)</f>
        <v>#N/A</v>
      </c>
    </row>
    <row r="12" spans="4:33" ht="13" thickBot="1">
      <c r="D12">
        <v>3</v>
      </c>
      <c r="E12" s="10">
        <f t="shared" si="0"/>
        <v>3</v>
      </c>
      <c r="F12" s="16"/>
      <c r="G12" s="10"/>
      <c r="H12" s="10"/>
      <c r="I12" s="10"/>
      <c r="J12" s="14" t="s">
        <v>38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E18</f>
        <v>6</v>
      </c>
      <c r="V12" t="s">
        <v>77</v>
      </c>
      <c r="W12" s="29">
        <f>E20</f>
        <v>7</v>
      </c>
      <c r="Z12" s="34"/>
      <c r="AA12" s="40"/>
      <c r="AB12" s="40"/>
      <c r="AC12" s="38" t="s">
        <v>159</v>
      </c>
      <c r="AD12" s="48"/>
      <c r="AE12" s="53" t="e">
        <f>LOOKUP(AD12,T$5:T$78,U$5:U$76)</f>
        <v>#N/A</v>
      </c>
      <c r="AF12" s="37" t="s">
        <v>157</v>
      </c>
      <c r="AG12" s="65" t="e">
        <f>LOOKUP(AD12,T$5:T$78,W$5:W$76)</f>
        <v>#N/A</v>
      </c>
    </row>
    <row r="13" spans="4:33">
      <c r="E13" s="12">
        <f t="shared" si="0"/>
        <v>0</v>
      </c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E22</f>
        <v>8</v>
      </c>
      <c r="V13" t="s">
        <v>77</v>
      </c>
      <c r="W13" s="29">
        <f>E24</f>
        <v>9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>
        <f t="shared" si="0"/>
        <v>4</v>
      </c>
      <c r="F14" s="9"/>
      <c r="G14" s="9">
        <f>E14</f>
        <v>4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E26</f>
        <v>10</v>
      </c>
      <c r="V14" t="s">
        <v>77</v>
      </c>
      <c r="W14" s="29">
        <f>E28</f>
        <v>11</v>
      </c>
      <c r="Z14" s="34"/>
      <c r="AA14" s="40"/>
      <c r="AB14" s="40"/>
      <c r="AC14" s="38" t="s">
        <v>159</v>
      </c>
      <c r="AD14" s="48"/>
      <c r="AE14" s="53" t="e">
        <f>LOOKUP(AD14,T$5:T$78,U$5:U$76)</f>
        <v>#N/A</v>
      </c>
      <c r="AF14" s="37" t="s">
        <v>157</v>
      </c>
      <c r="AG14" s="65" t="e">
        <f>LOOKUP(AD14,T$5:T$78,W$5:W$76)</f>
        <v>#N/A</v>
      </c>
    </row>
    <row r="15" spans="4:33" ht="13" thickBot="1">
      <c r="E15" s="10">
        <f t="shared" si="0"/>
        <v>0</v>
      </c>
      <c r="F15" s="10"/>
      <c r="G15" s="10"/>
      <c r="H15" s="13" t="s">
        <v>7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E30</f>
        <v>12</v>
      </c>
      <c r="V15" t="s">
        <v>77</v>
      </c>
      <c r="W15" s="29">
        <f>E32</f>
        <v>13</v>
      </c>
      <c r="Z15" s="34"/>
      <c r="AA15" s="40"/>
      <c r="AB15" s="40"/>
      <c r="AC15" s="38" t="s">
        <v>159</v>
      </c>
      <c r="AD15" s="48"/>
      <c r="AE15" s="53" t="e">
        <f>LOOKUP(AD15,T$5:T$78,U$5:U$76)</f>
        <v>#N/A</v>
      </c>
      <c r="AF15" s="37" t="s">
        <v>157</v>
      </c>
      <c r="AG15" s="65" t="e">
        <f>LOOKUP(AD15,T$5:T$78,W$5:W$76)</f>
        <v>#N/A</v>
      </c>
    </row>
    <row r="16" spans="4:33" ht="13" thickBot="1">
      <c r="D16">
        <v>5</v>
      </c>
      <c r="E16" s="9">
        <f t="shared" si="0"/>
        <v>5</v>
      </c>
      <c r="F16" s="9"/>
      <c r="G16" s="9">
        <f>E16</f>
        <v>5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E34</f>
        <v>14</v>
      </c>
      <c r="V16" t="s">
        <v>77</v>
      </c>
      <c r="W16" s="29">
        <f>E36</f>
        <v>15</v>
      </c>
      <c r="Z16" s="34"/>
      <c r="AA16" s="40"/>
      <c r="AB16" s="40"/>
      <c r="AC16" s="38" t="s">
        <v>159</v>
      </c>
      <c r="AD16" s="48"/>
      <c r="AE16" s="53" t="e">
        <f>LOOKUP(AD16,T$5:T$78,U$5:U$76)</f>
        <v>#N/A</v>
      </c>
      <c r="AF16" s="37" t="s">
        <v>157</v>
      </c>
      <c r="AG16" s="65" t="e">
        <f>LOOKUP(AD16,T$5:T$78,W$5:W$76)</f>
        <v>#N/A</v>
      </c>
    </row>
    <row r="17" spans="4:33" ht="13" thickBot="1">
      <c r="E17" s="10">
        <f t="shared" si="0"/>
        <v>0</v>
      </c>
      <c r="F17" s="10"/>
      <c r="G17" s="10"/>
      <c r="H17" s="10"/>
      <c r="I17" s="10"/>
      <c r="J17" s="10"/>
      <c r="K17" s="10"/>
      <c r="L17" s="14" t="s">
        <v>54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E38</f>
        <v>16</v>
      </c>
      <c r="V17" t="s">
        <v>77</v>
      </c>
      <c r="W17" s="29">
        <f>E40</f>
        <v>17</v>
      </c>
      <c r="Z17" s="34"/>
      <c r="AA17" s="40"/>
      <c r="AB17" s="40"/>
      <c r="AC17" s="38" t="s">
        <v>159</v>
      </c>
      <c r="AD17" s="48"/>
      <c r="AE17" s="53" t="e">
        <f>LOOKUP(AD17,T$5:T$78,U$5:U$76)</f>
        <v>#N/A</v>
      </c>
      <c r="AF17" s="37" t="s">
        <v>157</v>
      </c>
      <c r="AG17" s="65" t="e">
        <f>LOOKUP(AD17,T$5:T$78,W$5:W$76)</f>
        <v>#N/A</v>
      </c>
    </row>
    <row r="18" spans="4:33" ht="13" thickBot="1">
      <c r="D18">
        <v>6</v>
      </c>
      <c r="E18" s="9">
        <f t="shared" si="0"/>
        <v>6</v>
      </c>
      <c r="F18" s="9"/>
      <c r="G18" s="9">
        <f>E18</f>
        <v>6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E42</f>
        <v>18</v>
      </c>
      <c r="V18" t="s">
        <v>77</v>
      </c>
      <c r="W18" s="29" t="s">
        <v>160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>
        <f t="shared" si="0"/>
        <v>0</v>
      </c>
      <c r="F19" s="10"/>
      <c r="G19" s="12"/>
      <c r="H19" s="13" t="s">
        <v>8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E49</f>
        <v>21</v>
      </c>
      <c r="V19" t="s">
        <v>77</v>
      </c>
      <c r="W19" s="29">
        <f>E51</f>
        <v>22</v>
      </c>
      <c r="Z19" s="34"/>
      <c r="AA19" s="40"/>
      <c r="AB19" s="40"/>
      <c r="AC19" s="38" t="s">
        <v>159</v>
      </c>
      <c r="AD19" s="48"/>
      <c r="AE19" s="53" t="e">
        <f>LOOKUP(AD19,T$5:T$78,U$5:U$76)</f>
        <v>#N/A</v>
      </c>
      <c r="AF19" s="37" t="s">
        <v>157</v>
      </c>
      <c r="AG19" s="65" t="e">
        <f>LOOKUP(AD19,T$5:T$78,W$5:W$76)</f>
        <v>#N/A</v>
      </c>
    </row>
    <row r="20" spans="4:33" ht="13" thickBot="1">
      <c r="D20">
        <v>7</v>
      </c>
      <c r="E20" s="9">
        <f t="shared" si="0"/>
        <v>7</v>
      </c>
      <c r="F20" s="9"/>
      <c r="G20" s="9">
        <f>E20</f>
        <v>7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E53</f>
        <v>23</v>
      </c>
      <c r="V20" t="s">
        <v>77</v>
      </c>
      <c r="W20" s="29">
        <f>E55</f>
        <v>24</v>
      </c>
      <c r="Z20" s="34"/>
      <c r="AA20" s="40"/>
      <c r="AB20" s="40"/>
      <c r="AC20" s="38" t="s">
        <v>159</v>
      </c>
      <c r="AD20" s="48"/>
      <c r="AE20" s="53" t="e">
        <f>LOOKUP(AD20,T$5:T$78,U$5:U$76)</f>
        <v>#N/A</v>
      </c>
      <c r="AF20" s="37" t="s">
        <v>157</v>
      </c>
      <c r="AG20" s="65" t="e">
        <f>LOOKUP(AD20,T$5:T$78,W$5:W$76)</f>
        <v>#N/A</v>
      </c>
    </row>
    <row r="21" spans="4:33" ht="13" thickBot="1">
      <c r="E21" s="10">
        <f t="shared" si="0"/>
        <v>0</v>
      </c>
      <c r="F21" s="10"/>
      <c r="G21" s="12"/>
      <c r="H21" s="10"/>
      <c r="I21" s="10"/>
      <c r="J21" s="14" t="s">
        <v>39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E57</f>
        <v>25</v>
      </c>
      <c r="V21" t="s">
        <v>77</v>
      </c>
      <c r="W21" s="29">
        <f>E59</f>
        <v>26</v>
      </c>
      <c r="Z21" s="34"/>
      <c r="AA21" s="40"/>
      <c r="AB21" s="40"/>
      <c r="AC21" s="38" t="s">
        <v>159</v>
      </c>
      <c r="AD21" s="48"/>
      <c r="AE21" s="53" t="e">
        <f>LOOKUP(AD21,T$5:T$78,U$5:U$76)</f>
        <v>#N/A</v>
      </c>
      <c r="AF21" s="37" t="s">
        <v>157</v>
      </c>
      <c r="AG21" s="65" t="e">
        <f>LOOKUP(AD21,T$5:T$78,W$5:W$76)</f>
        <v>#N/A</v>
      </c>
    </row>
    <row r="22" spans="4:33" ht="13" thickBot="1">
      <c r="D22">
        <v>8</v>
      </c>
      <c r="E22" s="9">
        <f t="shared" si="0"/>
        <v>8</v>
      </c>
      <c r="F22" s="9"/>
      <c r="G22" s="9">
        <f>E22</f>
        <v>8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E61</f>
        <v>27</v>
      </c>
      <c r="V22" t="s">
        <v>77</v>
      </c>
      <c r="W22" s="29">
        <f>E63</f>
        <v>28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0">
        <f t="shared" si="0"/>
        <v>0</v>
      </c>
      <c r="F23" s="10"/>
      <c r="G23" s="12"/>
      <c r="H23" s="13" t="s">
        <v>9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E65</f>
        <v>29</v>
      </c>
      <c r="V23" t="s">
        <v>77</v>
      </c>
      <c r="W23" s="29">
        <f>E67</f>
        <v>30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>
        <f t="shared" si="0"/>
        <v>9</v>
      </c>
      <c r="F24" s="9"/>
      <c r="G24" s="9">
        <f>E24</f>
        <v>9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>
        <f>E69</f>
        <v>31</v>
      </c>
      <c r="V24" t="s">
        <v>77</v>
      </c>
      <c r="W24" s="29">
        <f>E71</f>
        <v>32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0">
        <f t="shared" si="0"/>
        <v>0</v>
      </c>
      <c r="F25" s="10"/>
      <c r="G25" s="10"/>
      <c r="H25" s="10"/>
      <c r="I25" s="10"/>
      <c r="J25" s="10"/>
      <c r="K25" s="10"/>
      <c r="L25" s="10"/>
      <c r="M25" s="10"/>
      <c r="N25" s="14" t="s">
        <v>62</v>
      </c>
      <c r="O25" s="9" t="str">
        <f>IF(OR(N17="",N33=""),"",+IF(N17&gt;N33,M17,M33))</f>
        <v/>
      </c>
      <c r="P25" s="17"/>
      <c r="Q25" s="10"/>
      <c r="T25">
        <v>21</v>
      </c>
      <c r="U25" s="28">
        <f>E73</f>
        <v>33</v>
      </c>
      <c r="V25" t="s">
        <v>77</v>
      </c>
      <c r="W25" s="29">
        <f>E75</f>
        <v>34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>
        <f t="shared" si="0"/>
        <v>10</v>
      </c>
      <c r="F26" s="9"/>
      <c r="G26" s="9">
        <f>E26</f>
        <v>10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>
        <f>E78</f>
        <v>35</v>
      </c>
      <c r="V26" t="s">
        <v>77</v>
      </c>
      <c r="W26" s="29" t="s">
        <v>161</v>
      </c>
      <c r="Z26" s="34"/>
      <c r="AA26" s="40"/>
      <c r="AB26" s="40"/>
      <c r="AC26" s="38" t="s">
        <v>159</v>
      </c>
      <c r="AD26" s="48"/>
      <c r="AE26" s="53" t="e">
        <f>LOOKUP(AD26,T$5:T$78,U$5:U$76)</f>
        <v>#N/A</v>
      </c>
      <c r="AF26" s="37" t="s">
        <v>157</v>
      </c>
      <c r="AG26" s="65" t="e">
        <f>LOOKUP(AD26,T$5:T$78,W$5:W$76)</f>
        <v>#N/A</v>
      </c>
    </row>
    <row r="27" spans="4:33" ht="13" thickBot="1">
      <c r="E27" s="10">
        <f t="shared" si="0"/>
        <v>0</v>
      </c>
      <c r="F27" s="10"/>
      <c r="G27" s="10"/>
      <c r="H27" s="13" t="s">
        <v>10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>
        <f>E85</f>
        <v>38</v>
      </c>
      <c r="V27" t="s">
        <v>77</v>
      </c>
      <c r="W27" s="29">
        <f>E87</f>
        <v>39</v>
      </c>
      <c r="Z27" s="34"/>
      <c r="AA27" s="40"/>
      <c r="AB27" s="40"/>
      <c r="AC27" s="38" t="s">
        <v>159</v>
      </c>
      <c r="AD27" s="48"/>
      <c r="AE27" s="53" t="e">
        <f>LOOKUP(AD27,T$5:T$78,U$5:U$76)</f>
        <v>#N/A</v>
      </c>
      <c r="AF27" s="37" t="s">
        <v>157</v>
      </c>
      <c r="AG27" s="65" t="e">
        <f>LOOKUP(AD27,T$5:T$78,W$5:W$76)</f>
        <v>#N/A</v>
      </c>
    </row>
    <row r="28" spans="4:33" ht="13" thickBot="1">
      <c r="D28">
        <v>11</v>
      </c>
      <c r="E28" s="9">
        <f t="shared" si="0"/>
        <v>11</v>
      </c>
      <c r="F28" s="9"/>
      <c r="G28" s="9">
        <f>E28</f>
        <v>11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>
        <f>E89</f>
        <v>40</v>
      </c>
      <c r="V28" t="s">
        <v>77</v>
      </c>
      <c r="W28" s="29">
        <f>E91</f>
        <v>41</v>
      </c>
      <c r="Z28" s="34"/>
      <c r="AA28" s="40"/>
      <c r="AB28" s="40"/>
      <c r="AC28" s="38" t="s">
        <v>159</v>
      </c>
      <c r="AD28" s="48"/>
      <c r="AE28" s="53" t="e">
        <f>LOOKUP(AD28,T$5:T$78,U$5:U$76)</f>
        <v>#N/A</v>
      </c>
      <c r="AF28" s="37" t="s">
        <v>157</v>
      </c>
      <c r="AG28" s="65" t="e">
        <f>LOOKUP(AD28,T$5:T$78,W$5:W$76)</f>
        <v>#N/A</v>
      </c>
    </row>
    <row r="29" spans="4:33" ht="13" thickBot="1">
      <c r="E29" s="10">
        <f t="shared" si="0"/>
        <v>0</v>
      </c>
      <c r="F29" s="10"/>
      <c r="G29" s="10"/>
      <c r="H29" s="10"/>
      <c r="I29" s="10"/>
      <c r="J29" s="14" t="s">
        <v>40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>
        <f>E93</f>
        <v>42</v>
      </c>
      <c r="V29" t="s">
        <v>77</v>
      </c>
      <c r="W29" s="29">
        <f>E95</f>
        <v>43</v>
      </c>
      <c r="Z29" s="34"/>
      <c r="AA29" s="40"/>
      <c r="AB29" s="40"/>
      <c r="AC29" s="38" t="s">
        <v>159</v>
      </c>
      <c r="AD29" s="48"/>
      <c r="AE29" s="53" t="e">
        <f>LOOKUP(AD29,T$5:T$78,U$5:U$76)</f>
        <v>#N/A</v>
      </c>
      <c r="AF29" s="37" t="s">
        <v>157</v>
      </c>
      <c r="AG29" s="65" t="e">
        <f>LOOKUP(AD29,T$5:T$78,W$5:W$76)</f>
        <v>#N/A</v>
      </c>
    </row>
    <row r="30" spans="4:33" ht="13" thickBot="1">
      <c r="D30">
        <v>12</v>
      </c>
      <c r="E30" s="9">
        <f t="shared" si="0"/>
        <v>12</v>
      </c>
      <c r="F30" s="9"/>
      <c r="G30" s="9">
        <f>E30</f>
        <v>12</v>
      </c>
      <c r="H30" s="11"/>
      <c r="I30" s="10"/>
      <c r="J30" s="14"/>
      <c r="K30" s="10"/>
      <c r="L30" s="13"/>
      <c r="M30" s="10"/>
      <c r="N30" s="14"/>
      <c r="O30" s="10"/>
      <c r="P30" s="14"/>
      <c r="Q30" s="10"/>
      <c r="T30">
        <v>26</v>
      </c>
      <c r="U30" s="28">
        <f>E97</f>
        <v>44</v>
      </c>
      <c r="V30" t="s">
        <v>77</v>
      </c>
      <c r="W30" s="29">
        <f>E99</f>
        <v>45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>
        <f t="shared" si="0"/>
        <v>0</v>
      </c>
      <c r="F31" s="10"/>
      <c r="G31" s="10"/>
      <c r="H31" s="13" t="s">
        <v>11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>
        <f>E101</f>
        <v>46</v>
      </c>
      <c r="V31" t="s">
        <v>77</v>
      </c>
      <c r="W31" s="29">
        <f>E103</f>
        <v>47</v>
      </c>
      <c r="Z31" s="34"/>
      <c r="AA31" s="40"/>
      <c r="AB31" s="40"/>
      <c r="AC31" s="38" t="s">
        <v>159</v>
      </c>
      <c r="AD31" s="48"/>
      <c r="AE31" s="53" t="e">
        <f>LOOKUP(AD31,T$5:T$78,U$5:U$76)</f>
        <v>#N/A</v>
      </c>
      <c r="AF31" s="37" t="s">
        <v>157</v>
      </c>
      <c r="AG31" s="65" t="e">
        <f>LOOKUP(AD31,T$5:T$78,W$5:W$76)</f>
        <v>#N/A</v>
      </c>
    </row>
    <row r="32" spans="4:33" ht="13" thickBot="1">
      <c r="D32">
        <v>13</v>
      </c>
      <c r="E32" s="9">
        <f t="shared" si="0"/>
        <v>13</v>
      </c>
      <c r="F32" s="9"/>
      <c r="G32" s="9">
        <f>E32</f>
        <v>13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>
        <f>E105</f>
        <v>48</v>
      </c>
      <c r="V32" t="s">
        <v>77</v>
      </c>
      <c r="W32" s="29">
        <f>E107</f>
        <v>49</v>
      </c>
      <c r="Z32" s="34"/>
      <c r="AA32" s="40"/>
      <c r="AB32" s="40"/>
      <c r="AC32" s="38" t="s">
        <v>159</v>
      </c>
      <c r="AD32" s="48"/>
      <c r="AE32" s="53" t="e">
        <f>LOOKUP(AD32,T$5:T$78,U$5:U$76)</f>
        <v>#N/A</v>
      </c>
      <c r="AF32" s="37" t="s">
        <v>157</v>
      </c>
      <c r="AG32" s="65" t="e">
        <f>LOOKUP(AD32,T$5:T$78,W$5:W$76)</f>
        <v>#N/A</v>
      </c>
    </row>
    <row r="33" spans="4:33" ht="13" thickBot="1">
      <c r="E33" s="10">
        <f t="shared" si="0"/>
        <v>0</v>
      </c>
      <c r="F33" s="10"/>
      <c r="G33" s="10"/>
      <c r="H33" s="10"/>
      <c r="I33" s="10"/>
      <c r="J33" s="10"/>
      <c r="K33" s="10"/>
      <c r="L33" s="14" t="s">
        <v>55</v>
      </c>
      <c r="M33" s="9" t="str">
        <f>IF(OR(L29="",L37=""),"",+IF(L29&gt;L37,K29,K37))</f>
        <v/>
      </c>
      <c r="N33" s="16"/>
      <c r="O33" s="10"/>
      <c r="P33" s="14"/>
      <c r="Q33" s="10"/>
      <c r="T33">
        <v>29</v>
      </c>
      <c r="U33" s="28">
        <f>E109</f>
        <v>50</v>
      </c>
      <c r="V33" t="s">
        <v>77</v>
      </c>
      <c r="W33" s="29">
        <f>E111</f>
        <v>51</v>
      </c>
      <c r="Z33" s="34"/>
      <c r="AA33" s="40"/>
      <c r="AB33" s="40"/>
      <c r="AC33" s="38" t="s">
        <v>159</v>
      </c>
      <c r="AD33" s="48"/>
      <c r="AE33" s="53" t="e">
        <f>LOOKUP(AD33,T$5:T$78,U$5:U$76)</f>
        <v>#N/A</v>
      </c>
      <c r="AF33" s="37" t="s">
        <v>157</v>
      </c>
      <c r="AG33" s="65" t="e">
        <f>LOOKUP(AD33,T$5:T$78,W$5:W$76)</f>
        <v>#N/A</v>
      </c>
    </row>
    <row r="34" spans="4:33" ht="13" thickBot="1">
      <c r="D34">
        <v>14</v>
      </c>
      <c r="E34" s="9">
        <f t="shared" si="0"/>
        <v>14</v>
      </c>
      <c r="F34" s="9"/>
      <c r="G34" s="9">
        <f>E34</f>
        <v>14</v>
      </c>
      <c r="H34" s="11"/>
      <c r="I34" s="10"/>
      <c r="J34" s="10"/>
      <c r="K34" s="10"/>
      <c r="L34" s="14"/>
      <c r="M34" s="10"/>
      <c r="N34" s="10"/>
      <c r="O34" s="10"/>
      <c r="P34" s="14"/>
      <c r="Q34" s="10"/>
      <c r="T34">
        <v>30</v>
      </c>
      <c r="U34" s="28">
        <f>E113</f>
        <v>52</v>
      </c>
      <c r="V34" t="s">
        <v>77</v>
      </c>
      <c r="W34" s="29" t="s">
        <v>81</v>
      </c>
      <c r="Z34" s="34"/>
      <c r="AA34" s="40"/>
      <c r="AB34" s="40"/>
      <c r="AC34" s="38" t="s">
        <v>159</v>
      </c>
      <c r="AD34" s="48"/>
      <c r="AE34" s="53" t="e">
        <f>LOOKUP(AD34,T$5:T$78,U$5:U$76)</f>
        <v>#N/A</v>
      </c>
      <c r="AF34" s="37" t="s">
        <v>157</v>
      </c>
      <c r="AG34" s="65" t="e">
        <f>LOOKUP(AD34,T$5:T$78,W$5:W$76)</f>
        <v>#N/A</v>
      </c>
    </row>
    <row r="35" spans="4:33" ht="13" thickBot="1">
      <c r="E35" s="10">
        <f t="shared" si="0"/>
        <v>0</v>
      </c>
      <c r="F35" s="10"/>
      <c r="G35" s="10"/>
      <c r="H35" s="13" t="s">
        <v>12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>
        <f>E120</f>
        <v>55</v>
      </c>
      <c r="V35" t="s">
        <v>77</v>
      </c>
      <c r="W35" s="29">
        <f>E122</f>
        <v>56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>
        <f t="shared" si="0"/>
        <v>15</v>
      </c>
      <c r="F36" s="9"/>
      <c r="G36" s="9">
        <f>E36</f>
        <v>15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>
        <f>E124</f>
        <v>57</v>
      </c>
      <c r="V36" t="s">
        <v>77</v>
      </c>
      <c r="W36" s="29">
        <f>E126</f>
        <v>58</v>
      </c>
      <c r="Z36" s="34"/>
      <c r="AA36" s="40"/>
      <c r="AB36" s="40"/>
      <c r="AC36" s="38" t="s">
        <v>159</v>
      </c>
      <c r="AD36" s="48"/>
      <c r="AE36" s="53" t="e">
        <f>LOOKUP(AD36,T$5:T$78,U$5:U$76)</f>
        <v>#N/A</v>
      </c>
      <c r="AF36" s="37" t="s">
        <v>157</v>
      </c>
      <c r="AG36" s="65" t="e">
        <f>LOOKUP(AD36,T$5:T$78,W$5:W$76)</f>
        <v>#N/A</v>
      </c>
    </row>
    <row r="37" spans="4:33" ht="13" thickBot="1">
      <c r="E37" s="10">
        <f t="shared" si="0"/>
        <v>0</v>
      </c>
      <c r="F37" s="10"/>
      <c r="G37" s="10"/>
      <c r="H37" s="10"/>
      <c r="I37" s="10"/>
      <c r="J37" s="14" t="s">
        <v>41</v>
      </c>
      <c r="K37" s="9" t="str">
        <f>IF(OR(J35="",J39=""),"",+IF(J35&gt;J39,I35,I39))</f>
        <v/>
      </c>
      <c r="L37" s="16"/>
      <c r="M37" s="10"/>
      <c r="N37" s="10"/>
      <c r="O37" s="10"/>
      <c r="P37" s="14"/>
      <c r="Q37" s="10"/>
      <c r="T37">
        <v>33</v>
      </c>
      <c r="U37" s="28">
        <f>E128</f>
        <v>59</v>
      </c>
      <c r="V37" t="s">
        <v>77</v>
      </c>
      <c r="W37" s="29">
        <f>E130</f>
        <v>60</v>
      </c>
      <c r="Z37" s="34"/>
      <c r="AA37" s="40"/>
      <c r="AB37" s="40"/>
      <c r="AC37" s="38" t="s">
        <v>159</v>
      </c>
      <c r="AD37" s="48"/>
      <c r="AE37" s="53" t="e">
        <f>LOOKUP(AD37,T$5:T$78,U$5:U$76)</f>
        <v>#N/A</v>
      </c>
      <c r="AF37" s="37" t="s">
        <v>157</v>
      </c>
      <c r="AG37" s="65" t="e">
        <f>LOOKUP(AD37,T$5:T$78,W$5:W$76)</f>
        <v>#N/A</v>
      </c>
    </row>
    <row r="38" spans="4:33" ht="13" thickBot="1">
      <c r="D38">
        <v>16</v>
      </c>
      <c r="E38" s="9">
        <f t="shared" si="0"/>
        <v>16</v>
      </c>
      <c r="F38" s="9"/>
      <c r="G38" s="9">
        <f>E38</f>
        <v>16</v>
      </c>
      <c r="H38" s="11"/>
      <c r="I38" s="10"/>
      <c r="J38" s="14"/>
      <c r="K38" s="10"/>
      <c r="L38" s="10"/>
      <c r="M38" s="10"/>
      <c r="N38" s="10"/>
      <c r="O38" s="10"/>
      <c r="P38" s="14"/>
      <c r="Q38" s="10"/>
      <c r="T38">
        <v>34</v>
      </c>
      <c r="U38" s="28">
        <f>E132</f>
        <v>61</v>
      </c>
      <c r="V38" t="s">
        <v>77</v>
      </c>
      <c r="W38" s="29">
        <f>E134</f>
        <v>62</v>
      </c>
      <c r="Z38" s="34"/>
      <c r="AA38" s="40"/>
      <c r="AB38" s="40"/>
      <c r="AC38" s="38" t="s">
        <v>159</v>
      </c>
      <c r="AD38" s="48"/>
      <c r="AE38" s="53" t="e">
        <f>LOOKUP(AD38,T$5:T$78,U$5:U$76)</f>
        <v>#N/A</v>
      </c>
      <c r="AF38" s="37" t="s">
        <v>157</v>
      </c>
      <c r="AG38" s="65" t="e">
        <f>LOOKUP(AD38,T$5:T$78,W$5:W$76)</f>
        <v>#N/A</v>
      </c>
    </row>
    <row r="39" spans="4:33" ht="13" thickBot="1">
      <c r="E39" s="10">
        <f t="shared" si="0"/>
        <v>0</v>
      </c>
      <c r="F39" s="10"/>
      <c r="G39" s="10"/>
      <c r="H39" s="13" t="s">
        <v>13</v>
      </c>
      <c r="I39" s="9" t="str">
        <f>IF(OR(H38="",H40=""),"",+IF(H38&gt;H40,E38,E40))</f>
        <v/>
      </c>
      <c r="J39" s="16"/>
      <c r="K39" s="10"/>
      <c r="L39" s="10"/>
      <c r="M39" s="10"/>
      <c r="N39" s="10"/>
      <c r="O39" s="10"/>
      <c r="P39" s="14"/>
      <c r="Q39" s="10"/>
      <c r="T39">
        <v>35</v>
      </c>
      <c r="U39" s="28">
        <f>E136</f>
        <v>63</v>
      </c>
      <c r="V39" t="s">
        <v>77</v>
      </c>
      <c r="W39" s="29">
        <f>E138</f>
        <v>64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D40">
        <v>17</v>
      </c>
      <c r="E40" s="9">
        <f t="shared" si="0"/>
        <v>17</v>
      </c>
      <c r="F40" s="9"/>
      <c r="G40" s="9">
        <f>E40</f>
        <v>17</v>
      </c>
      <c r="H40" s="16"/>
      <c r="I40" s="10"/>
      <c r="J40" s="10"/>
      <c r="K40" s="10"/>
      <c r="L40" s="10"/>
      <c r="M40" s="10"/>
      <c r="N40" s="10"/>
      <c r="O40" s="10"/>
      <c r="P40" s="14"/>
      <c r="Q40" s="10"/>
      <c r="T40">
        <v>36</v>
      </c>
      <c r="U40" s="28">
        <f>E140</f>
        <v>65</v>
      </c>
      <c r="V40" t="s">
        <v>77</v>
      </c>
      <c r="W40" s="29">
        <f>E142</f>
        <v>66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>
        <f t="shared" si="0"/>
        <v>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4" t="s">
        <v>66</v>
      </c>
      <c r="Q41" s="9" t="str">
        <f>IF(OR(P25="",P60=""),"",+IF(P25&gt;P60,O25,O60))</f>
        <v/>
      </c>
      <c r="T41">
        <v>37</v>
      </c>
      <c r="U41" s="28" t="s">
        <v>162</v>
      </c>
      <c r="V41" t="s">
        <v>77</v>
      </c>
      <c r="W41" s="29">
        <f>E148</f>
        <v>69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9">
        <f t="shared" si="0"/>
        <v>18</v>
      </c>
      <c r="F42" s="9"/>
      <c r="G42" s="9">
        <f>E42</f>
        <v>18</v>
      </c>
      <c r="H42" s="11"/>
      <c r="I42" s="10"/>
      <c r="J42" s="10"/>
      <c r="K42" s="10"/>
      <c r="L42" s="10"/>
      <c r="M42" s="10"/>
      <c r="N42" s="10"/>
      <c r="O42" s="10"/>
      <c r="P42" s="14"/>
      <c r="Q42" s="13"/>
      <c r="T42">
        <v>38</v>
      </c>
      <c r="U42" s="28" t="s">
        <v>163</v>
      </c>
      <c r="V42" t="s">
        <v>77</v>
      </c>
      <c r="W42" s="29" t="s">
        <v>84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>
      <c r="E43" s="12">
        <f t="shared" si="0"/>
        <v>0</v>
      </c>
      <c r="F43" s="10"/>
      <c r="G43" s="10"/>
      <c r="H43" s="13"/>
      <c r="I43" s="10"/>
      <c r="J43" s="10"/>
      <c r="K43" s="10"/>
      <c r="L43" s="10"/>
      <c r="M43" s="10"/>
      <c r="N43" s="10"/>
      <c r="O43" s="10"/>
      <c r="P43" s="14"/>
      <c r="Q43" s="14"/>
      <c r="T43">
        <v>39</v>
      </c>
      <c r="U43" s="28" t="s">
        <v>164</v>
      </c>
      <c r="V43" t="s">
        <v>77</v>
      </c>
      <c r="W43" s="29" t="s">
        <v>86</v>
      </c>
      <c r="Z43" s="34"/>
      <c r="AA43" s="40"/>
      <c r="AB43" s="40"/>
      <c r="AC43" s="38" t="s">
        <v>159</v>
      </c>
      <c r="AD43" s="48"/>
      <c r="AE43" s="53" t="e">
        <f>LOOKUP(AD43,T$5:T$78,U$5:U$76)</f>
        <v>#N/A</v>
      </c>
      <c r="AF43" s="37" t="s">
        <v>157</v>
      </c>
      <c r="AG43" s="65" t="e">
        <f>LOOKUP(AD43,T$5:T$78,W$5:W$76)</f>
        <v>#N/A</v>
      </c>
    </row>
    <row r="44" spans="4:33" ht="13" thickBot="1">
      <c r="E44" s="10">
        <f t="shared" si="0"/>
        <v>0</v>
      </c>
      <c r="F44" s="10"/>
      <c r="G44" s="10"/>
      <c r="H44" s="14" t="s">
        <v>14</v>
      </c>
      <c r="I44" s="9" t="str">
        <f>IF(OR(H42="",H46=""),"",+IF(H42&gt;H46,E42,G46))</f>
        <v/>
      </c>
      <c r="J44" s="11"/>
      <c r="K44" s="10"/>
      <c r="L44" s="10"/>
      <c r="M44" s="10"/>
      <c r="N44" s="10"/>
      <c r="O44" s="10"/>
      <c r="P44" s="14"/>
      <c r="Q44" s="14"/>
      <c r="T44">
        <v>40</v>
      </c>
      <c r="U44" s="28" t="s">
        <v>87</v>
      </c>
      <c r="V44" t="s">
        <v>77</v>
      </c>
      <c r="W44" s="29" t="s">
        <v>88</v>
      </c>
      <c r="Z44" s="34"/>
      <c r="AA44" s="40"/>
      <c r="AB44" s="40"/>
      <c r="AC44" s="38" t="s">
        <v>159</v>
      </c>
      <c r="AD44" s="48"/>
      <c r="AE44" s="53" t="e">
        <f>LOOKUP(AD44,T$5:T$78,U$5:U$76)</f>
        <v>#N/A</v>
      </c>
      <c r="AF44" s="37" t="s">
        <v>157</v>
      </c>
      <c r="AG44" s="65" t="e">
        <f>LOOKUP(AD44,T$5:T$78,W$5:W$76)</f>
        <v>#N/A</v>
      </c>
    </row>
    <row r="45" spans="4:33" ht="13" thickBot="1">
      <c r="D45">
        <v>19</v>
      </c>
      <c r="E45" s="10">
        <f t="shared" si="0"/>
        <v>19</v>
      </c>
      <c r="F45" s="11"/>
      <c r="G45" s="10"/>
      <c r="H45" s="14"/>
      <c r="I45" s="10"/>
      <c r="J45" s="13"/>
      <c r="K45" s="10"/>
      <c r="L45" s="10"/>
      <c r="M45" s="10"/>
      <c r="N45" s="10"/>
      <c r="O45" s="10"/>
      <c r="P45" s="14"/>
      <c r="Q45" s="14"/>
      <c r="T45">
        <v>41</v>
      </c>
      <c r="U45" s="28" t="s">
        <v>89</v>
      </c>
      <c r="V45" t="s">
        <v>77</v>
      </c>
      <c r="W45" s="29" t="s">
        <v>90</v>
      </c>
      <c r="Z45" s="34"/>
      <c r="AA45" s="40"/>
      <c r="AB45" s="40"/>
      <c r="AC45" s="38" t="s">
        <v>159</v>
      </c>
      <c r="AD45" s="48"/>
      <c r="AE45" s="53" t="e">
        <f>LOOKUP(AD45,T$5:T$78,U$5:U$76)</f>
        <v>#N/A</v>
      </c>
      <c r="AF45" s="37" t="s">
        <v>157</v>
      </c>
      <c r="AG45" s="65" t="e">
        <f>LOOKUP(AD45,T$5:T$78,W$5:W$76)</f>
        <v>#N/A</v>
      </c>
    </row>
    <row r="46" spans="4:33" ht="13" thickBot="1">
      <c r="E46" s="12">
        <f t="shared" si="0"/>
        <v>0</v>
      </c>
      <c r="F46" s="13" t="s">
        <v>2</v>
      </c>
      <c r="G46" s="9" t="str">
        <f>IF(OR(F45="",F47=""),"",+IF(F45&gt;F47,E45,E47))</f>
        <v/>
      </c>
      <c r="H46" s="16"/>
      <c r="I46" s="10"/>
      <c r="J46" s="14"/>
      <c r="K46" s="10"/>
      <c r="L46" s="10"/>
      <c r="M46" s="10"/>
      <c r="N46" s="10"/>
      <c r="O46" s="10"/>
      <c r="P46" s="14"/>
      <c r="Q46" s="14"/>
      <c r="T46">
        <v>42</v>
      </c>
      <c r="U46" s="28" t="s">
        <v>91</v>
      </c>
      <c r="V46" t="s">
        <v>77</v>
      </c>
      <c r="W46" s="29" t="s">
        <v>92</v>
      </c>
      <c r="Z46" s="34"/>
      <c r="AA46" s="40"/>
      <c r="AB46" s="40"/>
      <c r="AC46" s="38" t="s">
        <v>159</v>
      </c>
      <c r="AD46" s="48"/>
      <c r="AE46" s="53" t="e">
        <f>LOOKUP(AD46,T$5:T$78,U$5:U$76)</f>
        <v>#N/A</v>
      </c>
      <c r="AF46" s="37" t="s">
        <v>157</v>
      </c>
      <c r="AG46" s="65" t="e">
        <f>LOOKUP(AD46,T$5:T$78,W$5:W$76)</f>
        <v>#N/A</v>
      </c>
    </row>
    <row r="47" spans="4:33" ht="13" thickBot="1">
      <c r="D47">
        <v>20</v>
      </c>
      <c r="E47" s="10">
        <f t="shared" si="0"/>
        <v>20</v>
      </c>
      <c r="F47" s="16"/>
      <c r="G47" s="10"/>
      <c r="H47" s="10"/>
      <c r="I47" s="10"/>
      <c r="J47" s="14" t="s">
        <v>42</v>
      </c>
      <c r="K47" s="9" t="str">
        <f>IF(OR(J44="",J50=""),"",+IF(J44&gt;J50,I44,I50))</f>
        <v/>
      </c>
      <c r="L47" s="17"/>
      <c r="M47" s="10"/>
      <c r="N47" s="10"/>
      <c r="O47" s="10"/>
      <c r="P47" s="14"/>
      <c r="Q47" s="14"/>
      <c r="T47">
        <v>43</v>
      </c>
      <c r="U47" s="28" t="s">
        <v>165</v>
      </c>
      <c r="V47" t="s">
        <v>77</v>
      </c>
      <c r="W47" s="29" t="s">
        <v>94</v>
      </c>
      <c r="Z47" s="34"/>
      <c r="AA47" s="41"/>
      <c r="AB47" s="33"/>
      <c r="AC47" s="33"/>
      <c r="AD47" s="50"/>
      <c r="AE47" s="54"/>
      <c r="AF47" s="33"/>
      <c r="AG47" s="58"/>
    </row>
    <row r="48" spans="4:33">
      <c r="E48" s="12">
        <f t="shared" si="0"/>
        <v>0</v>
      </c>
      <c r="F48" s="10"/>
      <c r="G48" s="10"/>
      <c r="H48" s="10"/>
      <c r="I48" s="10"/>
      <c r="J48" s="14"/>
      <c r="K48" s="10"/>
      <c r="L48" s="10"/>
      <c r="M48" s="19"/>
      <c r="N48" s="10"/>
      <c r="O48" s="10"/>
      <c r="P48" s="14"/>
      <c r="Q48" s="14"/>
      <c r="T48">
        <v>44</v>
      </c>
      <c r="U48" s="28" t="s">
        <v>95</v>
      </c>
      <c r="V48" t="s">
        <v>77</v>
      </c>
      <c r="W48" s="29" t="s">
        <v>96</v>
      </c>
      <c r="Z48" s="34"/>
      <c r="AA48" s="40"/>
      <c r="AB48" s="40"/>
      <c r="AC48" s="38" t="s">
        <v>159</v>
      </c>
      <c r="AD48" s="48"/>
      <c r="AE48" s="53" t="e">
        <f>LOOKUP(AD48,T$5:T$78,U$5:U$76)</f>
        <v>#N/A</v>
      </c>
      <c r="AF48" s="37" t="s">
        <v>157</v>
      </c>
      <c r="AG48" s="65" t="e">
        <f>LOOKUP(AD48,T$5:T$78,W$5:W$76)</f>
        <v>#N/A</v>
      </c>
    </row>
    <row r="49" spans="4:33" ht="13" thickBot="1">
      <c r="D49">
        <v>21</v>
      </c>
      <c r="E49" s="9">
        <f t="shared" si="0"/>
        <v>21</v>
      </c>
      <c r="F49" s="9"/>
      <c r="G49" s="9">
        <f>E49</f>
        <v>21</v>
      </c>
      <c r="H49" s="11"/>
      <c r="I49" s="10"/>
      <c r="J49" s="14"/>
      <c r="K49" s="10"/>
      <c r="L49" s="10"/>
      <c r="M49" s="19"/>
      <c r="N49" s="10"/>
      <c r="O49" s="10"/>
      <c r="P49" s="14"/>
      <c r="Q49" s="14"/>
      <c r="T49">
        <v>45</v>
      </c>
      <c r="U49" s="28" t="s">
        <v>97</v>
      </c>
      <c r="V49" t="s">
        <v>77</v>
      </c>
      <c r="W49" s="29" t="s">
        <v>98</v>
      </c>
      <c r="Z49" s="34"/>
      <c r="AA49" s="40"/>
      <c r="AB49" s="40"/>
      <c r="AC49" s="38" t="s">
        <v>159</v>
      </c>
      <c r="AD49" s="48"/>
      <c r="AE49" s="53" t="e">
        <f>LOOKUP(AD49,T$5:T$78,U$5:U$76)</f>
        <v>#N/A</v>
      </c>
      <c r="AF49" s="37" t="s">
        <v>157</v>
      </c>
      <c r="AG49" s="65" t="e">
        <f>LOOKUP(AD49,T$5:T$78,W$5:W$76)</f>
        <v>#N/A</v>
      </c>
    </row>
    <row r="50" spans="4:33" ht="13" thickBot="1">
      <c r="E50" s="10">
        <f t="shared" si="0"/>
        <v>0</v>
      </c>
      <c r="F50" s="10"/>
      <c r="G50" s="10"/>
      <c r="H50" s="13" t="s">
        <v>15</v>
      </c>
      <c r="I50" s="9" t="str">
        <f>IF(OR(H49="",H51=""),"",+IF(H49&gt;H51,E49,E51))</f>
        <v/>
      </c>
      <c r="J50" s="16"/>
      <c r="K50" s="10"/>
      <c r="L50" s="10"/>
      <c r="M50" s="19"/>
      <c r="N50" s="10"/>
      <c r="O50" s="10"/>
      <c r="P50" s="14"/>
      <c r="Q50" s="14"/>
      <c r="T50">
        <v>46</v>
      </c>
      <c r="U50" s="28" t="s">
        <v>99</v>
      </c>
      <c r="V50" t="s">
        <v>77</v>
      </c>
      <c r="W50" s="29" t="s">
        <v>100</v>
      </c>
      <c r="Z50" s="34"/>
      <c r="AA50" s="40"/>
      <c r="AB50" s="40"/>
      <c r="AC50" s="38" t="s">
        <v>159</v>
      </c>
      <c r="AD50" s="48"/>
      <c r="AE50" s="53" t="e">
        <f>LOOKUP(AD50,T$5:T$78,U$5:U$76)</f>
        <v>#N/A</v>
      </c>
      <c r="AF50" s="37" t="s">
        <v>157</v>
      </c>
      <c r="AG50" s="65" t="e">
        <f>LOOKUP(AD50,T$5:T$78,W$5:W$76)</f>
        <v>#N/A</v>
      </c>
    </row>
    <row r="51" spans="4:33" ht="13" thickBot="1">
      <c r="D51">
        <v>22</v>
      </c>
      <c r="E51" s="9">
        <f t="shared" si="0"/>
        <v>22</v>
      </c>
      <c r="F51" s="9"/>
      <c r="G51" s="9">
        <f>E51</f>
        <v>22</v>
      </c>
      <c r="H51" s="16"/>
      <c r="I51" s="10"/>
      <c r="J51" s="10"/>
      <c r="K51" s="10"/>
      <c r="L51" s="10"/>
      <c r="M51" s="19"/>
      <c r="N51" s="10"/>
      <c r="O51" s="10"/>
      <c r="P51" s="14"/>
      <c r="Q51" s="14"/>
      <c r="T51">
        <v>47</v>
      </c>
      <c r="U51" s="28" t="s">
        <v>101</v>
      </c>
      <c r="V51" t="s">
        <v>77</v>
      </c>
      <c r="W51" s="29" t="s">
        <v>102</v>
      </c>
      <c r="Z51" s="34"/>
      <c r="AA51" s="40"/>
      <c r="AB51" s="40"/>
      <c r="AC51" s="38" t="s">
        <v>159</v>
      </c>
      <c r="AD51" s="48"/>
      <c r="AE51" s="53" t="e">
        <f>LOOKUP(AD51,T$5:T$78,U$5:U$76)</f>
        <v>#N/A</v>
      </c>
      <c r="AF51" s="37" t="s">
        <v>157</v>
      </c>
      <c r="AG51" s="65" t="e">
        <f>LOOKUP(AD51,T$5:T$78,W$5:W$76)</f>
        <v>#N/A</v>
      </c>
    </row>
    <row r="52" spans="4:33" ht="13" thickBot="1">
      <c r="E52" s="10">
        <f t="shared" si="0"/>
        <v>0</v>
      </c>
      <c r="F52" s="10"/>
      <c r="G52" s="10"/>
      <c r="H52" s="10"/>
      <c r="I52" s="10"/>
      <c r="J52" s="10"/>
      <c r="K52" s="10"/>
      <c r="L52" s="14" t="s">
        <v>56</v>
      </c>
      <c r="M52" s="9" t="str">
        <f>IF(OR(L47="",L56=""),"",+IF(L47&gt;L56,K47,K56))</f>
        <v/>
      </c>
      <c r="N52" s="17"/>
      <c r="O52" s="10"/>
      <c r="P52" s="14"/>
      <c r="Q52" s="14"/>
      <c r="T52">
        <v>48</v>
      </c>
      <c r="U52" s="28" t="s">
        <v>103</v>
      </c>
      <c r="V52" t="s">
        <v>77</v>
      </c>
      <c r="W52" s="29" t="s">
        <v>104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9">
        <f t="shared" si="0"/>
        <v>23</v>
      </c>
      <c r="F53" s="9"/>
      <c r="G53" s="9">
        <f>E53</f>
        <v>23</v>
      </c>
      <c r="H53" s="11"/>
      <c r="I53" s="10"/>
      <c r="J53" s="10"/>
      <c r="K53" s="10"/>
      <c r="L53" s="10"/>
      <c r="M53" s="19"/>
      <c r="N53" s="13"/>
      <c r="O53" s="10"/>
      <c r="P53" s="14"/>
      <c r="Q53" s="14"/>
      <c r="T53">
        <v>49</v>
      </c>
      <c r="U53" s="28" t="s">
        <v>105</v>
      </c>
      <c r="V53" t="s">
        <v>77</v>
      </c>
      <c r="W53" s="29" t="s">
        <v>106</v>
      </c>
      <c r="Z53" s="34"/>
      <c r="AA53" s="40"/>
      <c r="AB53" s="40"/>
      <c r="AC53" s="38" t="s">
        <v>159</v>
      </c>
      <c r="AD53" s="48"/>
      <c r="AE53" s="53" t="e">
        <f>LOOKUP(AD53,T$5:T$78,U$5:U$76)</f>
        <v>#N/A</v>
      </c>
      <c r="AF53" s="37" t="s">
        <v>157</v>
      </c>
      <c r="AG53" s="65" t="e">
        <f>LOOKUP(AD53,T$5:T$78,W$5:W$76)</f>
        <v>#N/A</v>
      </c>
    </row>
    <row r="54" spans="4:33" ht="13" thickBot="1">
      <c r="E54" s="10">
        <f t="shared" si="0"/>
        <v>0</v>
      </c>
      <c r="F54" s="10"/>
      <c r="G54" s="12"/>
      <c r="H54" s="13" t="s">
        <v>16</v>
      </c>
      <c r="I54" s="9" t="str">
        <f>IF(OR(H53="",H55=""),"",+IF(H53&gt;H55,E53,E55))</f>
        <v/>
      </c>
      <c r="J54" s="17"/>
      <c r="K54" s="10"/>
      <c r="L54" s="10"/>
      <c r="M54" s="19"/>
      <c r="N54" s="14"/>
      <c r="O54" s="10"/>
      <c r="P54" s="14"/>
      <c r="Q54" s="14"/>
      <c r="T54">
        <v>50</v>
      </c>
      <c r="U54" s="28" t="s">
        <v>107</v>
      </c>
      <c r="V54" t="s">
        <v>77</v>
      </c>
      <c r="W54" s="29" t="s">
        <v>108</v>
      </c>
      <c r="Z54" s="34"/>
      <c r="AA54" s="40"/>
      <c r="AB54" s="40"/>
      <c r="AC54" s="38" t="s">
        <v>159</v>
      </c>
      <c r="AD54" s="48"/>
      <c r="AE54" s="53" t="e">
        <f>LOOKUP(AD54,T$5:T$78,U$5:U$76)</f>
        <v>#N/A</v>
      </c>
      <c r="AF54" s="37" t="s">
        <v>157</v>
      </c>
      <c r="AG54" s="65" t="e">
        <f>LOOKUP(AD54,T$5:T$78,W$5:W$76)</f>
        <v>#N/A</v>
      </c>
    </row>
    <row r="55" spans="4:33" ht="13" thickBot="1">
      <c r="D55">
        <v>24</v>
      </c>
      <c r="E55" s="9">
        <f t="shared" si="0"/>
        <v>24</v>
      </c>
      <c r="F55" s="9"/>
      <c r="G55" s="9">
        <f>E55</f>
        <v>24</v>
      </c>
      <c r="H55" s="16"/>
      <c r="I55" s="10"/>
      <c r="J55" s="14"/>
      <c r="K55" s="10"/>
      <c r="L55" s="10"/>
      <c r="M55" s="19"/>
      <c r="N55" s="14"/>
      <c r="O55" s="10"/>
      <c r="P55" s="14"/>
      <c r="Q55" s="14"/>
      <c r="T55">
        <v>51</v>
      </c>
      <c r="U55" s="28" t="s">
        <v>109</v>
      </c>
      <c r="V55" t="s">
        <v>77</v>
      </c>
      <c r="W55" s="29" t="s">
        <v>110</v>
      </c>
      <c r="Z55" s="34"/>
      <c r="AA55" s="40"/>
      <c r="AB55" s="40"/>
      <c r="AC55" s="38" t="s">
        <v>159</v>
      </c>
      <c r="AD55" s="48"/>
      <c r="AE55" s="53" t="e">
        <f>LOOKUP(AD55,T$5:T$78,U$5:U$76)</f>
        <v>#N/A</v>
      </c>
      <c r="AF55" s="37" t="s">
        <v>157</v>
      </c>
      <c r="AG55" s="65" t="e">
        <f>LOOKUP(AD55,T$5:T$78,W$5:W$76)</f>
        <v>#N/A</v>
      </c>
    </row>
    <row r="56" spans="4:33" ht="13" thickBot="1">
      <c r="E56" s="10">
        <f t="shared" si="0"/>
        <v>0</v>
      </c>
      <c r="F56" s="10"/>
      <c r="G56" s="12"/>
      <c r="H56" s="10"/>
      <c r="I56" s="10"/>
      <c r="J56" s="14" t="s">
        <v>43</v>
      </c>
      <c r="K56" s="9" t="str">
        <f>IF(OR(J54="",J58=""),"",+IF(J54&gt;J58,I54,I58))</f>
        <v/>
      </c>
      <c r="L56" s="16"/>
      <c r="M56" s="19"/>
      <c r="N56" s="14"/>
      <c r="O56" s="10"/>
      <c r="P56" s="14"/>
      <c r="Q56" s="14"/>
      <c r="T56">
        <v>52</v>
      </c>
      <c r="U56" s="28" t="s">
        <v>111</v>
      </c>
      <c r="V56" t="s">
        <v>77</v>
      </c>
      <c r="W56" s="29" t="s">
        <v>112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9">
        <f t="shared" si="0"/>
        <v>25</v>
      </c>
      <c r="F57" s="9"/>
      <c r="G57" s="9">
        <f>E57</f>
        <v>25</v>
      </c>
      <c r="H57" s="11"/>
      <c r="I57" s="10"/>
      <c r="J57" s="14"/>
      <c r="K57" s="10"/>
      <c r="L57" s="10"/>
      <c r="M57" s="10"/>
      <c r="N57" s="14"/>
      <c r="O57" s="10"/>
      <c r="P57" s="14"/>
      <c r="Q57" s="14"/>
      <c r="T57">
        <v>53</v>
      </c>
      <c r="U57" s="28" t="s">
        <v>113</v>
      </c>
      <c r="V57" t="s">
        <v>77</v>
      </c>
      <c r="W57" s="29" t="s">
        <v>114</v>
      </c>
    </row>
    <row r="58" spans="4:33" ht="13" thickBot="1">
      <c r="E58" s="10">
        <f t="shared" si="0"/>
        <v>0</v>
      </c>
      <c r="F58" s="10"/>
      <c r="G58" s="12"/>
      <c r="H58" s="13" t="s">
        <v>17</v>
      </c>
      <c r="I58" s="9" t="str">
        <f>IF(OR(H57="",H59=""),"",+IF(H57&gt;H59,E57,E59))</f>
        <v/>
      </c>
      <c r="J58" s="16"/>
      <c r="K58" s="10"/>
      <c r="L58" s="10"/>
      <c r="M58" s="10"/>
      <c r="N58" s="14"/>
      <c r="O58" s="10"/>
      <c r="P58" s="14"/>
      <c r="Q58" s="14"/>
      <c r="T58">
        <v>54</v>
      </c>
      <c r="U58" s="28" t="s">
        <v>115</v>
      </c>
      <c r="V58" t="s">
        <v>77</v>
      </c>
      <c r="W58" s="29" t="s">
        <v>116</v>
      </c>
    </row>
    <row r="59" spans="4:33" ht="13" thickBot="1">
      <c r="D59">
        <v>26</v>
      </c>
      <c r="E59" s="9">
        <f t="shared" si="0"/>
        <v>26</v>
      </c>
      <c r="F59" s="9"/>
      <c r="G59" s="9">
        <f>E59</f>
        <v>26</v>
      </c>
      <c r="H59" s="16"/>
      <c r="I59" s="10"/>
      <c r="J59" s="10"/>
      <c r="K59" s="10"/>
      <c r="L59" s="10"/>
      <c r="M59" s="10"/>
      <c r="N59" s="14"/>
      <c r="O59" s="10"/>
      <c r="P59" s="14"/>
      <c r="Q59" s="14"/>
      <c r="T59">
        <v>55</v>
      </c>
      <c r="U59" s="28" t="s">
        <v>117</v>
      </c>
      <c r="V59" t="s">
        <v>77</v>
      </c>
      <c r="W59" s="29" t="s">
        <v>118</v>
      </c>
    </row>
    <row r="60" spans="4:33" ht="13" thickBot="1">
      <c r="E60" s="10">
        <f t="shared" si="0"/>
        <v>0</v>
      </c>
      <c r="F60" s="10"/>
      <c r="G60" s="10"/>
      <c r="H60" s="10"/>
      <c r="I60" s="10"/>
      <c r="J60" s="10"/>
      <c r="K60" s="10"/>
      <c r="L60" s="10"/>
      <c r="M60" s="10"/>
      <c r="N60" s="14" t="s">
        <v>63</v>
      </c>
      <c r="O60" s="9" t="str">
        <f>IF(OR(N52="",N68=""),"",+IF(N52&gt;N68,M52,M68))</f>
        <v/>
      </c>
      <c r="P60" s="16"/>
      <c r="Q60" s="14"/>
      <c r="T60">
        <v>56</v>
      </c>
      <c r="U60" s="28" t="s">
        <v>119</v>
      </c>
      <c r="V60" t="s">
        <v>77</v>
      </c>
      <c r="W60" s="29" t="s">
        <v>120</v>
      </c>
    </row>
    <row r="61" spans="4:33" ht="13" thickBot="1">
      <c r="D61">
        <v>27</v>
      </c>
      <c r="E61" s="9">
        <f t="shared" si="0"/>
        <v>27</v>
      </c>
      <c r="F61" s="9"/>
      <c r="G61" s="9">
        <f>E61</f>
        <v>27</v>
      </c>
      <c r="H61" s="11"/>
      <c r="I61" s="10"/>
      <c r="J61" s="10"/>
      <c r="K61" s="10"/>
      <c r="L61" s="10"/>
      <c r="M61" s="10"/>
      <c r="N61" s="14"/>
      <c r="O61" s="10"/>
      <c r="P61" s="10"/>
      <c r="Q61" s="14"/>
      <c r="T61">
        <v>57</v>
      </c>
      <c r="U61" s="28" t="s">
        <v>121</v>
      </c>
      <c r="V61" t="s">
        <v>77</v>
      </c>
      <c r="W61" s="29" t="s">
        <v>122</v>
      </c>
    </row>
    <row r="62" spans="4:33" ht="13" thickBot="1">
      <c r="E62" s="10">
        <f t="shared" si="0"/>
        <v>0</v>
      </c>
      <c r="F62" s="10"/>
      <c r="G62" s="10"/>
      <c r="H62" s="13" t="s">
        <v>18</v>
      </c>
      <c r="I62" s="9" t="str">
        <f>IF(OR(H61="",H63=""),"",+IF(H61&gt;H63,E61,E63))</f>
        <v/>
      </c>
      <c r="J62" s="17"/>
      <c r="K62" s="10"/>
      <c r="L62" s="10"/>
      <c r="M62" s="10"/>
      <c r="N62" s="14"/>
      <c r="O62" s="10"/>
      <c r="P62" s="10"/>
      <c r="Q62" s="14"/>
      <c r="T62">
        <v>58</v>
      </c>
      <c r="U62" s="28" t="s">
        <v>123</v>
      </c>
      <c r="V62" t="s">
        <v>77</v>
      </c>
      <c r="W62" s="29" t="s">
        <v>124</v>
      </c>
    </row>
    <row r="63" spans="4:33" ht="13" thickBot="1">
      <c r="D63">
        <v>28</v>
      </c>
      <c r="E63" s="9">
        <f t="shared" si="0"/>
        <v>28</v>
      </c>
      <c r="F63" s="9"/>
      <c r="G63" s="9">
        <f>E63</f>
        <v>28</v>
      </c>
      <c r="H63" s="16"/>
      <c r="I63" s="10"/>
      <c r="J63" s="14"/>
      <c r="K63" s="10"/>
      <c r="L63" s="10"/>
      <c r="M63" s="10"/>
      <c r="N63" s="14"/>
      <c r="O63" s="10"/>
      <c r="P63" s="10"/>
      <c r="Q63" s="14"/>
      <c r="T63">
        <v>59</v>
      </c>
      <c r="U63" s="28" t="s">
        <v>125</v>
      </c>
      <c r="V63" t="s">
        <v>77</v>
      </c>
      <c r="W63" s="29" t="s">
        <v>126</v>
      </c>
    </row>
    <row r="64" spans="4:33" ht="13" thickBot="1">
      <c r="E64" s="10">
        <f t="shared" si="0"/>
        <v>0</v>
      </c>
      <c r="F64" s="10"/>
      <c r="G64" s="10"/>
      <c r="H64" s="10"/>
      <c r="I64" s="10"/>
      <c r="J64" s="14" t="s">
        <v>44</v>
      </c>
      <c r="K64" s="9" t="str">
        <f>IF(OR(J62="",J66=""),"",+IF(J62&gt;J66,I62,I66))</f>
        <v/>
      </c>
      <c r="L64" s="17"/>
      <c r="M64" s="10"/>
      <c r="N64" s="14"/>
      <c r="O64" s="10"/>
      <c r="P64" s="10"/>
      <c r="Q64" s="14"/>
      <c r="T64">
        <v>60</v>
      </c>
      <c r="U64" s="28" t="s">
        <v>127</v>
      </c>
      <c r="V64" t="s">
        <v>77</v>
      </c>
      <c r="W64" s="29" t="s">
        <v>130</v>
      </c>
    </row>
    <row r="65" spans="4:23" ht="13" thickBot="1">
      <c r="D65">
        <v>29</v>
      </c>
      <c r="E65" s="9">
        <f t="shared" si="0"/>
        <v>29</v>
      </c>
      <c r="F65" s="9"/>
      <c r="G65" s="9">
        <f>E65</f>
        <v>29</v>
      </c>
      <c r="H65" s="11"/>
      <c r="I65" s="10"/>
      <c r="J65" s="14"/>
      <c r="K65" s="10"/>
      <c r="L65" s="13"/>
      <c r="M65" s="10"/>
      <c r="N65" s="14"/>
      <c r="O65" s="10"/>
      <c r="P65" s="10"/>
      <c r="Q65" s="14"/>
      <c r="T65">
        <v>61</v>
      </c>
      <c r="U65" s="28" t="s">
        <v>128</v>
      </c>
      <c r="V65" t="s">
        <v>77</v>
      </c>
      <c r="W65" s="29" t="s">
        <v>129</v>
      </c>
    </row>
    <row r="66" spans="4:23" ht="13" thickBot="1">
      <c r="E66" s="10">
        <f t="shared" si="0"/>
        <v>0</v>
      </c>
      <c r="F66" s="10"/>
      <c r="G66" s="10"/>
      <c r="H66" s="13" t="s">
        <v>19</v>
      </c>
      <c r="I66" s="9" t="str">
        <f>IF(OR(H65="",H67=""),"",+IF(H65&gt;H67,E65,E67))</f>
        <v/>
      </c>
      <c r="J66" s="16"/>
      <c r="K66" s="10"/>
      <c r="L66" s="14"/>
      <c r="M66" s="10"/>
      <c r="N66" s="14"/>
      <c r="O66" s="10"/>
      <c r="P66" s="10"/>
      <c r="Q66" s="14"/>
      <c r="T66">
        <v>62</v>
      </c>
      <c r="U66" s="28" t="s">
        <v>131</v>
      </c>
      <c r="V66" t="s">
        <v>77</v>
      </c>
      <c r="W66" s="29" t="s">
        <v>132</v>
      </c>
    </row>
    <row r="67" spans="4:23" ht="13" thickBot="1">
      <c r="D67">
        <v>30</v>
      </c>
      <c r="E67" s="9">
        <f t="shared" si="0"/>
        <v>30</v>
      </c>
      <c r="F67" s="9"/>
      <c r="G67" s="9">
        <f>E67</f>
        <v>30</v>
      </c>
      <c r="H67" s="16"/>
      <c r="I67" s="10"/>
      <c r="J67" s="10"/>
      <c r="K67" s="10"/>
      <c r="L67" s="14"/>
      <c r="M67" s="10"/>
      <c r="N67" s="14"/>
      <c r="O67" s="10"/>
      <c r="P67" s="10"/>
      <c r="Q67" s="14"/>
      <c r="T67">
        <v>63</v>
      </c>
      <c r="U67" s="28" t="s">
        <v>133</v>
      </c>
      <c r="V67" t="s">
        <v>77</v>
      </c>
      <c r="W67" s="29" t="s">
        <v>134</v>
      </c>
    </row>
    <row r="68" spans="4:23" ht="13" thickBot="1">
      <c r="E68" s="10">
        <f t="shared" si="0"/>
        <v>0</v>
      </c>
      <c r="F68" s="10"/>
      <c r="G68" s="10"/>
      <c r="H68" s="10"/>
      <c r="I68" s="10"/>
      <c r="J68" s="10"/>
      <c r="K68" s="10"/>
      <c r="L68" s="14" t="s">
        <v>57</v>
      </c>
      <c r="M68" s="9" t="str">
        <f>IF(OR(L64="",L72=""),"",+IF(L64&gt;L72,K64,K72))</f>
        <v/>
      </c>
      <c r="N68" s="16"/>
      <c r="O68" s="10"/>
      <c r="P68" s="10"/>
      <c r="Q68" s="14"/>
      <c r="T68">
        <v>64</v>
      </c>
      <c r="U68" s="28" t="s">
        <v>135</v>
      </c>
      <c r="V68" t="s">
        <v>77</v>
      </c>
      <c r="W68" s="29" t="s">
        <v>136</v>
      </c>
    </row>
    <row r="69" spans="4:23" ht="13" thickBot="1">
      <c r="D69">
        <v>31</v>
      </c>
      <c r="E69" s="9">
        <f t="shared" si="0"/>
        <v>31</v>
      </c>
      <c r="F69" s="9"/>
      <c r="G69" s="9">
        <f>E69</f>
        <v>31</v>
      </c>
      <c r="H69" s="11"/>
      <c r="I69" s="10"/>
      <c r="J69" s="10"/>
      <c r="K69" s="10"/>
      <c r="L69" s="14"/>
      <c r="M69" s="10"/>
      <c r="N69" s="10"/>
      <c r="O69" s="10"/>
      <c r="P69" s="10"/>
      <c r="Q69" s="14"/>
      <c r="T69">
        <v>65</v>
      </c>
      <c r="U69" s="28" t="s">
        <v>137</v>
      </c>
      <c r="V69" t="s">
        <v>77</v>
      </c>
      <c r="W69" s="29" t="s">
        <v>138</v>
      </c>
    </row>
    <row r="70" spans="4:23" ht="13" thickBot="1">
      <c r="E70" s="10">
        <f t="shared" si="0"/>
        <v>0</v>
      </c>
      <c r="F70" s="10"/>
      <c r="G70" s="10"/>
      <c r="H70" s="13" t="s">
        <v>20</v>
      </c>
      <c r="I70" s="9" t="str">
        <f>IF(OR(H69="",H71=""),"",+IF(H69&gt;H71,E69,E71))</f>
        <v/>
      </c>
      <c r="J70" s="17"/>
      <c r="K70" s="10"/>
      <c r="L70" s="14"/>
      <c r="M70" s="10"/>
      <c r="N70" s="10"/>
      <c r="O70" s="10"/>
      <c r="P70" s="10"/>
      <c r="Q70" s="14"/>
      <c r="T70">
        <v>66</v>
      </c>
      <c r="U70" s="28" t="s">
        <v>144</v>
      </c>
      <c r="V70" t="s">
        <v>77</v>
      </c>
      <c r="W70" s="29" t="s">
        <v>139</v>
      </c>
    </row>
    <row r="71" spans="4:23" ht="13" thickBot="1">
      <c r="D71">
        <v>32</v>
      </c>
      <c r="E71" s="9">
        <f t="shared" si="0"/>
        <v>32</v>
      </c>
      <c r="F71" s="9"/>
      <c r="G71" s="9">
        <f>E71</f>
        <v>32</v>
      </c>
      <c r="H71" s="16"/>
      <c r="I71" s="10"/>
      <c r="J71" s="14"/>
      <c r="K71" s="10"/>
      <c r="L71" s="14"/>
      <c r="M71" s="10"/>
      <c r="N71" s="10"/>
      <c r="O71" s="10"/>
      <c r="P71" s="10"/>
      <c r="Q71" s="14"/>
      <c r="T71">
        <v>67</v>
      </c>
      <c r="U71" s="28" t="s">
        <v>140</v>
      </c>
      <c r="V71" t="s">
        <v>77</v>
      </c>
      <c r="W71" s="29" t="s">
        <v>141</v>
      </c>
    </row>
    <row r="72" spans="4:23" ht="13" thickBot="1">
      <c r="E72" s="10">
        <f t="shared" si="0"/>
        <v>0</v>
      </c>
      <c r="F72" s="10"/>
      <c r="G72" s="10"/>
      <c r="H72" s="10"/>
      <c r="I72" s="10"/>
      <c r="J72" s="14" t="s">
        <v>45</v>
      </c>
      <c r="K72" s="9" t="str">
        <f>IF(OR(J70="",J74=""),"",+IF(J70&gt;J74,I70,I74))</f>
        <v/>
      </c>
      <c r="L72" s="16"/>
      <c r="M72" s="10"/>
      <c r="N72" s="10"/>
      <c r="O72" s="10"/>
      <c r="P72" s="10"/>
      <c r="Q72" s="14"/>
      <c r="T72">
        <v>68</v>
      </c>
      <c r="U72" s="28" t="s">
        <v>143</v>
      </c>
      <c r="V72" t="s">
        <v>77</v>
      </c>
      <c r="W72" s="29" t="s">
        <v>142</v>
      </c>
    </row>
    <row r="73" spans="4:23" ht="13" thickBot="1">
      <c r="D73">
        <v>33</v>
      </c>
      <c r="E73" s="21">
        <f t="shared" si="0"/>
        <v>33</v>
      </c>
      <c r="F73" s="9"/>
      <c r="G73" s="9">
        <f>E73</f>
        <v>33</v>
      </c>
      <c r="H73" s="11"/>
      <c r="I73" s="10"/>
      <c r="J73" s="14"/>
      <c r="K73" s="10"/>
      <c r="L73" s="10"/>
      <c r="M73" s="10"/>
      <c r="N73" s="10"/>
      <c r="O73" s="10"/>
      <c r="P73" s="10"/>
      <c r="Q73" s="14"/>
    </row>
    <row r="74" spans="4:23" ht="13" thickBot="1">
      <c r="E74" s="10">
        <f t="shared" ref="E74:E137" si="1">D74</f>
        <v>0</v>
      </c>
      <c r="F74" s="10"/>
      <c r="G74" s="10"/>
      <c r="H74" s="13" t="s">
        <v>21</v>
      </c>
      <c r="I74" s="9" t="str">
        <f>IF(OR(H73="",H75=""),"",+IF(H73&gt;H75,E73,E75))</f>
        <v/>
      </c>
      <c r="J74" s="16"/>
      <c r="K74" s="10"/>
      <c r="L74" s="10"/>
      <c r="M74" s="10"/>
      <c r="N74" s="10"/>
      <c r="O74" s="10"/>
      <c r="P74" s="10"/>
      <c r="Q74" s="14"/>
    </row>
    <row r="75" spans="4:23" ht="13" thickBot="1">
      <c r="D75">
        <v>34</v>
      </c>
      <c r="E75" s="9">
        <f t="shared" si="1"/>
        <v>34</v>
      </c>
      <c r="F75" s="9"/>
      <c r="G75" s="9">
        <f>E75</f>
        <v>34</v>
      </c>
      <c r="H75" s="16"/>
      <c r="I75" s="10"/>
      <c r="J75" s="10"/>
      <c r="K75" s="10"/>
      <c r="L75" s="10"/>
      <c r="M75" s="10"/>
      <c r="N75" s="10"/>
      <c r="O75" s="10"/>
      <c r="P75" s="10"/>
      <c r="Q75" s="14"/>
    </row>
    <row r="76" spans="4:23">
      <c r="E76">
        <f t="shared" si="1"/>
        <v>0</v>
      </c>
      <c r="Q76" s="6"/>
    </row>
    <row r="77" spans="4:23" ht="13" thickBot="1">
      <c r="E77">
        <f t="shared" si="1"/>
        <v>0</v>
      </c>
      <c r="Q77" s="68" t="s">
        <v>68</v>
      </c>
      <c r="R77" s="27"/>
    </row>
    <row r="78" spans="4:23" ht="13" thickBot="1">
      <c r="D78">
        <v>35</v>
      </c>
      <c r="E78" s="9">
        <f t="shared" si="1"/>
        <v>35</v>
      </c>
      <c r="F78" s="9"/>
      <c r="G78" s="9">
        <f>E78</f>
        <v>35</v>
      </c>
      <c r="H78" s="11"/>
      <c r="I78" s="10"/>
      <c r="J78" s="10"/>
      <c r="K78" s="10"/>
      <c r="L78" s="10"/>
      <c r="M78" s="10"/>
      <c r="N78" s="10"/>
      <c r="O78" s="10"/>
      <c r="P78" s="10"/>
      <c r="Q78" s="14"/>
    </row>
    <row r="79" spans="4:23">
      <c r="E79" s="12">
        <f t="shared" si="1"/>
        <v>0</v>
      </c>
      <c r="F79" s="10"/>
      <c r="G79" s="10"/>
      <c r="H79" s="13"/>
      <c r="I79" s="10"/>
      <c r="J79" s="10"/>
      <c r="K79" s="10"/>
      <c r="L79" s="10"/>
      <c r="M79" s="10"/>
      <c r="N79" s="10"/>
      <c r="O79" s="10"/>
      <c r="P79" s="10"/>
      <c r="Q79" s="14"/>
    </row>
    <row r="80" spans="4:23" ht="13" thickBot="1">
      <c r="E80" s="10">
        <f t="shared" si="1"/>
        <v>0</v>
      </c>
      <c r="F80" s="10"/>
      <c r="G80" s="10"/>
      <c r="H80" s="14" t="s">
        <v>22</v>
      </c>
      <c r="I80" s="9" t="str">
        <f>IF(OR(H78="",H82=""),"",+IF(H78&gt;H82,E78,G82))</f>
        <v/>
      </c>
      <c r="J80" s="11"/>
      <c r="K80" s="10"/>
      <c r="L80" s="10"/>
      <c r="M80" s="10"/>
      <c r="N80" s="10"/>
      <c r="O80" s="10"/>
      <c r="P80" s="10"/>
      <c r="Q80" s="14"/>
    </row>
    <row r="81" spans="4:17" ht="13" thickBot="1">
      <c r="D81">
        <v>36</v>
      </c>
      <c r="E81" s="10">
        <f t="shared" si="1"/>
        <v>36</v>
      </c>
      <c r="F81" s="11"/>
      <c r="G81" s="10"/>
      <c r="H81" s="14"/>
      <c r="I81" s="10"/>
      <c r="J81" s="13"/>
      <c r="K81" s="10"/>
      <c r="L81" s="10"/>
      <c r="M81" s="10"/>
      <c r="N81" s="10"/>
      <c r="O81" s="10"/>
      <c r="P81" s="10"/>
      <c r="Q81" s="14"/>
    </row>
    <row r="82" spans="4:17" ht="13" thickBot="1">
      <c r="E82" s="12">
        <f t="shared" si="1"/>
        <v>0</v>
      </c>
      <c r="F82" s="13" t="s">
        <v>3</v>
      </c>
      <c r="G82" s="9" t="str">
        <f>IF(OR(F81="",F83=""),"",+IF(F81&gt;F83,E81,E83))</f>
        <v/>
      </c>
      <c r="H82" s="16"/>
      <c r="I82" s="10"/>
      <c r="J82" s="14"/>
      <c r="K82" s="10"/>
      <c r="L82" s="10"/>
      <c r="M82" s="10"/>
      <c r="N82" s="10"/>
      <c r="O82" s="10"/>
      <c r="P82" s="10"/>
      <c r="Q82" s="14"/>
    </row>
    <row r="83" spans="4:17" ht="13" thickBot="1">
      <c r="D83">
        <v>37</v>
      </c>
      <c r="E83" s="10">
        <f t="shared" si="1"/>
        <v>37</v>
      </c>
      <c r="F83" s="16"/>
      <c r="G83" s="10"/>
      <c r="H83" s="10"/>
      <c r="I83" s="10"/>
      <c r="J83" s="14" t="s">
        <v>46</v>
      </c>
      <c r="K83" s="9" t="str">
        <f>IF(OR(J80="",J86=""),"",+IF(J80&gt;J86,I80,I86))</f>
        <v/>
      </c>
      <c r="L83" s="17"/>
      <c r="M83" s="10"/>
      <c r="N83" s="10"/>
      <c r="O83" s="10"/>
      <c r="P83" s="10"/>
      <c r="Q83" s="14"/>
    </row>
    <row r="84" spans="4:17">
      <c r="E84" s="12">
        <f t="shared" si="1"/>
        <v>0</v>
      </c>
      <c r="F84" s="10"/>
      <c r="G84" s="10"/>
      <c r="H84" s="10"/>
      <c r="I84" s="10"/>
      <c r="J84" s="14"/>
      <c r="K84" s="10"/>
      <c r="L84" s="10"/>
      <c r="M84" s="19"/>
      <c r="N84" s="10"/>
      <c r="O84" s="10"/>
      <c r="P84" s="10"/>
      <c r="Q84" s="14"/>
    </row>
    <row r="85" spans="4:17" ht="13" thickBot="1">
      <c r="D85">
        <v>38</v>
      </c>
      <c r="E85" s="9">
        <f t="shared" si="1"/>
        <v>38</v>
      </c>
      <c r="F85" s="9"/>
      <c r="G85" s="9">
        <f>E85</f>
        <v>38</v>
      </c>
      <c r="H85" s="11"/>
      <c r="I85" s="10"/>
      <c r="J85" s="14"/>
      <c r="K85" s="10"/>
      <c r="L85" s="10"/>
      <c r="M85" s="19"/>
      <c r="N85" s="10"/>
      <c r="O85" s="10"/>
      <c r="P85" s="10"/>
      <c r="Q85" s="14"/>
    </row>
    <row r="86" spans="4:17" ht="13" thickBot="1">
      <c r="E86" s="10">
        <f t="shared" si="1"/>
        <v>0</v>
      </c>
      <c r="F86" s="10"/>
      <c r="G86" s="10"/>
      <c r="H86" s="13" t="s">
        <v>23</v>
      </c>
      <c r="I86" s="9" t="str">
        <f>IF(OR(H85="",H87=""),"",+IF(H85&gt;H87,E85,E87))</f>
        <v/>
      </c>
      <c r="J86" s="16"/>
      <c r="K86" s="10"/>
      <c r="L86" s="10"/>
      <c r="M86" s="19"/>
      <c r="N86" s="10"/>
      <c r="O86" s="10"/>
      <c r="P86" s="10"/>
      <c r="Q86" s="14"/>
    </row>
    <row r="87" spans="4:17" ht="13" thickBot="1">
      <c r="D87">
        <v>39</v>
      </c>
      <c r="E87" s="9">
        <f t="shared" si="1"/>
        <v>39</v>
      </c>
      <c r="F87" s="9"/>
      <c r="G87" s="9">
        <f>E87</f>
        <v>39</v>
      </c>
      <c r="H87" s="16"/>
      <c r="I87" s="10"/>
      <c r="J87" s="10"/>
      <c r="K87" s="10"/>
      <c r="L87" s="10"/>
      <c r="M87" s="19"/>
      <c r="N87" s="10"/>
      <c r="O87" s="10"/>
      <c r="P87" s="10"/>
      <c r="Q87" s="14"/>
    </row>
    <row r="88" spans="4:17" ht="13" thickBot="1">
      <c r="E88" s="10">
        <f t="shared" si="1"/>
        <v>0</v>
      </c>
      <c r="F88" s="10"/>
      <c r="G88" s="10"/>
      <c r="H88" s="10"/>
      <c r="I88" s="10"/>
      <c r="J88" s="10"/>
      <c r="K88" s="10"/>
      <c r="L88" s="14" t="s">
        <v>58</v>
      </c>
      <c r="M88" s="9" t="str">
        <f>IF(OR(L83="",L92=""),"",+IF(L83&gt;L92,K83,K92))</f>
        <v/>
      </c>
      <c r="N88" s="17"/>
      <c r="O88" s="10"/>
      <c r="P88" s="10"/>
      <c r="Q88" s="14"/>
    </row>
    <row r="89" spans="4:17" ht="13" thickBot="1">
      <c r="D89">
        <v>40</v>
      </c>
      <c r="E89" s="9">
        <f t="shared" si="1"/>
        <v>40</v>
      </c>
      <c r="F89" s="9"/>
      <c r="G89" s="9">
        <f>E89</f>
        <v>40</v>
      </c>
      <c r="H89" s="11"/>
      <c r="I89" s="10"/>
      <c r="J89" s="10"/>
      <c r="K89" s="10"/>
      <c r="L89" s="10"/>
      <c r="M89" s="19"/>
      <c r="N89" s="13"/>
      <c r="O89" s="10"/>
      <c r="P89" s="10"/>
      <c r="Q89" s="14"/>
    </row>
    <row r="90" spans="4:17" ht="13" thickBot="1">
      <c r="E90" s="10">
        <f t="shared" si="1"/>
        <v>0</v>
      </c>
      <c r="F90" s="10"/>
      <c r="G90" s="12"/>
      <c r="H90" s="13" t="s">
        <v>24</v>
      </c>
      <c r="I90" s="9" t="str">
        <f>IF(OR(H89="",H91=""),"",+IF(H89&gt;H91,E89,E91))</f>
        <v/>
      </c>
      <c r="J90" s="17"/>
      <c r="K90" s="10"/>
      <c r="L90" s="10"/>
      <c r="M90" s="19"/>
      <c r="N90" s="14"/>
      <c r="O90" s="10"/>
      <c r="P90" s="10"/>
      <c r="Q90" s="14"/>
    </row>
    <row r="91" spans="4:17" ht="13" thickBot="1">
      <c r="D91">
        <v>41</v>
      </c>
      <c r="E91" s="9">
        <f t="shared" si="1"/>
        <v>41</v>
      </c>
      <c r="F91" s="9"/>
      <c r="G91" s="9">
        <f>E91</f>
        <v>41</v>
      </c>
      <c r="H91" s="16"/>
      <c r="I91" s="10"/>
      <c r="J91" s="14"/>
      <c r="K91" s="10"/>
      <c r="L91" s="10"/>
      <c r="M91" s="19"/>
      <c r="N91" s="14"/>
      <c r="O91" s="10"/>
      <c r="P91" s="10"/>
      <c r="Q91" s="14"/>
    </row>
    <row r="92" spans="4:17" ht="13" thickBot="1">
      <c r="E92" s="10">
        <f t="shared" si="1"/>
        <v>0</v>
      </c>
      <c r="F92" s="10"/>
      <c r="G92" s="12"/>
      <c r="H92" s="10"/>
      <c r="I92" s="10"/>
      <c r="J92" s="14" t="s">
        <v>47</v>
      </c>
      <c r="K92" s="9" t="str">
        <f>IF(OR(J90="",J94=""),"",+IF(J90&gt;J94,I90,I94))</f>
        <v/>
      </c>
      <c r="L92" s="16"/>
      <c r="M92" s="19"/>
      <c r="N92" s="14"/>
      <c r="O92" s="10"/>
      <c r="P92" s="10"/>
      <c r="Q92" s="14"/>
    </row>
    <row r="93" spans="4:17" ht="13" thickBot="1">
      <c r="D93">
        <v>42</v>
      </c>
      <c r="E93" s="9">
        <f t="shared" si="1"/>
        <v>42</v>
      </c>
      <c r="F93" s="9"/>
      <c r="G93" s="9">
        <f>E93</f>
        <v>42</v>
      </c>
      <c r="H93" s="11"/>
      <c r="I93" s="10"/>
      <c r="J93" s="14"/>
      <c r="K93" s="10"/>
      <c r="L93" s="10"/>
      <c r="M93" s="10"/>
      <c r="N93" s="14"/>
      <c r="O93" s="10"/>
      <c r="P93" s="10"/>
      <c r="Q93" s="14"/>
    </row>
    <row r="94" spans="4:17" ht="13" thickBot="1">
      <c r="E94" s="10">
        <f t="shared" si="1"/>
        <v>0</v>
      </c>
      <c r="F94" s="10"/>
      <c r="G94" s="12"/>
      <c r="H94" s="13" t="s">
        <v>25</v>
      </c>
      <c r="I94" s="9" t="str">
        <f>IF(OR(H93="",H95=""),"",+IF(H93&gt;H95,E93,E95))</f>
        <v/>
      </c>
      <c r="J94" s="16"/>
      <c r="K94" s="10"/>
      <c r="L94" s="10"/>
      <c r="M94" s="10"/>
      <c r="N94" s="14"/>
      <c r="O94" s="10"/>
      <c r="P94" s="10"/>
      <c r="Q94" s="14"/>
    </row>
    <row r="95" spans="4:17" ht="13" thickBot="1">
      <c r="D95">
        <v>43</v>
      </c>
      <c r="E95" s="9">
        <f t="shared" si="1"/>
        <v>43</v>
      </c>
      <c r="F95" s="9"/>
      <c r="G95" s="9">
        <f>E95</f>
        <v>43</v>
      </c>
      <c r="H95" s="16"/>
      <c r="I95" s="10"/>
      <c r="J95" s="10"/>
      <c r="K95" s="10"/>
      <c r="L95" s="10"/>
      <c r="M95" s="10"/>
      <c r="N95" s="14"/>
      <c r="O95" s="10"/>
      <c r="P95" s="10"/>
      <c r="Q95" s="14"/>
    </row>
    <row r="96" spans="4:17" ht="13" thickBot="1">
      <c r="E96" s="10">
        <f t="shared" si="1"/>
        <v>0</v>
      </c>
      <c r="F96" s="10"/>
      <c r="G96" s="10"/>
      <c r="H96" s="10"/>
      <c r="I96" s="10"/>
      <c r="J96" s="10"/>
      <c r="K96" s="10"/>
      <c r="L96" s="10"/>
      <c r="M96" s="10"/>
      <c r="N96" s="14" t="s">
        <v>64</v>
      </c>
      <c r="O96" s="9" t="str">
        <f>IF(OR(N88="",N104=""),"",+IF(N88&gt;N104,M88,M104))</f>
        <v/>
      </c>
      <c r="P96" s="17"/>
      <c r="Q96" s="14"/>
    </row>
    <row r="97" spans="4:17" ht="13" thickBot="1">
      <c r="D97">
        <v>44</v>
      </c>
      <c r="E97" s="9">
        <f t="shared" si="1"/>
        <v>44</v>
      </c>
      <c r="F97" s="9"/>
      <c r="G97" s="9">
        <f>E97</f>
        <v>44</v>
      </c>
      <c r="H97" s="11"/>
      <c r="I97" s="10"/>
      <c r="J97" s="10"/>
      <c r="K97" s="10"/>
      <c r="L97" s="10"/>
      <c r="M97" s="10"/>
      <c r="N97" s="14"/>
      <c r="O97" s="10"/>
      <c r="P97" s="14"/>
      <c r="Q97" s="14"/>
    </row>
    <row r="98" spans="4:17" ht="13" thickBot="1">
      <c r="E98" s="10">
        <f t="shared" si="1"/>
        <v>0</v>
      </c>
      <c r="F98" s="10"/>
      <c r="G98" s="10"/>
      <c r="H98" s="13" t="s">
        <v>26</v>
      </c>
      <c r="I98" s="9" t="str">
        <f>IF(OR(H97="",H99=""),"",+IF(H97&gt;H99,E97,E99))</f>
        <v/>
      </c>
      <c r="J98" s="17"/>
      <c r="K98" s="10"/>
      <c r="L98" s="10"/>
      <c r="M98" s="10"/>
      <c r="N98" s="14"/>
      <c r="O98" s="10"/>
      <c r="P98" s="14"/>
      <c r="Q98" s="14"/>
    </row>
    <row r="99" spans="4:17" ht="13" thickBot="1">
      <c r="D99">
        <v>45</v>
      </c>
      <c r="E99" s="9">
        <f t="shared" si="1"/>
        <v>45</v>
      </c>
      <c r="F99" s="9"/>
      <c r="G99" s="9">
        <f>E99</f>
        <v>45</v>
      </c>
      <c r="H99" s="16"/>
      <c r="I99" s="10"/>
      <c r="J99" s="14"/>
      <c r="K99" s="10"/>
      <c r="L99" s="10"/>
      <c r="M99" s="10"/>
      <c r="N99" s="14"/>
      <c r="O99" s="10"/>
      <c r="P99" s="14"/>
      <c r="Q99" s="14"/>
    </row>
    <row r="100" spans="4:17" ht="13" thickBot="1">
      <c r="E100" s="10">
        <f t="shared" si="1"/>
        <v>0</v>
      </c>
      <c r="F100" s="10"/>
      <c r="G100" s="10"/>
      <c r="H100" s="10"/>
      <c r="I100" s="10"/>
      <c r="J100" s="14" t="s">
        <v>48</v>
      </c>
      <c r="K100" s="9" t="str">
        <f>IF(OR(J98="",J102=""),"",+IF(J98&gt;J102,I98,I102))</f>
        <v/>
      </c>
      <c r="L100" s="17"/>
      <c r="M100" s="10"/>
      <c r="N100" s="14"/>
      <c r="O100" s="10"/>
      <c r="P100" s="14"/>
      <c r="Q100" s="14"/>
    </row>
    <row r="101" spans="4:17" ht="13" thickBot="1">
      <c r="D101">
        <v>46</v>
      </c>
      <c r="E101" s="9">
        <f t="shared" si="1"/>
        <v>46</v>
      </c>
      <c r="F101" s="9"/>
      <c r="G101" s="9">
        <f>E101</f>
        <v>46</v>
      </c>
      <c r="H101" s="11"/>
      <c r="I101" s="10"/>
      <c r="J101" s="14"/>
      <c r="K101" s="10"/>
      <c r="L101" s="13"/>
      <c r="M101" s="10"/>
      <c r="N101" s="14"/>
      <c r="O101" s="10"/>
      <c r="P101" s="14"/>
      <c r="Q101" s="14"/>
    </row>
    <row r="102" spans="4:17" ht="13" thickBot="1">
      <c r="E102" s="10">
        <f t="shared" si="1"/>
        <v>0</v>
      </c>
      <c r="F102" s="10"/>
      <c r="G102" s="10"/>
      <c r="H102" s="13" t="s">
        <v>27</v>
      </c>
      <c r="I102" s="9" t="str">
        <f>IF(OR(H101="",H103=""),"",+IF(H101&gt;H103,E101,E103))</f>
        <v/>
      </c>
      <c r="J102" s="16"/>
      <c r="K102" s="10"/>
      <c r="L102" s="14"/>
      <c r="M102" s="10"/>
      <c r="N102" s="14"/>
      <c r="O102" s="10"/>
      <c r="P102" s="14"/>
      <c r="Q102" s="14"/>
    </row>
    <row r="103" spans="4:17" ht="13" thickBot="1">
      <c r="D103">
        <v>47</v>
      </c>
      <c r="E103" s="9">
        <f t="shared" si="1"/>
        <v>47</v>
      </c>
      <c r="F103" s="9"/>
      <c r="G103" s="9">
        <f>E103</f>
        <v>47</v>
      </c>
      <c r="H103" s="16"/>
      <c r="I103" s="10"/>
      <c r="J103" s="10"/>
      <c r="K103" s="10"/>
      <c r="L103" s="14"/>
      <c r="M103" s="10"/>
      <c r="N103" s="14"/>
      <c r="O103" s="10"/>
      <c r="P103" s="14"/>
      <c r="Q103" s="14"/>
    </row>
    <row r="104" spans="4:17" ht="13" thickBot="1">
      <c r="E104" s="10">
        <f t="shared" si="1"/>
        <v>0</v>
      </c>
      <c r="F104" s="10"/>
      <c r="G104" s="10"/>
      <c r="H104" s="10"/>
      <c r="I104" s="10"/>
      <c r="J104" s="10"/>
      <c r="K104" s="10"/>
      <c r="L104" s="14" t="s">
        <v>59</v>
      </c>
      <c r="M104" s="9" t="str">
        <f>IF(OR(L100="",L108=""),"",+IF(L100&gt;L108,K100,K108))</f>
        <v/>
      </c>
      <c r="N104" s="16"/>
      <c r="O104" s="10"/>
      <c r="P104" s="14"/>
      <c r="Q104" s="14"/>
    </row>
    <row r="105" spans="4:17" ht="13" thickBot="1">
      <c r="D105">
        <v>48</v>
      </c>
      <c r="E105" s="9">
        <f t="shared" si="1"/>
        <v>48</v>
      </c>
      <c r="F105" s="9"/>
      <c r="G105" s="9">
        <f>E105</f>
        <v>48</v>
      </c>
      <c r="H105" s="11"/>
      <c r="I105" s="10"/>
      <c r="J105" s="10"/>
      <c r="K105" s="10"/>
      <c r="L105" s="14"/>
      <c r="M105" s="10"/>
      <c r="N105" s="10"/>
      <c r="O105" s="10"/>
      <c r="P105" s="14"/>
      <c r="Q105" s="14"/>
    </row>
    <row r="106" spans="4:17" ht="13" thickBot="1">
      <c r="E106" s="10">
        <f t="shared" si="1"/>
        <v>0</v>
      </c>
      <c r="F106" s="10"/>
      <c r="G106" s="10"/>
      <c r="H106" s="13" t="s">
        <v>28</v>
      </c>
      <c r="I106" s="9" t="str">
        <f>IF(OR(H105="",H107=""),"",+IF(H105&gt;H107,E105,E107))</f>
        <v/>
      </c>
      <c r="J106" s="17"/>
      <c r="K106" s="10"/>
      <c r="L106" s="14"/>
      <c r="M106" s="10"/>
      <c r="N106" s="10"/>
      <c r="O106" s="10"/>
      <c r="P106" s="14"/>
      <c r="Q106" s="14"/>
    </row>
    <row r="107" spans="4:17" ht="13" thickBot="1">
      <c r="D107">
        <v>49</v>
      </c>
      <c r="E107" s="9">
        <f t="shared" si="1"/>
        <v>49</v>
      </c>
      <c r="F107" s="9"/>
      <c r="G107" s="9">
        <f>E107</f>
        <v>49</v>
      </c>
      <c r="H107" s="16"/>
      <c r="I107" s="10"/>
      <c r="J107" s="14"/>
      <c r="K107" s="10"/>
      <c r="L107" s="14"/>
      <c r="M107" s="10"/>
      <c r="N107" s="10"/>
      <c r="O107" s="10"/>
      <c r="P107" s="14"/>
      <c r="Q107" s="14"/>
    </row>
    <row r="108" spans="4:17" ht="13" thickBot="1">
      <c r="E108" s="10">
        <f t="shared" si="1"/>
        <v>0</v>
      </c>
      <c r="F108" s="10"/>
      <c r="G108" s="10"/>
      <c r="H108" s="10"/>
      <c r="I108" s="10"/>
      <c r="J108" s="14" t="s">
        <v>49</v>
      </c>
      <c r="K108" s="9" t="str">
        <f>IF(OR(J106="",J110=""),"",+IF(J106&gt;J110,I106,I110))</f>
        <v/>
      </c>
      <c r="L108" s="16"/>
      <c r="M108" s="10"/>
      <c r="N108" s="10"/>
      <c r="O108" s="10"/>
      <c r="P108" s="14"/>
      <c r="Q108" s="14"/>
    </row>
    <row r="109" spans="4:17" ht="13" thickBot="1">
      <c r="D109">
        <v>50</v>
      </c>
      <c r="E109" s="9">
        <f t="shared" si="1"/>
        <v>50</v>
      </c>
      <c r="F109" s="9"/>
      <c r="G109" s="9">
        <f>E109</f>
        <v>50</v>
      </c>
      <c r="H109" s="11"/>
      <c r="I109" s="10"/>
      <c r="J109" s="14"/>
      <c r="K109" s="10"/>
      <c r="L109" s="10"/>
      <c r="M109" s="10"/>
      <c r="N109" s="10"/>
      <c r="O109" s="10"/>
      <c r="P109" s="14"/>
      <c r="Q109" s="14"/>
    </row>
    <row r="110" spans="4:17" ht="13" thickBot="1">
      <c r="E110" s="10">
        <f t="shared" si="1"/>
        <v>0</v>
      </c>
      <c r="F110" s="10"/>
      <c r="G110" s="10"/>
      <c r="H110" s="13" t="s">
        <v>29</v>
      </c>
      <c r="I110" s="9" t="str">
        <f>IF(OR(H109="",H111=""),"",+IF(H109&gt;H111,E109,E111))</f>
        <v/>
      </c>
      <c r="J110" s="16"/>
      <c r="K110" s="10"/>
      <c r="L110" s="10"/>
      <c r="M110" s="10"/>
      <c r="N110" s="10"/>
      <c r="O110" s="10"/>
      <c r="P110" s="14"/>
      <c r="Q110" s="14"/>
    </row>
    <row r="111" spans="4:17" ht="13" thickBot="1">
      <c r="D111">
        <v>51</v>
      </c>
      <c r="E111" s="9">
        <f t="shared" si="1"/>
        <v>51</v>
      </c>
      <c r="F111" s="9"/>
      <c r="G111" s="9">
        <f>E111</f>
        <v>51</v>
      </c>
      <c r="H111" s="16"/>
      <c r="I111" s="10"/>
      <c r="J111" s="10"/>
      <c r="K111" s="10"/>
      <c r="L111" s="10"/>
      <c r="M111" s="10"/>
      <c r="N111" s="10"/>
      <c r="O111" s="10"/>
      <c r="P111" s="14"/>
      <c r="Q111" s="14"/>
    </row>
    <row r="112" spans="4:17" ht="13" thickBot="1">
      <c r="E112" s="10">
        <f t="shared" si="1"/>
        <v>0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4" t="s">
        <v>67</v>
      </c>
      <c r="Q112" s="67" t="str">
        <f>IF(OR(P96="",P131=""),"",+IF(P96&gt;P131,O96,O131))</f>
        <v/>
      </c>
    </row>
    <row r="113" spans="4:17" ht="13" thickBot="1">
      <c r="D113">
        <v>52</v>
      </c>
      <c r="E113" s="9">
        <f t="shared" si="1"/>
        <v>52</v>
      </c>
      <c r="F113" s="9"/>
      <c r="G113" s="9">
        <f>E113</f>
        <v>52</v>
      </c>
      <c r="H113" s="11"/>
      <c r="I113" s="10"/>
      <c r="J113" s="10"/>
      <c r="K113" s="10"/>
      <c r="L113" s="10"/>
      <c r="M113" s="10"/>
      <c r="N113" s="10"/>
      <c r="O113" s="10"/>
      <c r="P113" s="14"/>
      <c r="Q113" s="10"/>
    </row>
    <row r="114" spans="4:17">
      <c r="E114" s="12">
        <f t="shared" si="1"/>
        <v>0</v>
      </c>
      <c r="F114" s="10"/>
      <c r="G114" s="10"/>
      <c r="H114" s="13"/>
      <c r="I114" s="10"/>
      <c r="J114" s="10"/>
      <c r="K114" s="10"/>
      <c r="L114" s="10"/>
      <c r="M114" s="10"/>
      <c r="N114" s="10"/>
      <c r="O114" s="10"/>
      <c r="P114" s="14"/>
      <c r="Q114" s="10"/>
    </row>
    <row r="115" spans="4:17" ht="13" thickBot="1">
      <c r="E115" s="10">
        <f t="shared" si="1"/>
        <v>0</v>
      </c>
      <c r="F115" s="10"/>
      <c r="G115" s="10"/>
      <c r="H115" s="14" t="s">
        <v>30</v>
      </c>
      <c r="I115" s="9" t="str">
        <f>IF(OR(H113="",H117=""),"",+IF(H113&gt;H117,E113,G117))</f>
        <v/>
      </c>
      <c r="J115" s="11"/>
      <c r="K115" s="10"/>
      <c r="L115" s="10"/>
      <c r="M115" s="10"/>
      <c r="N115" s="10"/>
      <c r="O115" s="10"/>
      <c r="P115" s="14"/>
      <c r="Q115" s="10"/>
    </row>
    <row r="116" spans="4:17" ht="13" thickBot="1">
      <c r="D116">
        <v>53</v>
      </c>
      <c r="E116" s="10">
        <f t="shared" si="1"/>
        <v>53</v>
      </c>
      <c r="F116" s="11"/>
      <c r="G116" s="10"/>
      <c r="H116" s="14"/>
      <c r="I116" s="10"/>
      <c r="J116" s="13"/>
      <c r="K116" s="10"/>
      <c r="L116" s="10"/>
      <c r="M116" s="10"/>
      <c r="N116" s="10"/>
      <c r="O116" s="10"/>
      <c r="P116" s="14"/>
      <c r="Q116" s="10"/>
    </row>
    <row r="117" spans="4:17" ht="13" thickBot="1">
      <c r="E117" s="12">
        <f t="shared" si="1"/>
        <v>0</v>
      </c>
      <c r="F117" s="13" t="s">
        <v>4</v>
      </c>
      <c r="G117" s="9" t="str">
        <f>IF(OR(F116="",F118=""),"",+IF(F116&gt;F118,E116,E118))</f>
        <v/>
      </c>
      <c r="H117" s="16"/>
      <c r="I117" s="10"/>
      <c r="J117" s="14"/>
      <c r="K117" s="10"/>
      <c r="L117" s="10"/>
      <c r="M117" s="10"/>
      <c r="N117" s="10"/>
      <c r="O117" s="10"/>
      <c r="P117" s="14"/>
      <c r="Q117" s="10"/>
    </row>
    <row r="118" spans="4:17" ht="13" thickBot="1">
      <c r="D118">
        <v>54</v>
      </c>
      <c r="E118" s="10">
        <f t="shared" si="1"/>
        <v>54</v>
      </c>
      <c r="F118" s="16"/>
      <c r="G118" s="10"/>
      <c r="H118" s="10"/>
      <c r="I118" s="10"/>
      <c r="J118" s="14" t="s">
        <v>50</v>
      </c>
      <c r="K118" s="9" t="str">
        <f>IF(OR(J115="",J121=""),"",+IF(J115&gt;J121,I115,I121))</f>
        <v/>
      </c>
      <c r="L118" s="17"/>
      <c r="M118" s="10"/>
      <c r="N118" s="10"/>
      <c r="O118" s="10"/>
      <c r="P118" s="14"/>
      <c r="Q118" s="10"/>
    </row>
    <row r="119" spans="4:17">
      <c r="E119" s="12">
        <f t="shared" si="1"/>
        <v>0</v>
      </c>
      <c r="F119" s="10"/>
      <c r="G119" s="10"/>
      <c r="H119" s="10"/>
      <c r="I119" s="10"/>
      <c r="J119" s="14"/>
      <c r="K119" s="10"/>
      <c r="L119" s="10"/>
      <c r="M119" s="19"/>
      <c r="N119" s="10"/>
      <c r="O119" s="10"/>
      <c r="P119" s="14"/>
      <c r="Q119" s="10"/>
    </row>
    <row r="120" spans="4:17" ht="13" thickBot="1">
      <c r="D120">
        <v>55</v>
      </c>
      <c r="E120" s="9">
        <f t="shared" si="1"/>
        <v>55</v>
      </c>
      <c r="F120" s="9"/>
      <c r="G120" s="9">
        <f>E120</f>
        <v>55</v>
      </c>
      <c r="H120" s="11"/>
      <c r="I120" s="10"/>
      <c r="J120" s="14"/>
      <c r="K120" s="10"/>
      <c r="L120" s="10"/>
      <c r="M120" s="19"/>
      <c r="N120" s="10"/>
      <c r="O120" s="10"/>
      <c r="P120" s="14"/>
      <c r="Q120" s="10"/>
    </row>
    <row r="121" spans="4:17" ht="13" thickBot="1">
      <c r="E121" s="10">
        <f t="shared" si="1"/>
        <v>0</v>
      </c>
      <c r="F121" s="10"/>
      <c r="G121" s="10"/>
      <c r="H121" s="13" t="s">
        <v>31</v>
      </c>
      <c r="I121" s="9" t="str">
        <f>IF(OR(H120="",H122=""),"",+IF(H120&gt;H122,E120,E122))</f>
        <v/>
      </c>
      <c r="J121" s="16"/>
      <c r="K121" s="10"/>
      <c r="L121" s="10"/>
      <c r="M121" s="19"/>
      <c r="N121" s="10"/>
      <c r="O121" s="10"/>
      <c r="P121" s="14"/>
      <c r="Q121" s="10"/>
    </row>
    <row r="122" spans="4:17" ht="13" thickBot="1">
      <c r="D122">
        <v>56</v>
      </c>
      <c r="E122" s="9">
        <f t="shared" si="1"/>
        <v>56</v>
      </c>
      <c r="F122" s="9"/>
      <c r="G122" s="9">
        <f>E122</f>
        <v>56</v>
      </c>
      <c r="H122" s="16"/>
      <c r="I122" s="10"/>
      <c r="J122" s="10"/>
      <c r="K122" s="10"/>
      <c r="L122" s="10"/>
      <c r="M122" s="19"/>
      <c r="N122" s="10"/>
      <c r="O122" s="10"/>
      <c r="P122" s="14"/>
      <c r="Q122" s="10"/>
    </row>
    <row r="123" spans="4:17" ht="13" thickBot="1">
      <c r="E123" s="10">
        <f t="shared" si="1"/>
        <v>0</v>
      </c>
      <c r="F123" s="10"/>
      <c r="G123" s="10"/>
      <c r="H123" s="10"/>
      <c r="I123" s="10"/>
      <c r="J123" s="10"/>
      <c r="K123" s="10"/>
      <c r="L123" s="14" t="s">
        <v>60</v>
      </c>
      <c r="M123" s="9" t="str">
        <f>IF(OR(L118="",L127=""),"",+IF(L118&gt;L127,K118,K127))</f>
        <v/>
      </c>
      <c r="N123" s="17"/>
      <c r="O123" s="10"/>
      <c r="P123" s="14"/>
      <c r="Q123" s="10"/>
    </row>
    <row r="124" spans="4:17" ht="13" thickBot="1">
      <c r="D124">
        <v>57</v>
      </c>
      <c r="E124" s="9">
        <f t="shared" si="1"/>
        <v>57</v>
      </c>
      <c r="F124" s="9"/>
      <c r="G124" s="9">
        <f>E124</f>
        <v>57</v>
      </c>
      <c r="H124" s="11"/>
      <c r="I124" s="10"/>
      <c r="J124" s="10"/>
      <c r="K124" s="10"/>
      <c r="L124" s="10"/>
      <c r="M124" s="19"/>
      <c r="N124" s="13"/>
      <c r="O124" s="10"/>
      <c r="P124" s="14"/>
      <c r="Q124" s="10"/>
    </row>
    <row r="125" spans="4:17" ht="13" thickBot="1">
      <c r="E125" s="10">
        <f t="shared" si="1"/>
        <v>0</v>
      </c>
      <c r="F125" s="10"/>
      <c r="G125" s="12"/>
      <c r="H125" s="13" t="s">
        <v>32</v>
      </c>
      <c r="I125" s="9" t="str">
        <f>IF(OR(H124="",H126=""),"",+IF(H124&gt;H126,E124,E126))</f>
        <v/>
      </c>
      <c r="J125" s="17"/>
      <c r="K125" s="10"/>
      <c r="L125" s="10"/>
      <c r="M125" s="19"/>
      <c r="N125" s="14"/>
      <c r="O125" s="10"/>
      <c r="P125" s="14"/>
      <c r="Q125" s="10"/>
    </row>
    <row r="126" spans="4:17" ht="13" thickBot="1">
      <c r="D126">
        <v>58</v>
      </c>
      <c r="E126" s="9">
        <f t="shared" si="1"/>
        <v>58</v>
      </c>
      <c r="F126" s="9"/>
      <c r="G126" s="9">
        <f>E126</f>
        <v>58</v>
      </c>
      <c r="H126" s="16"/>
      <c r="I126" s="10"/>
      <c r="J126" s="14"/>
      <c r="K126" s="10"/>
      <c r="L126" s="10"/>
      <c r="M126" s="19"/>
      <c r="N126" s="14"/>
      <c r="O126" s="10"/>
      <c r="P126" s="14"/>
      <c r="Q126" s="10"/>
    </row>
    <row r="127" spans="4:17" ht="13" thickBot="1">
      <c r="E127" s="10">
        <f t="shared" si="1"/>
        <v>0</v>
      </c>
      <c r="F127" s="10"/>
      <c r="G127" s="12"/>
      <c r="H127" s="10"/>
      <c r="I127" s="10"/>
      <c r="J127" s="14" t="s">
        <v>51</v>
      </c>
      <c r="K127" s="9" t="str">
        <f>IF(OR(J125="",J129=""),"",+IF(J125&gt;J129,I125,I129))</f>
        <v/>
      </c>
      <c r="L127" s="16"/>
      <c r="M127" s="19"/>
      <c r="N127" s="14"/>
      <c r="O127" s="10"/>
      <c r="P127" s="14"/>
      <c r="Q127" s="10"/>
    </row>
    <row r="128" spans="4:17" ht="13" thickBot="1">
      <c r="D128">
        <v>59</v>
      </c>
      <c r="E128" s="9">
        <f t="shared" si="1"/>
        <v>59</v>
      </c>
      <c r="F128" s="9"/>
      <c r="G128" s="9">
        <f>E128</f>
        <v>59</v>
      </c>
      <c r="H128" s="11"/>
      <c r="I128" s="10"/>
      <c r="J128" s="14"/>
      <c r="K128" s="10"/>
      <c r="L128" s="10"/>
      <c r="M128" s="10"/>
      <c r="N128" s="14"/>
      <c r="O128" s="10"/>
      <c r="P128" s="14"/>
      <c r="Q128" s="10"/>
    </row>
    <row r="129" spans="4:17" ht="13" thickBot="1">
      <c r="E129" s="10">
        <f t="shared" si="1"/>
        <v>0</v>
      </c>
      <c r="F129" s="10"/>
      <c r="G129" s="12"/>
      <c r="H129" s="13" t="s">
        <v>33</v>
      </c>
      <c r="I129" s="9" t="str">
        <f>IF(OR(H128="",H130=""),"",+IF(H128&gt;H130,E128,E130))</f>
        <v/>
      </c>
      <c r="J129" s="16"/>
      <c r="K129" s="10"/>
      <c r="L129" s="10"/>
      <c r="M129" s="10"/>
      <c r="N129" s="14"/>
      <c r="O129" s="10"/>
      <c r="P129" s="14"/>
      <c r="Q129" s="10"/>
    </row>
    <row r="130" spans="4:17" ht="13" thickBot="1">
      <c r="D130">
        <v>60</v>
      </c>
      <c r="E130" s="9">
        <f t="shared" si="1"/>
        <v>60</v>
      </c>
      <c r="F130" s="9"/>
      <c r="G130" s="9">
        <f>E130</f>
        <v>60</v>
      </c>
      <c r="H130" s="16"/>
      <c r="I130" s="10"/>
      <c r="J130" s="10"/>
      <c r="K130" s="10"/>
      <c r="L130" s="10"/>
      <c r="M130" s="10"/>
      <c r="N130" s="14"/>
      <c r="O130" s="10"/>
      <c r="P130" s="14"/>
      <c r="Q130" s="10"/>
    </row>
    <row r="131" spans="4:17" ht="13" thickBot="1">
      <c r="E131" s="10">
        <f t="shared" si="1"/>
        <v>0</v>
      </c>
      <c r="F131" s="10"/>
      <c r="G131" s="10"/>
      <c r="H131" s="10"/>
      <c r="I131" s="10"/>
      <c r="J131" s="10"/>
      <c r="K131" s="10"/>
      <c r="L131" s="10"/>
      <c r="M131" s="10"/>
      <c r="N131" s="14" t="s">
        <v>65</v>
      </c>
      <c r="O131" s="9" t="str">
        <f>IF(OR(N123="",N139=""),"",+IF(N123&gt;N139,M123,M139))</f>
        <v/>
      </c>
      <c r="P131" s="16"/>
      <c r="Q131" s="10"/>
    </row>
    <row r="132" spans="4:17" ht="13" thickBot="1">
      <c r="D132">
        <v>61</v>
      </c>
      <c r="E132" s="9">
        <f t="shared" si="1"/>
        <v>61</v>
      </c>
      <c r="F132" s="9"/>
      <c r="G132" s="9">
        <f>E132</f>
        <v>61</v>
      </c>
      <c r="H132" s="11"/>
      <c r="I132" s="10"/>
      <c r="J132" s="10"/>
      <c r="K132" s="10"/>
      <c r="L132" s="10"/>
      <c r="M132" s="10"/>
      <c r="N132" s="14"/>
      <c r="O132" s="10"/>
      <c r="P132" s="10"/>
      <c r="Q132" s="10"/>
    </row>
    <row r="133" spans="4:17" ht="13" thickBot="1">
      <c r="E133" s="10">
        <f t="shared" si="1"/>
        <v>0</v>
      </c>
      <c r="F133" s="10"/>
      <c r="G133" s="12"/>
      <c r="H133" s="13" t="s">
        <v>34</v>
      </c>
      <c r="I133" s="9" t="str">
        <f>IF(OR(H132="",H134=""),"",+IF(H132&gt;H134,E132,E134))</f>
        <v/>
      </c>
      <c r="J133" s="17"/>
      <c r="K133" s="10"/>
      <c r="L133" s="10"/>
      <c r="M133" s="10"/>
      <c r="N133" s="14"/>
      <c r="O133" s="10"/>
      <c r="P133" s="10"/>
      <c r="Q133" s="10"/>
    </row>
    <row r="134" spans="4:17" ht="13" thickBot="1">
      <c r="D134">
        <v>62</v>
      </c>
      <c r="E134" s="9">
        <f t="shared" si="1"/>
        <v>62</v>
      </c>
      <c r="F134" s="9"/>
      <c r="G134" s="9">
        <f>E134</f>
        <v>62</v>
      </c>
      <c r="H134" s="16"/>
      <c r="I134" s="10"/>
      <c r="J134" s="14"/>
      <c r="K134" s="10"/>
      <c r="L134" s="10"/>
      <c r="M134" s="10"/>
      <c r="N134" s="14"/>
      <c r="O134" s="10"/>
      <c r="P134" s="10"/>
      <c r="Q134" s="10"/>
    </row>
    <row r="135" spans="4:17" ht="13" thickBot="1">
      <c r="E135" s="10">
        <f t="shared" si="1"/>
        <v>0</v>
      </c>
      <c r="F135" s="10"/>
      <c r="G135" s="12"/>
      <c r="H135" s="10"/>
      <c r="I135" s="10"/>
      <c r="J135" s="14" t="s">
        <v>52</v>
      </c>
      <c r="K135" s="9" t="str">
        <f>IF(OR(J133="",J137=""),"",+IF(J133&gt;J137,I133,I137))</f>
        <v/>
      </c>
      <c r="L135" s="17"/>
      <c r="M135" s="10"/>
      <c r="N135" s="14"/>
      <c r="O135" s="10"/>
      <c r="P135" s="10"/>
      <c r="Q135" s="10"/>
    </row>
    <row r="136" spans="4:17" ht="13" thickBot="1">
      <c r="D136">
        <v>63</v>
      </c>
      <c r="E136" s="9">
        <f t="shared" si="1"/>
        <v>63</v>
      </c>
      <c r="F136" s="9"/>
      <c r="G136" s="9">
        <f>E136</f>
        <v>63</v>
      </c>
      <c r="H136" s="11"/>
      <c r="I136" s="10"/>
      <c r="J136" s="14"/>
      <c r="K136" s="10"/>
      <c r="L136" s="14"/>
      <c r="M136" s="10"/>
      <c r="N136" s="14"/>
      <c r="O136" s="10"/>
      <c r="P136" s="10"/>
      <c r="Q136" s="10"/>
    </row>
    <row r="137" spans="4:17" ht="13" thickBot="1">
      <c r="E137" s="10">
        <f t="shared" si="1"/>
        <v>0</v>
      </c>
      <c r="F137" s="10"/>
      <c r="G137" s="12"/>
      <c r="H137" s="13" t="s">
        <v>35</v>
      </c>
      <c r="I137" s="9" t="str">
        <f>IF(OR(H136="",H138=""),"",+IF(H136&gt;H138,E136,E138))</f>
        <v/>
      </c>
      <c r="J137" s="16"/>
      <c r="K137" s="10"/>
      <c r="L137" s="14"/>
      <c r="M137" s="10"/>
      <c r="N137" s="14"/>
      <c r="O137" s="10"/>
      <c r="P137" s="10"/>
      <c r="Q137" s="10"/>
    </row>
    <row r="138" spans="4:17" ht="13" thickBot="1">
      <c r="D138">
        <v>64</v>
      </c>
      <c r="E138" s="9">
        <f t="shared" ref="E138:E148" si="2">D138</f>
        <v>64</v>
      </c>
      <c r="F138" s="9"/>
      <c r="G138" s="9">
        <f>E138</f>
        <v>64</v>
      </c>
      <c r="H138" s="16"/>
      <c r="I138" s="10"/>
      <c r="J138" s="10"/>
      <c r="K138" s="10"/>
      <c r="L138" s="14"/>
      <c r="M138" s="10"/>
      <c r="N138" s="14"/>
      <c r="O138" s="10"/>
      <c r="P138" s="10"/>
      <c r="Q138" s="10"/>
    </row>
    <row r="139" spans="4:17" ht="13" thickBot="1">
      <c r="E139" s="10">
        <f t="shared" si="2"/>
        <v>0</v>
      </c>
      <c r="F139" s="10"/>
      <c r="G139" s="10"/>
      <c r="H139" s="10"/>
      <c r="I139" s="10"/>
      <c r="J139" s="10"/>
      <c r="K139" s="10"/>
      <c r="L139" s="14" t="s">
        <v>61</v>
      </c>
      <c r="M139" s="9" t="str">
        <f>IF(OR(L135="",L144=""),"",+IF(L135&gt;L144,K135,K144))</f>
        <v/>
      </c>
      <c r="N139" s="16"/>
      <c r="O139" s="10"/>
      <c r="P139" s="10"/>
      <c r="Q139" s="10"/>
    </row>
    <row r="140" spans="4:17" ht="13" thickBot="1">
      <c r="D140">
        <v>65</v>
      </c>
      <c r="E140" s="9">
        <f t="shared" si="2"/>
        <v>65</v>
      </c>
      <c r="F140" s="9"/>
      <c r="G140" s="9">
        <f>E140</f>
        <v>65</v>
      </c>
      <c r="H140" s="11"/>
      <c r="I140" s="10"/>
      <c r="J140" s="10"/>
      <c r="K140" s="10"/>
      <c r="L140" s="14"/>
      <c r="M140" s="10"/>
      <c r="N140" s="10"/>
      <c r="O140" s="10"/>
      <c r="P140" s="10"/>
      <c r="Q140" s="10"/>
    </row>
    <row r="141" spans="4:17" ht="13" thickBot="1">
      <c r="E141" s="10">
        <f t="shared" si="2"/>
        <v>0</v>
      </c>
      <c r="F141" s="10"/>
      <c r="G141" s="12"/>
      <c r="H141" s="13" t="s">
        <v>36</v>
      </c>
      <c r="I141" s="9" t="str">
        <f>IF(OR(H140="",H142=""),"",+IF(H140&gt;H142,E140,E142))</f>
        <v/>
      </c>
      <c r="J141" s="17"/>
      <c r="K141" s="10"/>
      <c r="L141" s="14"/>
      <c r="M141" s="10"/>
      <c r="N141" s="10"/>
      <c r="O141" s="10"/>
      <c r="P141" s="10"/>
      <c r="Q141" s="10"/>
    </row>
    <row r="142" spans="4:17" ht="13" thickBot="1">
      <c r="D142">
        <v>66</v>
      </c>
      <c r="E142" s="9">
        <f t="shared" si="2"/>
        <v>66</v>
      </c>
      <c r="F142" s="9"/>
      <c r="G142" s="9">
        <f>E142</f>
        <v>66</v>
      </c>
      <c r="H142" s="16"/>
      <c r="I142" s="10"/>
      <c r="J142" s="14"/>
      <c r="K142" s="10"/>
      <c r="L142" s="14"/>
      <c r="M142" s="10"/>
      <c r="N142" s="10"/>
      <c r="O142" s="10"/>
      <c r="P142" s="10"/>
      <c r="Q142" s="10"/>
    </row>
    <row r="143" spans="4:17">
      <c r="E143" s="10">
        <f t="shared" si="2"/>
        <v>0</v>
      </c>
      <c r="F143" s="10"/>
      <c r="G143" s="10"/>
      <c r="H143" s="10"/>
      <c r="I143" s="10"/>
      <c r="J143" s="14"/>
      <c r="K143" s="10"/>
      <c r="L143" s="14"/>
      <c r="M143" s="10"/>
      <c r="N143" s="10"/>
      <c r="O143" s="10"/>
      <c r="P143" s="10"/>
      <c r="Q143" s="10"/>
    </row>
    <row r="144" spans="4:17" ht="13" thickBot="1">
      <c r="D144">
        <v>67</v>
      </c>
      <c r="E144" s="10">
        <f t="shared" si="2"/>
        <v>67</v>
      </c>
      <c r="F144" s="11"/>
      <c r="G144" s="10"/>
      <c r="H144" s="10"/>
      <c r="I144" s="10"/>
      <c r="J144" s="14" t="s">
        <v>53</v>
      </c>
      <c r="K144" s="9" t="str">
        <f>IF(OR(J141="",J147=""),"",+IF(J141&gt;J147,I141,I147))</f>
        <v/>
      </c>
      <c r="L144" s="16"/>
      <c r="M144" s="10"/>
      <c r="N144" s="10"/>
      <c r="O144" s="10"/>
      <c r="P144" s="10"/>
      <c r="Q144" s="10"/>
    </row>
    <row r="145" spans="4:17" ht="13" thickBot="1">
      <c r="E145" s="12">
        <f t="shared" si="2"/>
        <v>0</v>
      </c>
      <c r="F145" s="13" t="s">
        <v>5</v>
      </c>
      <c r="G145" s="9" t="str">
        <f>IF(OR(F144="",F146=""),"",+IF(F144&gt;F146,E144,E146))</f>
        <v/>
      </c>
      <c r="H145" s="11"/>
      <c r="I145" s="10"/>
      <c r="J145" s="14"/>
      <c r="K145" s="10"/>
      <c r="L145" s="10"/>
      <c r="M145" s="10"/>
      <c r="N145" s="10"/>
      <c r="O145" s="10"/>
      <c r="P145" s="10"/>
      <c r="Q145" s="10"/>
    </row>
    <row r="146" spans="4:17" ht="13" thickBot="1">
      <c r="D146">
        <v>68</v>
      </c>
      <c r="E146" s="9">
        <f t="shared" si="2"/>
        <v>68</v>
      </c>
      <c r="F146" s="16"/>
      <c r="G146" s="10"/>
      <c r="H146" s="13"/>
      <c r="I146" s="10"/>
      <c r="J146" s="14"/>
      <c r="K146" s="10"/>
      <c r="L146" s="10"/>
      <c r="M146" s="10"/>
      <c r="N146" s="10"/>
      <c r="O146" s="10"/>
      <c r="P146" s="10"/>
      <c r="Q146" s="10"/>
    </row>
    <row r="147" spans="4:17" ht="13" thickBot="1">
      <c r="E147" s="10">
        <f t="shared" si="2"/>
        <v>0</v>
      </c>
      <c r="F147" s="10"/>
      <c r="G147" s="10"/>
      <c r="H147" s="14" t="s">
        <v>37</v>
      </c>
      <c r="I147" s="9" t="str">
        <f>IF(OR(H145="",H148=""),"",+IF(H145&gt;H148,G145,E148))</f>
        <v/>
      </c>
      <c r="J147" s="16"/>
      <c r="K147" s="10"/>
      <c r="L147" s="10"/>
      <c r="M147" s="10"/>
      <c r="N147" s="10"/>
      <c r="O147" s="10"/>
      <c r="P147" s="10"/>
      <c r="Q147" s="10"/>
    </row>
    <row r="148" spans="4:17" ht="13" thickBot="1">
      <c r="D148">
        <v>69</v>
      </c>
      <c r="E148" s="9">
        <f t="shared" si="2"/>
        <v>69</v>
      </c>
      <c r="F148" s="9"/>
      <c r="G148" s="9">
        <f>E148</f>
        <v>69</v>
      </c>
      <c r="H148" s="16"/>
      <c r="I148" s="10"/>
      <c r="J148" s="10"/>
      <c r="K148" s="10"/>
      <c r="L148" s="10"/>
      <c r="M148" s="10"/>
      <c r="N148" s="10"/>
      <c r="O148" s="10"/>
      <c r="P148" s="10"/>
      <c r="Q148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56"/>
  <dimension ref="D4:AG146"/>
  <sheetViews>
    <sheetView showGridLines="0" topLeftCell="A13" zoomScale="70" zoomScaleNormal="70" workbookViewId="0">
      <selection activeCell="I14" sqref="I14"/>
    </sheetView>
  </sheetViews>
  <sheetFormatPr defaultColWidth="9.1171875" defaultRowHeight="12.7"/>
  <cols>
    <col min="5" max="5" width="24.3515625" bestFit="1" customWidth="1"/>
    <col min="6" max="6" width="3.64453125" customWidth="1"/>
    <col min="7" max="7" width="21.41015625" bestFit="1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5" max="15" width="13.87890625" customWidth="1"/>
    <col min="16" max="16" width="3.64453125" customWidth="1"/>
    <col min="17" max="17" width="16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20.1171875" style="28" bestFit="1" customWidth="1"/>
    <col min="32" max="32" width="6.52734375" bestFit="1" customWidth="1"/>
    <col min="33" max="33" width="23.87890625" style="29" bestFit="1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E45</f>
        <v>0</v>
      </c>
      <c r="V6" t="s">
        <v>77</v>
      </c>
      <c r="W6" s="29">
        <f>E47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E81</f>
        <v>0</v>
      </c>
      <c r="V7" t="s">
        <v>77</v>
      </c>
      <c r="W7" s="29">
        <f>E83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E116</f>
        <v>0</v>
      </c>
      <c r="V8" t="s">
        <v>77</v>
      </c>
      <c r="W8" s="29">
        <f>E118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5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E7</f>
        <v>0</v>
      </c>
      <c r="V9" t="s">
        <v>77</v>
      </c>
      <c r="W9" s="29" t="s">
        <v>78</v>
      </c>
      <c r="Z9" s="34"/>
      <c r="AA9" s="40"/>
      <c r="AB9" s="40"/>
      <c r="AC9" s="38" t="s">
        <v>159</v>
      </c>
      <c r="AD9" s="48">
        <v>53</v>
      </c>
      <c r="AE9" s="53" t="str">
        <f ca="1">LOOKUP(AD9,T$5:T$78,U$5:U$75)</f>
        <v>Venc.37</v>
      </c>
      <c r="AF9" s="37" t="s">
        <v>157</v>
      </c>
      <c r="AG9" s="65" t="str">
        <f ca="1">LOOKUP(AD9,T$5:T$78,W$5:W$75)</f>
        <v>Venc.J38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E14</f>
        <v>0</v>
      </c>
      <c r="V10" t="s">
        <v>77</v>
      </c>
      <c r="W10" s="29">
        <f>E16</f>
        <v>0</v>
      </c>
      <c r="Z10" s="34"/>
      <c r="AA10" s="40"/>
      <c r="AB10" s="40"/>
      <c r="AC10" s="38" t="s">
        <v>159</v>
      </c>
      <c r="AD10" s="48">
        <v>54</v>
      </c>
      <c r="AE10" s="53" t="str">
        <f ca="1">LOOKUP(AD10,T$5:T$78,U$5:U$75)</f>
        <v>Venc.39</v>
      </c>
      <c r="AF10" s="37" t="s">
        <v>157</v>
      </c>
      <c r="AG10" s="65" t="str">
        <f ca="1">LOOKUP(AD10,T$5:T$78,W$5:W$75)</f>
        <v>Venc.J40</v>
      </c>
    </row>
    <row r="11" spans="4:33" ht="13" thickBot="1">
      <c r="E11" s="12"/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E18</f>
        <v>0</v>
      </c>
      <c r="V11" t="s">
        <v>77</v>
      </c>
      <c r="W11" s="29">
        <f>E20</f>
        <v>0</v>
      </c>
      <c r="Z11" s="34"/>
      <c r="AA11" s="40"/>
      <c r="AB11" s="40"/>
      <c r="AC11" s="38" t="s">
        <v>159</v>
      </c>
      <c r="AD11" s="48">
        <v>55</v>
      </c>
      <c r="AE11" s="53" t="str">
        <f ca="1">LOOKUP(AD11,T$5:T$78,U$5:U$75)</f>
        <v>Venc.41</v>
      </c>
      <c r="AF11" s="37" t="s">
        <v>157</v>
      </c>
      <c r="AG11" s="65" t="str">
        <f ca="1">LOOKUP(AD11,T$5:T$78,W$5:W$75)</f>
        <v>Venc.J42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37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E22</f>
        <v>0</v>
      </c>
      <c r="V12" t="s">
        <v>77</v>
      </c>
      <c r="W12" s="29">
        <f>E24</f>
        <v>0</v>
      </c>
      <c r="Z12" s="34"/>
      <c r="AA12" s="40"/>
      <c r="AB12" s="40"/>
      <c r="AC12" s="38" t="s">
        <v>159</v>
      </c>
      <c r="AD12" s="48">
        <v>56</v>
      </c>
      <c r="AE12" s="53" t="str">
        <f ca="1">LOOKUP(AD12,T$5:T$78,U$5:U$75)</f>
        <v>Venc.43</v>
      </c>
      <c r="AF12" s="37" t="s">
        <v>157</v>
      </c>
      <c r="AG12" s="65" t="str">
        <f ca="1">LOOKUP(AD12,T$5:T$78,W$5:W$75)</f>
        <v>Venc.J44</v>
      </c>
    </row>
    <row r="13" spans="4:33">
      <c r="E13" s="12"/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E26</f>
        <v>0</v>
      </c>
      <c r="V13" t="s">
        <v>77</v>
      </c>
      <c r="W13" s="29">
        <f>E28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E30</f>
        <v>0</v>
      </c>
      <c r="V14" t="s">
        <v>77</v>
      </c>
      <c r="W14" s="29">
        <f>E32</f>
        <v>0</v>
      </c>
      <c r="Z14" s="34"/>
      <c r="AA14" s="40"/>
      <c r="AB14" s="40"/>
      <c r="AC14" s="38" t="s">
        <v>159</v>
      </c>
      <c r="AD14" s="48">
        <v>57</v>
      </c>
      <c r="AE14" s="53" t="str">
        <f ca="1">LOOKUP(AD14,T$5:T$78,U$5:U$75)</f>
        <v>Venc.45</v>
      </c>
      <c r="AF14" s="37" t="s">
        <v>157</v>
      </c>
      <c r="AG14" s="65" t="str">
        <f ca="1">LOOKUP(AD14,T$5:T$78,W$5:W$75)</f>
        <v>Venc.J46</v>
      </c>
    </row>
    <row r="15" spans="4:33" ht="13" thickBot="1">
      <c r="E15" s="10"/>
      <c r="F15" s="10"/>
      <c r="G15" s="10"/>
      <c r="H15" s="13" t="s">
        <v>6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E34</f>
        <v>0</v>
      </c>
      <c r="V15" t="s">
        <v>77</v>
      </c>
      <c r="W15" s="29">
        <f>E36</f>
        <v>0</v>
      </c>
      <c r="Z15" s="34"/>
      <c r="AA15" s="40"/>
      <c r="AB15" s="40"/>
      <c r="AC15" s="38" t="s">
        <v>159</v>
      </c>
      <c r="AD15" s="48">
        <v>58</v>
      </c>
      <c r="AE15" s="53" t="str">
        <f ca="1">LOOKUP(AD15,T$5:T$78,U$5:U$75)</f>
        <v>Venc.47</v>
      </c>
      <c r="AF15" s="37" t="s">
        <v>157</v>
      </c>
      <c r="AG15" s="65" t="str">
        <f ca="1">LOOKUP(AD15,T$5:T$78,W$5:W$75)</f>
        <v>Venc.J48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E38</f>
        <v>0</v>
      </c>
      <c r="V16" t="s">
        <v>77</v>
      </c>
      <c r="W16" s="29">
        <f>E40</f>
        <v>0</v>
      </c>
      <c r="Z16" s="34"/>
      <c r="AA16" s="40"/>
      <c r="AB16" s="40"/>
      <c r="AC16" s="38" t="s">
        <v>159</v>
      </c>
      <c r="AD16" s="48">
        <v>59</v>
      </c>
      <c r="AE16" s="53" t="str">
        <f ca="1">LOOKUP(AD16,T$5:T$78,U$5:U$75)</f>
        <v>Venc.49</v>
      </c>
      <c r="AF16" s="37" t="s">
        <v>157</v>
      </c>
      <c r="AG16" s="65" t="str">
        <f ca="1">LOOKUP(AD16,T$5:T$78,W$5:W$75)</f>
        <v>Venc.J50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53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E42</f>
        <v>0</v>
      </c>
      <c r="V17" t="s">
        <v>77</v>
      </c>
      <c r="W17" s="29" t="s">
        <v>160</v>
      </c>
      <c r="Z17" s="34"/>
      <c r="AA17" s="40"/>
      <c r="AB17" s="40"/>
      <c r="AC17" s="38" t="s">
        <v>159</v>
      </c>
      <c r="AD17" s="48">
        <v>60</v>
      </c>
      <c r="AE17" s="53" t="str">
        <f ca="1">LOOKUP(AD17,T$5:T$78,U$5:U$75)</f>
        <v>Venc.51</v>
      </c>
      <c r="AF17" s="37" t="s">
        <v>157</v>
      </c>
      <c r="AG17" s="65" t="str">
        <f ca="1">LOOKUP(AD17,T$5:T$78,W$5:W$75)</f>
        <v>Venc.J52</v>
      </c>
    </row>
    <row r="18" spans="4:33" ht="13" thickBot="1">
      <c r="D18">
        <v>6</v>
      </c>
      <c r="E18" s="9"/>
      <c r="F18" s="9"/>
      <c r="G18" s="9">
        <f>E18</f>
        <v>0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E49</f>
        <v>0</v>
      </c>
      <c r="V18" t="s">
        <v>77</v>
      </c>
      <c r="W18" s="29">
        <f>E51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/>
      <c r="F19" s="10"/>
      <c r="G19" s="12"/>
      <c r="H19" s="13" t="s">
        <v>7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E53</f>
        <v>0</v>
      </c>
      <c r="V19" t="s">
        <v>77</v>
      </c>
      <c r="W19" s="29">
        <f>E55</f>
        <v>0</v>
      </c>
      <c r="Z19" s="34"/>
      <c r="AA19" s="40"/>
      <c r="AB19" s="40"/>
      <c r="AC19" s="38" t="s">
        <v>159</v>
      </c>
      <c r="AD19" s="48">
        <v>61</v>
      </c>
      <c r="AE19" s="53" t="str">
        <f ca="1">LOOKUP(AD19,T$5:T$78,U$5:U$75)</f>
        <v>Venc.53</v>
      </c>
      <c r="AF19" s="37" t="s">
        <v>157</v>
      </c>
      <c r="AG19" s="65" t="str">
        <f ca="1">LOOKUP(AD19,T$5:T$78,W$5:W$75)</f>
        <v>Venc.J54</v>
      </c>
    </row>
    <row r="20" spans="4:33" ht="13" thickBot="1">
      <c r="D20">
        <v>7</v>
      </c>
      <c r="E20" s="9"/>
      <c r="F20" s="9"/>
      <c r="G20" s="9">
        <f>E20</f>
        <v>0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E57</f>
        <v>0</v>
      </c>
      <c r="V20" t="s">
        <v>77</v>
      </c>
      <c r="W20" s="29">
        <f>E59</f>
        <v>0</v>
      </c>
      <c r="Z20" s="34"/>
      <c r="AA20" s="40"/>
      <c r="AB20" s="40"/>
      <c r="AC20" s="38" t="s">
        <v>159</v>
      </c>
      <c r="AD20" s="48">
        <v>46</v>
      </c>
      <c r="AE20" s="53" t="str">
        <f ca="1">LOOKUP(AD20,T$5:T$78,U$5:U$75)</f>
        <v>Venc.23</v>
      </c>
      <c r="AF20" s="37" t="s">
        <v>157</v>
      </c>
      <c r="AG20" s="65" t="str">
        <f ca="1">LOOKUP(AD20,T$5:T$78,W$5:W$75)</f>
        <v>Venc.J24</v>
      </c>
    </row>
    <row r="21" spans="4:33" ht="13" thickBot="1">
      <c r="E21" s="10"/>
      <c r="F21" s="10"/>
      <c r="G21" s="12"/>
      <c r="H21" s="10"/>
      <c r="I21" s="10"/>
      <c r="J21" s="14" t="s">
        <v>38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E61</f>
        <v>0</v>
      </c>
      <c r="V21" t="s">
        <v>77</v>
      </c>
      <c r="W21" s="29">
        <f>E63</f>
        <v>0</v>
      </c>
      <c r="Z21" s="34"/>
      <c r="AA21" s="40"/>
      <c r="AB21" s="40"/>
      <c r="AC21" s="38" t="s">
        <v>159</v>
      </c>
      <c r="AD21" s="48">
        <v>47</v>
      </c>
      <c r="AE21" s="53" t="str">
        <f ca="1">LOOKUP(AD21,T$5:T$78,U$5:U$75)</f>
        <v>Venc.25</v>
      </c>
      <c r="AF21" s="37" t="s">
        <v>157</v>
      </c>
      <c r="AG21" s="65" t="str">
        <f ca="1">LOOKUP(AD21,T$5:T$78,W$5:W$75)</f>
        <v>Venc.J26</v>
      </c>
    </row>
    <row r="22" spans="4:33" ht="13" thickBot="1">
      <c r="D22">
        <v>8</v>
      </c>
      <c r="E22" s="9"/>
      <c r="F22" s="9"/>
      <c r="G22" s="9">
        <f>E22</f>
        <v>0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E65</f>
        <v>0</v>
      </c>
      <c r="V22" t="s">
        <v>77</v>
      </c>
      <c r="W22" s="29">
        <f>E67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0"/>
      <c r="F23" s="10"/>
      <c r="G23" s="12"/>
      <c r="H23" s="13" t="s">
        <v>8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E69</f>
        <v>0</v>
      </c>
      <c r="V23" t="s">
        <v>77</v>
      </c>
      <c r="W23" s="29">
        <f>E71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/>
      <c r="F24" s="9"/>
      <c r="G24" s="9">
        <f>E24</f>
        <v>0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>
        <f>E73</f>
        <v>0</v>
      </c>
      <c r="V24" t="s">
        <v>77</v>
      </c>
      <c r="W24" s="29">
        <f>E75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0"/>
      <c r="F25" s="10"/>
      <c r="G25" s="10"/>
      <c r="H25" s="10"/>
      <c r="I25" s="10"/>
      <c r="J25" s="10"/>
      <c r="K25" s="10"/>
      <c r="L25" s="10"/>
      <c r="M25" s="10"/>
      <c r="N25" s="14" t="s">
        <v>61</v>
      </c>
      <c r="O25" s="9" t="str">
        <f>IF(OR(N17="",N33=""),"",+IF(N17&gt;N33,M17,M33))</f>
        <v/>
      </c>
      <c r="P25" s="17"/>
      <c r="Q25" s="10"/>
      <c r="T25">
        <v>21</v>
      </c>
      <c r="U25" s="28">
        <f>E78</f>
        <v>0</v>
      </c>
      <c r="V25" t="s">
        <v>77</v>
      </c>
      <c r="W25" s="29" t="s">
        <v>161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/>
      <c r="F26" s="9"/>
      <c r="G26" s="9">
        <f>E26</f>
        <v>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>
        <f>E85</f>
        <v>0</v>
      </c>
      <c r="V26" t="s">
        <v>77</v>
      </c>
      <c r="W26" s="29">
        <f>E87</f>
        <v>0</v>
      </c>
      <c r="Z26" s="34"/>
      <c r="AA26" s="40"/>
      <c r="AB26" s="40"/>
      <c r="AC26" s="38" t="s">
        <v>159</v>
      </c>
      <c r="AD26" s="48">
        <v>48</v>
      </c>
      <c r="AE26" s="53" t="str">
        <f ca="1">LOOKUP(AD26,T$5:T$78,U$5:U$75)</f>
        <v>Venc.27</v>
      </c>
      <c r="AF26" s="37" t="s">
        <v>157</v>
      </c>
      <c r="AG26" s="65" t="str">
        <f ca="1">LOOKUP(AD26,T$5:T$78,W$5:W$75)</f>
        <v>Venc.J28</v>
      </c>
    </row>
    <row r="27" spans="4:33" ht="13" thickBot="1">
      <c r="E27" s="10"/>
      <c r="F27" s="10"/>
      <c r="G27" s="10"/>
      <c r="H27" s="13" t="s">
        <v>9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>
        <f>E89</f>
        <v>0</v>
      </c>
      <c r="V27" t="s">
        <v>77</v>
      </c>
      <c r="W27" s="29">
        <f>E91</f>
        <v>0</v>
      </c>
      <c r="Z27" s="34"/>
      <c r="AA27" s="40"/>
      <c r="AB27" s="40"/>
      <c r="AC27" s="38" t="s">
        <v>159</v>
      </c>
      <c r="AD27" s="48">
        <v>49</v>
      </c>
      <c r="AE27" s="53" t="str">
        <f ca="1">LOOKUP(AD27,T$5:T$78,U$5:U$75)</f>
        <v>Venc.29</v>
      </c>
      <c r="AF27" s="37" t="s">
        <v>157</v>
      </c>
      <c r="AG27" s="65" t="str">
        <f ca="1">LOOKUP(AD27,T$5:T$78,W$5:W$75)</f>
        <v>Venc.J30</v>
      </c>
    </row>
    <row r="28" spans="4:33" ht="13" thickBot="1">
      <c r="D28">
        <v>11</v>
      </c>
      <c r="E28" s="9"/>
      <c r="F28" s="9"/>
      <c r="G28" s="9">
        <f>E28</f>
        <v>0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>
        <f>E93</f>
        <v>0</v>
      </c>
      <c r="V28" t="s">
        <v>77</v>
      </c>
      <c r="W28" s="29">
        <f>E95</f>
        <v>0</v>
      </c>
      <c r="Z28" s="34"/>
      <c r="AA28" s="40"/>
      <c r="AB28" s="40"/>
      <c r="AC28" s="38" t="s">
        <v>159</v>
      </c>
      <c r="AD28" s="48">
        <v>50</v>
      </c>
      <c r="AE28" s="53" t="str">
        <f ca="1">LOOKUP(AD28,T$5:T$78,U$5:U$75)</f>
        <v>Venc.31</v>
      </c>
      <c r="AF28" s="37" t="s">
        <v>157</v>
      </c>
      <c r="AG28" s="65" t="str">
        <f ca="1">LOOKUP(AD28,T$5:T$78,W$5:W$75)</f>
        <v>Venc.J32</v>
      </c>
    </row>
    <row r="29" spans="4:33" ht="13" thickBot="1">
      <c r="E29" s="10"/>
      <c r="F29" s="10"/>
      <c r="G29" s="10"/>
      <c r="H29" s="10"/>
      <c r="I29" s="10"/>
      <c r="J29" s="14" t="s">
        <v>39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>
        <f>E97</f>
        <v>0</v>
      </c>
      <c r="V29" t="s">
        <v>77</v>
      </c>
      <c r="W29" s="29">
        <f>E99</f>
        <v>0</v>
      </c>
      <c r="Z29" s="34"/>
      <c r="AA29" s="40"/>
      <c r="AB29" s="40"/>
      <c r="AC29" s="38" t="s">
        <v>159</v>
      </c>
      <c r="AD29" s="48">
        <v>51</v>
      </c>
      <c r="AE29" s="53" t="str">
        <f ca="1">LOOKUP(AD29,T$5:T$78,U$5:U$75)</f>
        <v>Venc.33</v>
      </c>
      <c r="AF29" s="37" t="s">
        <v>157</v>
      </c>
      <c r="AG29" s="65" t="str">
        <f ca="1">LOOKUP(AD29,T$5:T$78,W$5:W$75)</f>
        <v>Venc.J34</v>
      </c>
    </row>
    <row r="30" spans="4:33" ht="13" thickBot="1">
      <c r="D30">
        <v>12</v>
      </c>
      <c r="E30" s="9"/>
      <c r="F30" s="9"/>
      <c r="G30" s="9">
        <f>E30</f>
        <v>0</v>
      </c>
      <c r="H30" s="11"/>
      <c r="I30" s="10"/>
      <c r="J30" s="14"/>
      <c r="K30" s="10"/>
      <c r="L30" s="13"/>
      <c r="M30" s="10"/>
      <c r="N30" s="14"/>
      <c r="O30" s="10"/>
      <c r="P30" s="14"/>
      <c r="Q30" s="10"/>
      <c r="T30">
        <v>26</v>
      </c>
      <c r="U30" s="28">
        <f>E101</f>
        <v>0</v>
      </c>
      <c r="V30" t="s">
        <v>77</v>
      </c>
      <c r="W30" s="29">
        <f>E103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/>
      <c r="F31" s="10"/>
      <c r="G31" s="10"/>
      <c r="H31" s="13" t="s">
        <v>10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>
        <f>E105</f>
        <v>0</v>
      </c>
      <c r="V31" t="s">
        <v>77</v>
      </c>
      <c r="W31" s="29">
        <f>E107</f>
        <v>0</v>
      </c>
      <c r="Z31" s="34"/>
      <c r="AA31" s="40"/>
      <c r="AB31" s="40"/>
      <c r="AC31" s="38" t="s">
        <v>159</v>
      </c>
      <c r="AD31" s="48">
        <v>52</v>
      </c>
      <c r="AE31" s="53" t="str">
        <f ca="1">LOOKUP(AD31,T$5:T$78,U$5:U$75)</f>
        <v>Venc.35</v>
      </c>
      <c r="AF31" s="37" t="s">
        <v>157</v>
      </c>
      <c r="AG31" s="65" t="str">
        <f ca="1">LOOKUP(AD31,T$5:T$78,W$5:W$75)</f>
        <v>Venc.J36</v>
      </c>
    </row>
    <row r="32" spans="4:33" ht="13" thickBot="1">
      <c r="D32">
        <v>13</v>
      </c>
      <c r="E32" s="9"/>
      <c r="F32" s="9"/>
      <c r="G32" s="9">
        <f>E32</f>
        <v>0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>
        <f>E109</f>
        <v>0</v>
      </c>
      <c r="V32" t="s">
        <v>77</v>
      </c>
      <c r="W32" s="29">
        <f>E111</f>
        <v>0</v>
      </c>
      <c r="Z32" s="34"/>
      <c r="AA32" s="40"/>
      <c r="AB32" s="40"/>
      <c r="AC32" s="38" t="s">
        <v>159</v>
      </c>
      <c r="AD32" s="48"/>
      <c r="AE32" s="53" t="e">
        <f>LOOKUP(AD32,T$5:T$78,U$5:U$75)</f>
        <v>#N/A</v>
      </c>
      <c r="AF32" s="37" t="s">
        <v>157</v>
      </c>
      <c r="AG32" s="65" t="e">
        <f>LOOKUP(AD32,T$5:T$78,W$5:W$75)</f>
        <v>#N/A</v>
      </c>
    </row>
    <row r="33" spans="4:33" ht="13" thickBot="1">
      <c r="E33" s="10"/>
      <c r="F33" s="10"/>
      <c r="G33" s="10"/>
      <c r="H33" s="10"/>
      <c r="I33" s="10"/>
      <c r="J33" s="10"/>
      <c r="K33" s="10"/>
      <c r="L33" s="14" t="s">
        <v>54</v>
      </c>
      <c r="M33" s="9" t="str">
        <f>IF(OR(L29="",L37=""),"",+IF(L29&gt;L37,K29,K37))</f>
        <v/>
      </c>
      <c r="N33" s="16"/>
      <c r="O33" s="10"/>
      <c r="P33" s="14"/>
      <c r="Q33" s="10"/>
      <c r="T33">
        <v>29</v>
      </c>
      <c r="U33" s="28">
        <f>E113</f>
        <v>0</v>
      </c>
      <c r="V33" t="s">
        <v>77</v>
      </c>
      <c r="W33" s="29" t="s">
        <v>81</v>
      </c>
      <c r="Z33" s="34"/>
      <c r="AA33" s="40"/>
      <c r="AB33" s="40"/>
      <c r="AC33" s="38" t="s">
        <v>159</v>
      </c>
      <c r="AD33" s="48"/>
      <c r="AE33" s="53" t="e">
        <f>LOOKUP(AD33,T$5:T$78,U$5:U$75)</f>
        <v>#N/A</v>
      </c>
      <c r="AF33" s="37" t="s">
        <v>157</v>
      </c>
      <c r="AG33" s="65" t="e">
        <f>LOOKUP(AD33,T$5:T$78,W$5:W$75)</f>
        <v>#N/A</v>
      </c>
    </row>
    <row r="34" spans="4:33" ht="13" thickBot="1">
      <c r="D34">
        <v>14</v>
      </c>
      <c r="E34" s="9"/>
      <c r="F34" s="9"/>
      <c r="G34" s="9">
        <f>E34</f>
        <v>0</v>
      </c>
      <c r="H34" s="11"/>
      <c r="I34" s="10"/>
      <c r="J34" s="10"/>
      <c r="K34" s="10"/>
      <c r="L34" s="14"/>
      <c r="M34" s="10"/>
      <c r="N34" s="10"/>
      <c r="O34" s="10"/>
      <c r="P34" s="14"/>
      <c r="Q34" s="10"/>
      <c r="T34">
        <v>30</v>
      </c>
      <c r="U34" s="28">
        <f>E120</f>
        <v>0</v>
      </c>
      <c r="V34" t="s">
        <v>77</v>
      </c>
      <c r="W34" s="29">
        <f>E122</f>
        <v>0</v>
      </c>
      <c r="Z34" s="34"/>
      <c r="AA34" s="40"/>
      <c r="AB34" s="40"/>
      <c r="AC34" s="38" t="s">
        <v>159</v>
      </c>
      <c r="AD34" s="48"/>
      <c r="AE34" s="53" t="e">
        <f>LOOKUP(AD34,T$5:T$78,U$5:U$75)</f>
        <v>#N/A</v>
      </c>
      <c r="AF34" s="37" t="s">
        <v>157</v>
      </c>
      <c r="AG34" s="65" t="e">
        <f>LOOKUP(AD34,T$5:T$78,W$5:W$75)</f>
        <v>#N/A</v>
      </c>
    </row>
    <row r="35" spans="4:33" ht="13" thickBot="1">
      <c r="E35" s="10"/>
      <c r="F35" s="10"/>
      <c r="G35" s="10"/>
      <c r="H35" s="13" t="s">
        <v>11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>
        <f>E124</f>
        <v>0</v>
      </c>
      <c r="V35" t="s">
        <v>77</v>
      </c>
      <c r="W35" s="29">
        <f>E126</f>
        <v>0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/>
      <c r="F36" s="9"/>
      <c r="G36" s="9">
        <f>E36</f>
        <v>0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>
        <f>E128</f>
        <v>0</v>
      </c>
      <c r="V36" t="s">
        <v>77</v>
      </c>
      <c r="W36" s="29">
        <f>E130</f>
        <v>0</v>
      </c>
      <c r="Z36" s="34"/>
      <c r="AA36" s="40"/>
      <c r="AB36" s="40"/>
      <c r="AC36" s="38" t="s">
        <v>159</v>
      </c>
      <c r="AD36" s="48"/>
      <c r="AE36" s="53" t="e">
        <f>LOOKUP(AD36,T$5:T$78,U$5:U$75)</f>
        <v>#N/A</v>
      </c>
      <c r="AF36" s="37" t="s">
        <v>157</v>
      </c>
      <c r="AG36" s="65" t="e">
        <f>LOOKUP(AD36,T$5:T$78,W$5:W$75)</f>
        <v>#N/A</v>
      </c>
    </row>
    <row r="37" spans="4:33" ht="13" thickBot="1">
      <c r="E37" s="10"/>
      <c r="F37" s="10"/>
      <c r="G37" s="10"/>
      <c r="H37" s="10"/>
      <c r="I37" s="10"/>
      <c r="J37" s="14" t="s">
        <v>40</v>
      </c>
      <c r="K37" s="9" t="str">
        <f>IF(OR(J35="",J39=""),"",+IF(J35&gt;J39,I35,I39))</f>
        <v/>
      </c>
      <c r="L37" s="16"/>
      <c r="M37" s="10"/>
      <c r="N37" s="10"/>
      <c r="O37" s="10"/>
      <c r="P37" s="14"/>
      <c r="Q37" s="10"/>
      <c r="T37">
        <v>33</v>
      </c>
      <c r="U37" s="28">
        <f>E132</f>
        <v>0</v>
      </c>
      <c r="V37" t="s">
        <v>77</v>
      </c>
      <c r="W37" s="29">
        <f>E134</f>
        <v>0</v>
      </c>
      <c r="Z37" s="34"/>
      <c r="AA37" s="40"/>
      <c r="AB37" s="40"/>
      <c r="AC37" s="38" t="s">
        <v>159</v>
      </c>
      <c r="AD37" s="48"/>
      <c r="AE37" s="53" t="e">
        <f>LOOKUP(AD37,T$5:T$78,U$5:U$75)</f>
        <v>#N/A</v>
      </c>
      <c r="AF37" s="37" t="s">
        <v>157</v>
      </c>
      <c r="AG37" s="65" t="e">
        <f>LOOKUP(AD37,T$5:T$78,W$5:W$75)</f>
        <v>#N/A</v>
      </c>
    </row>
    <row r="38" spans="4:33" ht="13" thickBot="1">
      <c r="D38">
        <v>16</v>
      </c>
      <c r="E38" s="9"/>
      <c r="F38" s="9"/>
      <c r="G38" s="9">
        <f>E38</f>
        <v>0</v>
      </c>
      <c r="H38" s="11"/>
      <c r="I38" s="10"/>
      <c r="J38" s="14"/>
      <c r="K38" s="10"/>
      <c r="L38" s="10"/>
      <c r="M38" s="10"/>
      <c r="N38" s="10"/>
      <c r="O38" s="10"/>
      <c r="P38" s="14"/>
      <c r="Q38" s="10"/>
      <c r="T38">
        <v>34</v>
      </c>
      <c r="U38" s="28">
        <f>E136</f>
        <v>0</v>
      </c>
      <c r="V38" t="s">
        <v>77</v>
      </c>
      <c r="W38" s="29">
        <f>E138</f>
        <v>0</v>
      </c>
      <c r="Z38" s="34"/>
      <c r="AA38" s="40"/>
      <c r="AB38" s="40"/>
      <c r="AC38" s="38" t="s">
        <v>159</v>
      </c>
      <c r="AD38" s="48"/>
      <c r="AE38" s="53" t="e">
        <f>LOOKUP(AD38,T$5:T$78,U$5:U$75)</f>
        <v>#N/A</v>
      </c>
      <c r="AF38" s="37" t="s">
        <v>157</v>
      </c>
      <c r="AG38" s="65" t="e">
        <f>LOOKUP(AD38,T$5:T$78,W$5:W$75)</f>
        <v>#N/A</v>
      </c>
    </row>
    <row r="39" spans="4:33" ht="13" thickBot="1">
      <c r="E39" s="10"/>
      <c r="F39" s="10"/>
      <c r="G39" s="10"/>
      <c r="H39" s="13" t="s">
        <v>12</v>
      </c>
      <c r="I39" s="9" t="str">
        <f>IF(OR(H38="",H40=""),"",+IF(H38&gt;H40,E38,E40))</f>
        <v/>
      </c>
      <c r="J39" s="16"/>
      <c r="K39" s="10"/>
      <c r="L39" s="10"/>
      <c r="M39" s="10"/>
      <c r="N39" s="10"/>
      <c r="O39" s="10"/>
      <c r="P39" s="14"/>
      <c r="Q39" s="10"/>
      <c r="T39">
        <v>35</v>
      </c>
      <c r="U39" s="28">
        <f>E140</f>
        <v>0</v>
      </c>
      <c r="V39" t="s">
        <v>77</v>
      </c>
      <c r="W39" s="29">
        <f>E142</f>
        <v>0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D40">
        <v>17</v>
      </c>
      <c r="E40" s="9"/>
      <c r="F40" s="9"/>
      <c r="G40" s="9">
        <f>E40</f>
        <v>0</v>
      </c>
      <c r="H40" s="16"/>
      <c r="I40" s="10"/>
      <c r="J40" s="10"/>
      <c r="K40" s="10"/>
      <c r="L40" s="10"/>
      <c r="M40" s="10"/>
      <c r="N40" s="10"/>
      <c r="O40" s="10"/>
      <c r="P40" s="14"/>
      <c r="Q40" s="10"/>
      <c r="T40">
        <v>36</v>
      </c>
      <c r="U40" s="28">
        <f>E144</f>
        <v>0</v>
      </c>
      <c r="V40" t="s">
        <v>77</v>
      </c>
      <c r="W40" s="29">
        <f>E146</f>
        <v>0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4" t="s">
        <v>65</v>
      </c>
      <c r="Q41" s="9" t="str">
        <f>IF(OR(P25="",P60=""),"",+IF(P25&gt;P60,O25,O60))</f>
        <v/>
      </c>
      <c r="T41">
        <v>37</v>
      </c>
      <c r="U41" s="28" t="s">
        <v>169</v>
      </c>
      <c r="V41" t="s">
        <v>77</v>
      </c>
      <c r="W41" s="28" t="s">
        <v>163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9"/>
      <c r="F42" s="9"/>
      <c r="G42" s="9">
        <f>E42</f>
        <v>0</v>
      </c>
      <c r="H42" s="11"/>
      <c r="I42" s="10"/>
      <c r="J42" s="10"/>
      <c r="K42" s="10"/>
      <c r="L42" s="10"/>
      <c r="M42" s="10"/>
      <c r="N42" s="10"/>
      <c r="O42" s="10"/>
      <c r="P42" s="14"/>
      <c r="Q42" s="13"/>
      <c r="T42">
        <v>38</v>
      </c>
      <c r="U42" s="28" t="s">
        <v>170</v>
      </c>
      <c r="V42" t="s">
        <v>77</v>
      </c>
      <c r="W42" s="28" t="s">
        <v>164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>
      <c r="E43" s="12"/>
      <c r="F43" s="10"/>
      <c r="G43" s="10"/>
      <c r="H43" s="13"/>
      <c r="I43" s="10"/>
      <c r="J43" s="10"/>
      <c r="K43" s="10"/>
      <c r="L43" s="10"/>
      <c r="M43" s="10"/>
      <c r="N43" s="10"/>
      <c r="O43" s="10"/>
      <c r="P43" s="14"/>
      <c r="Q43" s="14"/>
      <c r="T43">
        <v>39</v>
      </c>
      <c r="U43" s="28" t="s">
        <v>171</v>
      </c>
      <c r="V43" t="s">
        <v>77</v>
      </c>
      <c r="W43" s="28" t="s">
        <v>87</v>
      </c>
      <c r="Z43" s="34"/>
      <c r="AA43" s="40"/>
      <c r="AB43" s="40"/>
      <c r="AC43" s="38" t="s">
        <v>159</v>
      </c>
      <c r="AD43" s="48">
        <v>61</v>
      </c>
      <c r="AE43" s="53" t="str">
        <f ca="1">LOOKUP(AD43,T$5:T$78,U$5:U$75)</f>
        <v>Venc.53</v>
      </c>
      <c r="AF43" s="37" t="s">
        <v>157</v>
      </c>
      <c r="AG43" s="65" t="str">
        <f ca="1">LOOKUP(AD43,T$5:T$78,W$5:W$75)</f>
        <v>Venc.J54</v>
      </c>
    </row>
    <row r="44" spans="4:33" ht="13" thickBot="1">
      <c r="E44" s="10"/>
      <c r="F44" s="10"/>
      <c r="G44" s="10"/>
      <c r="H44" s="14" t="s">
        <v>13</v>
      </c>
      <c r="I44" s="9" t="str">
        <f>IF(OR(H42="",H46=""),"",+IF(H42&gt;H46,E42,G46))</f>
        <v/>
      </c>
      <c r="J44" s="11"/>
      <c r="K44" s="10"/>
      <c r="L44" s="10"/>
      <c r="M44" s="10"/>
      <c r="N44" s="10"/>
      <c r="O44" s="10"/>
      <c r="P44" s="14"/>
      <c r="Q44" s="14"/>
      <c r="T44">
        <v>40</v>
      </c>
      <c r="U44" s="28" t="s">
        <v>173</v>
      </c>
      <c r="V44" t="s">
        <v>77</v>
      </c>
      <c r="W44" s="28" t="s">
        <v>89</v>
      </c>
      <c r="Z44" s="34"/>
      <c r="AA44" s="40"/>
      <c r="AB44" s="40"/>
      <c r="AC44" s="38" t="s">
        <v>159</v>
      </c>
      <c r="AD44" s="48">
        <v>62</v>
      </c>
      <c r="AE44" s="53" t="str">
        <f ca="1">LOOKUP(AD44,T$5:T$78,U$5:U$75)</f>
        <v>Venc.55</v>
      </c>
      <c r="AF44" s="37" t="s">
        <v>157</v>
      </c>
      <c r="AG44" s="65" t="str">
        <f ca="1">LOOKUP(AD44,T$5:T$78,W$5:W$75)</f>
        <v>Venc.J56</v>
      </c>
    </row>
    <row r="45" spans="4:33" ht="13" thickBot="1">
      <c r="D45">
        <v>19</v>
      </c>
      <c r="E45" s="10"/>
      <c r="F45" s="11"/>
      <c r="G45" s="10"/>
      <c r="H45" s="14"/>
      <c r="I45" s="10"/>
      <c r="J45" s="13"/>
      <c r="K45" s="10"/>
      <c r="L45" s="10"/>
      <c r="M45" s="10"/>
      <c r="N45" s="10"/>
      <c r="O45" s="10"/>
      <c r="P45" s="14"/>
      <c r="Q45" s="14"/>
      <c r="T45">
        <v>41</v>
      </c>
      <c r="U45" s="28" t="s">
        <v>167</v>
      </c>
      <c r="V45" t="s">
        <v>77</v>
      </c>
      <c r="W45" s="28" t="s">
        <v>91</v>
      </c>
      <c r="Z45" s="34"/>
      <c r="AA45" s="40"/>
      <c r="AB45" s="40"/>
      <c r="AC45" s="38" t="s">
        <v>159</v>
      </c>
      <c r="AD45" s="48">
        <v>63</v>
      </c>
      <c r="AE45" s="53" t="str">
        <f ca="1">LOOKUP(AD45,T$5:T$78,U$5:U$75)</f>
        <v>Venc.57</v>
      </c>
      <c r="AF45" s="37" t="s">
        <v>157</v>
      </c>
      <c r="AG45" s="65" t="str">
        <f ca="1">LOOKUP(AD45,T$5:T$78,W$5:W$75)</f>
        <v>Venc.J58</v>
      </c>
    </row>
    <row r="46" spans="4:33" ht="13" thickBot="1">
      <c r="E46" s="12"/>
      <c r="F46" s="13" t="s">
        <v>2</v>
      </c>
      <c r="G46" s="9" t="str">
        <f>IF(OR(F45="",F47=""),"",+IF(F45&gt;F47,E45,E47))</f>
        <v/>
      </c>
      <c r="H46" s="16"/>
      <c r="I46" s="10"/>
      <c r="J46" s="14"/>
      <c r="K46" s="10"/>
      <c r="L46" s="10"/>
      <c r="M46" s="10"/>
      <c r="N46" s="10"/>
      <c r="O46" s="10"/>
      <c r="P46" s="14"/>
      <c r="Q46" s="14"/>
      <c r="T46">
        <v>42</v>
      </c>
      <c r="U46" s="28" t="s">
        <v>172</v>
      </c>
      <c r="V46" t="s">
        <v>77</v>
      </c>
      <c r="W46" s="28" t="s">
        <v>165</v>
      </c>
      <c r="Z46" s="34"/>
      <c r="AA46" s="40"/>
      <c r="AB46" s="40"/>
      <c r="AC46" s="38" t="s">
        <v>159</v>
      </c>
      <c r="AD46" s="48">
        <v>64</v>
      </c>
      <c r="AE46" s="53" t="str">
        <f ca="1">LOOKUP(AD46,T$5:T$78,U$5:U$75)</f>
        <v>Venc.59</v>
      </c>
      <c r="AF46" s="37" t="s">
        <v>157</v>
      </c>
      <c r="AG46" s="65" t="str">
        <f ca="1">LOOKUP(AD46,T$5:T$78,W$5:W$75)</f>
        <v>Venc.J60</v>
      </c>
    </row>
    <row r="47" spans="4:33" ht="13" thickBot="1">
      <c r="D47">
        <v>20</v>
      </c>
      <c r="E47" s="10"/>
      <c r="F47" s="16"/>
      <c r="G47" s="10"/>
      <c r="H47" s="10"/>
      <c r="I47" s="10"/>
      <c r="J47" s="14" t="s">
        <v>41</v>
      </c>
      <c r="K47" s="9" t="str">
        <f>IF(OR(J44="",J50=""),"",+IF(J44&gt;J50,I44,I50))</f>
        <v/>
      </c>
      <c r="L47" s="17"/>
      <c r="M47" s="10"/>
      <c r="N47" s="10"/>
      <c r="O47" s="10"/>
      <c r="P47" s="14"/>
      <c r="Q47" s="14"/>
      <c r="T47">
        <v>43</v>
      </c>
      <c r="U47" s="28" t="s">
        <v>174</v>
      </c>
      <c r="V47" t="s">
        <v>77</v>
      </c>
      <c r="W47" s="28" t="s">
        <v>95</v>
      </c>
      <c r="Z47" s="34"/>
      <c r="AA47" s="41"/>
      <c r="AB47" s="33"/>
      <c r="AC47" s="33"/>
      <c r="AD47" s="50"/>
      <c r="AE47" s="54"/>
      <c r="AF47" s="33"/>
      <c r="AG47" s="58"/>
    </row>
    <row r="48" spans="4:33">
      <c r="E48" s="12"/>
      <c r="F48" s="10"/>
      <c r="G48" s="10"/>
      <c r="H48" s="10"/>
      <c r="I48" s="10"/>
      <c r="J48" s="14"/>
      <c r="K48" s="10"/>
      <c r="L48" s="10"/>
      <c r="M48" s="19"/>
      <c r="N48" s="10"/>
      <c r="O48" s="10"/>
      <c r="P48" s="14"/>
      <c r="Q48" s="14"/>
      <c r="T48">
        <v>44</v>
      </c>
      <c r="U48" s="28" t="s">
        <v>175</v>
      </c>
      <c r="V48" t="s">
        <v>77</v>
      </c>
      <c r="W48" s="28" t="s">
        <v>97</v>
      </c>
      <c r="Z48" s="34"/>
      <c r="AA48" s="40"/>
      <c r="AB48" s="40"/>
      <c r="AC48" s="38" t="s">
        <v>159</v>
      </c>
      <c r="AD48" s="48">
        <v>65</v>
      </c>
      <c r="AE48" s="53" t="str">
        <f ca="1">LOOKUP(AD48,T$5:T$78,U$5:U$75)</f>
        <v>Venc.61</v>
      </c>
      <c r="AF48" s="37" t="s">
        <v>157</v>
      </c>
      <c r="AG48" s="65" t="str">
        <f ca="1">LOOKUP(AD48,T$5:T$78,W$5:W$75)</f>
        <v>Venc.J62</v>
      </c>
    </row>
    <row r="49" spans="4:33" ht="13" thickBot="1">
      <c r="D49">
        <v>21</v>
      </c>
      <c r="E49" s="9"/>
      <c r="F49" s="9"/>
      <c r="G49" s="9">
        <f>E49</f>
        <v>0</v>
      </c>
      <c r="H49" s="11"/>
      <c r="I49" s="10"/>
      <c r="J49" s="14"/>
      <c r="K49" s="10"/>
      <c r="L49" s="10"/>
      <c r="M49" s="19"/>
      <c r="N49" s="10"/>
      <c r="O49" s="10"/>
      <c r="P49" s="14"/>
      <c r="Q49" s="14"/>
      <c r="T49">
        <v>45</v>
      </c>
      <c r="U49" s="28" t="s">
        <v>176</v>
      </c>
      <c r="V49" t="s">
        <v>77</v>
      </c>
      <c r="W49" s="28" t="s">
        <v>99</v>
      </c>
      <c r="Z49" s="34"/>
      <c r="AA49" s="40"/>
      <c r="AB49" s="40"/>
      <c r="AC49" s="38" t="s">
        <v>159</v>
      </c>
      <c r="AD49" s="48">
        <v>66</v>
      </c>
      <c r="AE49" s="53" t="str">
        <f ca="1">LOOKUP(AD49,T$5:T$78,U$5:U$75)</f>
        <v>Venc.63</v>
      </c>
      <c r="AF49" s="37" t="s">
        <v>157</v>
      </c>
      <c r="AG49" s="65" t="str">
        <f ca="1">LOOKUP(AD49,T$5:T$78,W$5:W$75)</f>
        <v>Venc.J64</v>
      </c>
    </row>
    <row r="50" spans="4:33" ht="13" thickBot="1">
      <c r="E50" s="10"/>
      <c r="F50" s="10"/>
      <c r="G50" s="10"/>
      <c r="H50" s="13" t="s">
        <v>14</v>
      </c>
      <c r="I50" s="9" t="str">
        <f>IF(OR(H49="",H51=""),"",+IF(H49&gt;H51,E49,E51))</f>
        <v/>
      </c>
      <c r="J50" s="16"/>
      <c r="K50" s="10"/>
      <c r="L50" s="10"/>
      <c r="M50" s="19"/>
      <c r="N50" s="10"/>
      <c r="O50" s="10"/>
      <c r="P50" s="14"/>
      <c r="Q50" s="14"/>
      <c r="T50">
        <v>46</v>
      </c>
      <c r="U50" s="28" t="s">
        <v>177</v>
      </c>
      <c r="V50" t="s">
        <v>77</v>
      </c>
      <c r="W50" s="28" t="s">
        <v>101</v>
      </c>
      <c r="Z50" s="34"/>
      <c r="AA50" s="40"/>
      <c r="AB50" s="40"/>
      <c r="AC50" s="38" t="s">
        <v>159</v>
      </c>
      <c r="AD50" s="48"/>
      <c r="AE50" s="53" t="e">
        <f>LOOKUP(AD50,T$5:T$78,U$5:U$75)</f>
        <v>#N/A</v>
      </c>
      <c r="AF50" s="37" t="s">
        <v>157</v>
      </c>
      <c r="AG50" s="65" t="e">
        <f>LOOKUP(AD50,T$5:T$78,W$5:W$75)</f>
        <v>#N/A</v>
      </c>
    </row>
    <row r="51" spans="4:33" ht="13" thickBot="1">
      <c r="D51">
        <v>22</v>
      </c>
      <c r="E51" s="9"/>
      <c r="F51" s="9"/>
      <c r="G51" s="9">
        <f>E51</f>
        <v>0</v>
      </c>
      <c r="H51" s="16"/>
      <c r="I51" s="10"/>
      <c r="J51" s="10"/>
      <c r="K51" s="10"/>
      <c r="L51" s="10"/>
      <c r="M51" s="19"/>
      <c r="N51" s="10"/>
      <c r="O51" s="10"/>
      <c r="P51" s="14"/>
      <c r="Q51" s="14"/>
      <c r="T51">
        <v>47</v>
      </c>
      <c r="U51" s="28" t="s">
        <v>178</v>
      </c>
      <c r="V51" t="s">
        <v>77</v>
      </c>
      <c r="W51" s="28" t="s">
        <v>103</v>
      </c>
      <c r="Z51" s="34"/>
      <c r="AA51" s="40"/>
      <c r="AB51" s="40"/>
      <c r="AC51" s="38" t="s">
        <v>159</v>
      </c>
      <c r="AD51" s="48"/>
      <c r="AE51" s="53" t="e">
        <f>LOOKUP(AD51,T$5:T$78,U$5:U$75)</f>
        <v>#N/A</v>
      </c>
      <c r="AF51" s="37" t="s">
        <v>157</v>
      </c>
      <c r="AG51" s="65" t="e">
        <f>LOOKUP(AD51,T$5:T$78,W$5:W$75)</f>
        <v>#N/A</v>
      </c>
    </row>
    <row r="52" spans="4:33" ht="13" thickBot="1">
      <c r="E52" s="10"/>
      <c r="F52" s="10"/>
      <c r="G52" s="10"/>
      <c r="H52" s="10"/>
      <c r="I52" s="10"/>
      <c r="J52" s="10"/>
      <c r="K52" s="10"/>
      <c r="L52" s="14" t="s">
        <v>55</v>
      </c>
      <c r="M52" s="9" t="str">
        <f>IF(OR(L47="",L56=""),"",+IF(L47&gt;L56,K47,K56))</f>
        <v/>
      </c>
      <c r="N52" s="17"/>
      <c r="O52" s="10"/>
      <c r="P52" s="14"/>
      <c r="Q52" s="14"/>
      <c r="T52">
        <v>48</v>
      </c>
      <c r="U52" s="28" t="s">
        <v>179</v>
      </c>
      <c r="V52" t="s">
        <v>77</v>
      </c>
      <c r="W52" s="28" t="s">
        <v>105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9"/>
      <c r="F53" s="9"/>
      <c r="G53" s="9">
        <f>E53</f>
        <v>0</v>
      </c>
      <c r="H53" s="11"/>
      <c r="I53" s="10"/>
      <c r="J53" s="10"/>
      <c r="K53" s="10"/>
      <c r="L53" s="10"/>
      <c r="M53" s="19"/>
      <c r="N53" s="13"/>
      <c r="O53" s="10"/>
      <c r="P53" s="14"/>
      <c r="Q53" s="14"/>
      <c r="T53">
        <v>49</v>
      </c>
      <c r="U53" s="28" t="s">
        <v>180</v>
      </c>
      <c r="V53" t="s">
        <v>77</v>
      </c>
      <c r="W53" s="28" t="s">
        <v>107</v>
      </c>
      <c r="Z53" s="34"/>
      <c r="AA53" s="40"/>
      <c r="AB53" s="40"/>
      <c r="AC53" s="38" t="s">
        <v>159</v>
      </c>
      <c r="AD53" s="48"/>
      <c r="AE53" s="53" t="e">
        <f>LOOKUP(AD53,T$5:T$78,U$5:U$75)</f>
        <v>#N/A</v>
      </c>
      <c r="AF53" s="37" t="s">
        <v>157</v>
      </c>
      <c r="AG53" s="65" t="e">
        <f>LOOKUP(AD53,T$5:T$78,W$5:W$75)</f>
        <v>#N/A</v>
      </c>
    </row>
    <row r="54" spans="4:33" ht="13" thickBot="1">
      <c r="E54" s="10"/>
      <c r="F54" s="10"/>
      <c r="G54" s="12"/>
      <c r="H54" s="13" t="s">
        <v>15</v>
      </c>
      <c r="I54" s="9" t="str">
        <f>IF(OR(H53="",H55=""),"",+IF(H53&gt;H55,E53,E55))</f>
        <v/>
      </c>
      <c r="J54" s="17"/>
      <c r="K54" s="10"/>
      <c r="L54" s="10"/>
      <c r="M54" s="19"/>
      <c r="N54" s="14"/>
      <c r="O54" s="10"/>
      <c r="P54" s="14"/>
      <c r="Q54" s="14"/>
      <c r="T54">
        <v>50</v>
      </c>
      <c r="U54" s="28" t="s">
        <v>181</v>
      </c>
      <c r="V54" t="s">
        <v>77</v>
      </c>
      <c r="W54" s="28" t="s">
        <v>109</v>
      </c>
      <c r="Z54" s="34"/>
      <c r="AA54" s="40"/>
      <c r="AB54" s="40"/>
      <c r="AC54" s="38" t="s">
        <v>159</v>
      </c>
      <c r="AD54" s="48"/>
      <c r="AE54" s="53" t="e">
        <f>LOOKUP(AD54,T$5:T$78,U$5:U$75)</f>
        <v>#N/A</v>
      </c>
      <c r="AF54" s="37" t="s">
        <v>157</v>
      </c>
      <c r="AG54" s="65" t="e">
        <f>LOOKUP(AD54,T$5:T$78,W$5:W$75)</f>
        <v>#N/A</v>
      </c>
    </row>
    <row r="55" spans="4:33" ht="13" thickBot="1">
      <c r="D55">
        <v>24</v>
      </c>
      <c r="E55" s="9"/>
      <c r="F55" s="9"/>
      <c r="G55" s="9">
        <f>E55</f>
        <v>0</v>
      </c>
      <c r="H55" s="16"/>
      <c r="I55" s="10"/>
      <c r="J55" s="14"/>
      <c r="K55" s="10"/>
      <c r="L55" s="10"/>
      <c r="M55" s="19"/>
      <c r="N55" s="14"/>
      <c r="O55" s="10"/>
      <c r="P55" s="14"/>
      <c r="Q55" s="14"/>
      <c r="T55">
        <v>51</v>
      </c>
      <c r="U55" s="28" t="s">
        <v>182</v>
      </c>
      <c r="V55" t="s">
        <v>77</v>
      </c>
      <c r="W55" s="28" t="s">
        <v>111</v>
      </c>
      <c r="Z55" s="34"/>
      <c r="AA55" s="40"/>
      <c r="AB55" s="40"/>
      <c r="AC55" s="38" t="s">
        <v>159</v>
      </c>
      <c r="AD55" s="48"/>
      <c r="AE55" s="53" t="e">
        <f>LOOKUP(AD55,T$5:T$78,U$5:U$75)</f>
        <v>#N/A</v>
      </c>
      <c r="AF55" s="37" t="s">
        <v>157</v>
      </c>
      <c r="AG55" s="65" t="e">
        <f>LOOKUP(AD55,T$5:T$78,W$5:W$75)</f>
        <v>#N/A</v>
      </c>
    </row>
    <row r="56" spans="4:33" ht="13" thickBot="1">
      <c r="E56" s="10"/>
      <c r="F56" s="10"/>
      <c r="G56" s="12"/>
      <c r="H56" s="10"/>
      <c r="I56" s="10"/>
      <c r="J56" s="14" t="s">
        <v>42</v>
      </c>
      <c r="K56" s="9" t="str">
        <f>IF(OR(J54="",J58=""),"",+IF(J54&gt;J58,I54,I58))</f>
        <v/>
      </c>
      <c r="L56" s="16"/>
      <c r="M56" s="19"/>
      <c r="N56" s="14"/>
      <c r="O56" s="10"/>
      <c r="P56" s="14"/>
      <c r="Q56" s="14"/>
      <c r="T56">
        <v>52</v>
      </c>
      <c r="U56" s="28" t="s">
        <v>183</v>
      </c>
      <c r="V56" t="s">
        <v>77</v>
      </c>
      <c r="W56" s="28" t="s">
        <v>113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9"/>
      <c r="F57" s="9"/>
      <c r="G57" s="9">
        <f>E57</f>
        <v>0</v>
      </c>
      <c r="H57" s="11"/>
      <c r="I57" s="10"/>
      <c r="J57" s="14"/>
      <c r="K57" s="10"/>
      <c r="L57" s="10"/>
      <c r="M57" s="10"/>
      <c r="N57" s="14"/>
      <c r="O57" s="10"/>
      <c r="P57" s="14"/>
      <c r="Q57" s="14"/>
      <c r="T57">
        <v>53</v>
      </c>
      <c r="U57" s="28" t="s">
        <v>184</v>
      </c>
      <c r="V57" t="s">
        <v>77</v>
      </c>
      <c r="W57" s="28" t="s">
        <v>115</v>
      </c>
    </row>
    <row r="58" spans="4:33" ht="13" thickBot="1">
      <c r="E58" s="10"/>
      <c r="F58" s="10"/>
      <c r="G58" s="12"/>
      <c r="H58" s="13" t="s">
        <v>16</v>
      </c>
      <c r="I58" s="9" t="str">
        <f>IF(OR(H57="",H59=""),"",+IF(H57&gt;H59,E57,E59))</f>
        <v/>
      </c>
      <c r="J58" s="16"/>
      <c r="K58" s="10"/>
      <c r="L58" s="10"/>
      <c r="M58" s="10"/>
      <c r="N58" s="14"/>
      <c r="O58" s="10"/>
      <c r="P58" s="14"/>
      <c r="Q58" s="14"/>
      <c r="T58">
        <v>54</v>
      </c>
      <c r="U58" s="28" t="s">
        <v>185</v>
      </c>
      <c r="V58" t="s">
        <v>77</v>
      </c>
      <c r="W58" s="28" t="s">
        <v>117</v>
      </c>
    </row>
    <row r="59" spans="4:33" ht="13" thickBot="1">
      <c r="D59">
        <v>26</v>
      </c>
      <c r="E59" s="9"/>
      <c r="F59" s="9"/>
      <c r="G59" s="9">
        <f>E59</f>
        <v>0</v>
      </c>
      <c r="H59" s="16"/>
      <c r="I59" s="10"/>
      <c r="J59" s="10"/>
      <c r="K59" s="10"/>
      <c r="L59" s="10"/>
      <c r="M59" s="10"/>
      <c r="N59" s="14"/>
      <c r="O59" s="10"/>
      <c r="P59" s="14"/>
      <c r="Q59" s="14"/>
      <c r="T59">
        <v>55</v>
      </c>
      <c r="U59" s="28" t="s">
        <v>186</v>
      </c>
      <c r="V59" t="s">
        <v>77</v>
      </c>
      <c r="W59" s="28" t="s">
        <v>119</v>
      </c>
    </row>
    <row r="60" spans="4:33" ht="13" thickBot="1">
      <c r="E60" s="10"/>
      <c r="F60" s="10"/>
      <c r="G60" s="10"/>
      <c r="H60" s="10"/>
      <c r="I60" s="10"/>
      <c r="J60" s="10"/>
      <c r="K60" s="10"/>
      <c r="L60" s="10"/>
      <c r="M60" s="10"/>
      <c r="N60" s="14" t="s">
        <v>62</v>
      </c>
      <c r="O60" s="9" t="str">
        <f>IF(OR(N52="",N68=""),"",+IF(N52&gt;N68,M52,M68))</f>
        <v/>
      </c>
      <c r="P60" s="16"/>
      <c r="Q60" s="14"/>
      <c r="T60">
        <v>56</v>
      </c>
      <c r="U60" s="28" t="s">
        <v>187</v>
      </c>
      <c r="V60" t="s">
        <v>77</v>
      </c>
      <c r="W60" s="28" t="s">
        <v>121</v>
      </c>
    </row>
    <row r="61" spans="4:33" ht="13" thickBot="1">
      <c r="D61">
        <v>27</v>
      </c>
      <c r="E61" s="9"/>
      <c r="F61" s="9"/>
      <c r="G61" s="9">
        <f>E61</f>
        <v>0</v>
      </c>
      <c r="H61" s="11"/>
      <c r="I61" s="10"/>
      <c r="J61" s="10"/>
      <c r="K61" s="10"/>
      <c r="L61" s="10"/>
      <c r="M61" s="10"/>
      <c r="N61" s="14"/>
      <c r="O61" s="10"/>
      <c r="P61" s="10"/>
      <c r="Q61" s="14"/>
      <c r="T61">
        <v>57</v>
      </c>
      <c r="U61" s="28" t="s">
        <v>188</v>
      </c>
      <c r="V61" t="s">
        <v>77</v>
      </c>
      <c r="W61" s="28" t="s">
        <v>123</v>
      </c>
    </row>
    <row r="62" spans="4:33" ht="13" thickBot="1">
      <c r="E62" s="10"/>
      <c r="F62" s="10"/>
      <c r="G62" s="10"/>
      <c r="H62" s="13" t="s">
        <v>17</v>
      </c>
      <c r="I62" s="9" t="str">
        <f>IF(OR(H61="",H63=""),"",+IF(H61&gt;H63,E61,E63))</f>
        <v/>
      </c>
      <c r="J62" s="17"/>
      <c r="K62" s="10"/>
      <c r="L62" s="10"/>
      <c r="M62" s="10"/>
      <c r="N62" s="14"/>
      <c r="O62" s="10"/>
      <c r="P62" s="10"/>
      <c r="Q62" s="14"/>
      <c r="T62">
        <v>58</v>
      </c>
      <c r="U62" s="28" t="s">
        <v>189</v>
      </c>
      <c r="V62" t="s">
        <v>77</v>
      </c>
      <c r="W62" s="28" t="s">
        <v>125</v>
      </c>
    </row>
    <row r="63" spans="4:33" ht="13" thickBot="1">
      <c r="D63">
        <v>28</v>
      </c>
      <c r="E63" s="9"/>
      <c r="F63" s="9"/>
      <c r="G63" s="9">
        <f>E63</f>
        <v>0</v>
      </c>
      <c r="H63" s="16"/>
      <c r="I63" s="10"/>
      <c r="J63" s="14"/>
      <c r="K63" s="10"/>
      <c r="L63" s="10"/>
      <c r="M63" s="10"/>
      <c r="N63" s="14"/>
      <c r="O63" s="10"/>
      <c r="P63" s="10"/>
      <c r="Q63" s="14"/>
      <c r="T63">
        <v>59</v>
      </c>
      <c r="U63" s="28" t="s">
        <v>190</v>
      </c>
      <c r="V63" t="s">
        <v>77</v>
      </c>
      <c r="W63" s="28" t="s">
        <v>127</v>
      </c>
    </row>
    <row r="64" spans="4:33" ht="13" thickBot="1">
      <c r="E64" s="10"/>
      <c r="F64" s="10"/>
      <c r="G64" s="10"/>
      <c r="H64" s="10"/>
      <c r="I64" s="10"/>
      <c r="J64" s="14" t="s">
        <v>43</v>
      </c>
      <c r="K64" s="9" t="str">
        <f>IF(OR(J62="",J66=""),"",+IF(J62&gt;J66,I62,I66))</f>
        <v/>
      </c>
      <c r="L64" s="17"/>
      <c r="M64" s="10"/>
      <c r="N64" s="14"/>
      <c r="O64" s="10"/>
      <c r="P64" s="10"/>
      <c r="Q64" s="14"/>
      <c r="T64">
        <v>60</v>
      </c>
      <c r="U64" s="28" t="s">
        <v>191</v>
      </c>
      <c r="V64" t="s">
        <v>77</v>
      </c>
      <c r="W64" s="28" t="s">
        <v>128</v>
      </c>
    </row>
    <row r="65" spans="4:23" ht="13" thickBot="1">
      <c r="D65">
        <v>29</v>
      </c>
      <c r="E65" s="9"/>
      <c r="F65" s="9"/>
      <c r="G65" s="9">
        <f>E65</f>
        <v>0</v>
      </c>
      <c r="H65" s="11"/>
      <c r="I65" s="10"/>
      <c r="J65" s="14"/>
      <c r="K65" s="10"/>
      <c r="L65" s="13"/>
      <c r="M65" s="10"/>
      <c r="N65" s="14"/>
      <c r="O65" s="10"/>
      <c r="P65" s="10"/>
      <c r="Q65" s="14"/>
      <c r="T65">
        <v>61</v>
      </c>
      <c r="U65" s="28" t="s">
        <v>192</v>
      </c>
      <c r="V65" t="s">
        <v>77</v>
      </c>
      <c r="W65" s="28" t="s">
        <v>131</v>
      </c>
    </row>
    <row r="66" spans="4:23" ht="13" thickBot="1">
      <c r="E66" s="10"/>
      <c r="F66" s="10"/>
      <c r="G66" s="10"/>
      <c r="H66" s="13" t="s">
        <v>18</v>
      </c>
      <c r="I66" s="9" t="str">
        <f>IF(OR(H65="",H67=""),"",+IF(H65&gt;H67,E65,E67))</f>
        <v/>
      </c>
      <c r="J66" s="16"/>
      <c r="K66" s="10"/>
      <c r="L66" s="14"/>
      <c r="M66" s="10"/>
      <c r="N66" s="14"/>
      <c r="O66" s="10"/>
      <c r="P66" s="10"/>
      <c r="Q66" s="14"/>
      <c r="T66">
        <v>62</v>
      </c>
      <c r="U66" s="28" t="s">
        <v>193</v>
      </c>
      <c r="V66" t="s">
        <v>77</v>
      </c>
      <c r="W66" s="28" t="s">
        <v>133</v>
      </c>
    </row>
    <row r="67" spans="4:23" ht="13" thickBot="1">
      <c r="D67">
        <v>30</v>
      </c>
      <c r="E67" s="9"/>
      <c r="F67" s="9"/>
      <c r="G67" s="9">
        <f>E67</f>
        <v>0</v>
      </c>
      <c r="H67" s="16"/>
      <c r="I67" s="10"/>
      <c r="J67" s="10"/>
      <c r="K67" s="10"/>
      <c r="L67" s="14"/>
      <c r="M67" s="10"/>
      <c r="N67" s="14"/>
      <c r="O67" s="10"/>
      <c r="P67" s="10"/>
      <c r="Q67" s="14"/>
      <c r="T67">
        <v>63</v>
      </c>
      <c r="U67" s="28" t="s">
        <v>194</v>
      </c>
      <c r="V67" t="s">
        <v>77</v>
      </c>
      <c r="W67" s="28" t="s">
        <v>135</v>
      </c>
    </row>
    <row r="68" spans="4:23" ht="13" thickBot="1">
      <c r="E68" s="10"/>
      <c r="F68" s="10"/>
      <c r="G68" s="10"/>
      <c r="H68" s="10"/>
      <c r="I68" s="10"/>
      <c r="J68" s="10"/>
      <c r="K68" s="10"/>
      <c r="L68" s="14" t="s">
        <v>56</v>
      </c>
      <c r="M68" s="9" t="str">
        <f>IF(OR(L64="",L72=""),"",+IF(L64&gt;L72,K64,K72))</f>
        <v/>
      </c>
      <c r="N68" s="16"/>
      <c r="O68" s="10"/>
      <c r="P68" s="10"/>
      <c r="Q68" s="14"/>
      <c r="T68">
        <v>64</v>
      </c>
      <c r="U68" s="28" t="s">
        <v>195</v>
      </c>
      <c r="V68" t="s">
        <v>77</v>
      </c>
      <c r="W68" s="28" t="s">
        <v>137</v>
      </c>
    </row>
    <row r="69" spans="4:23" ht="13" thickBot="1">
      <c r="D69">
        <v>31</v>
      </c>
      <c r="E69" s="9"/>
      <c r="F69" s="9"/>
      <c r="G69" s="9">
        <f>E69</f>
        <v>0</v>
      </c>
      <c r="H69" s="11"/>
      <c r="I69" s="10"/>
      <c r="J69" s="10"/>
      <c r="K69" s="10"/>
      <c r="L69" s="14"/>
      <c r="M69" s="10"/>
      <c r="N69" s="10"/>
      <c r="O69" s="10"/>
      <c r="P69" s="10"/>
      <c r="Q69" s="14"/>
      <c r="T69">
        <v>65</v>
      </c>
      <c r="U69" s="28" t="s">
        <v>196</v>
      </c>
      <c r="V69" t="s">
        <v>77</v>
      </c>
      <c r="W69" s="28" t="s">
        <v>144</v>
      </c>
    </row>
    <row r="70" spans="4:23" ht="13" thickBot="1">
      <c r="E70" s="10"/>
      <c r="F70" s="10"/>
      <c r="G70" s="10"/>
      <c r="H70" s="13" t="s">
        <v>19</v>
      </c>
      <c r="I70" s="9" t="str">
        <f>IF(OR(H69="",H71=""),"",+IF(H69&gt;H71,E69,E71))</f>
        <v/>
      </c>
      <c r="J70" s="17"/>
      <c r="K70" s="10"/>
      <c r="L70" s="14"/>
      <c r="M70" s="10"/>
      <c r="N70" s="10"/>
      <c r="O70" s="10"/>
      <c r="P70" s="10"/>
      <c r="Q70" s="14"/>
      <c r="T70">
        <v>66</v>
      </c>
      <c r="U70" s="28" t="s">
        <v>197</v>
      </c>
      <c r="V70" t="s">
        <v>77</v>
      </c>
      <c r="W70" s="28" t="s">
        <v>140</v>
      </c>
    </row>
    <row r="71" spans="4:23" ht="13" thickBot="1">
      <c r="D71">
        <v>32</v>
      </c>
      <c r="E71" s="9"/>
      <c r="F71" s="9"/>
      <c r="G71" s="9">
        <f>E71</f>
        <v>0</v>
      </c>
      <c r="H71" s="16"/>
      <c r="I71" s="10"/>
      <c r="J71" s="14"/>
      <c r="K71" s="10"/>
      <c r="L71" s="14"/>
      <c r="M71" s="10"/>
      <c r="N71" s="10"/>
      <c r="O71" s="10"/>
      <c r="P71" s="10"/>
      <c r="Q71" s="14"/>
      <c r="T71">
        <v>67</v>
      </c>
      <c r="U71" s="28" t="s">
        <v>198</v>
      </c>
      <c r="V71" t="s">
        <v>77</v>
      </c>
      <c r="W71" s="28" t="s">
        <v>143</v>
      </c>
    </row>
    <row r="72" spans="4:23" ht="13" thickBot="1">
      <c r="E72" s="10"/>
      <c r="F72" s="10"/>
      <c r="G72" s="10"/>
      <c r="H72" s="10"/>
      <c r="I72" s="10"/>
      <c r="J72" s="14" t="s">
        <v>44</v>
      </c>
      <c r="K72" s="9" t="str">
        <f>IF(OR(J70="",J74=""),"",+IF(J70&gt;J74,I70,I74))</f>
        <v/>
      </c>
      <c r="L72" s="16"/>
      <c r="M72" s="10"/>
      <c r="N72" s="10"/>
      <c r="O72" s="10"/>
      <c r="P72" s="10"/>
      <c r="Q72" s="14"/>
    </row>
    <row r="73" spans="4:23" ht="13" thickBot="1">
      <c r="D73">
        <v>33</v>
      </c>
      <c r="E73" s="9"/>
      <c r="F73" s="9"/>
      <c r="G73" s="9">
        <f>E73</f>
        <v>0</v>
      </c>
      <c r="H73" s="11"/>
      <c r="I73" s="10"/>
      <c r="J73" s="14"/>
      <c r="K73" s="10"/>
      <c r="L73" s="10"/>
      <c r="M73" s="10"/>
      <c r="N73" s="10"/>
      <c r="O73" s="10"/>
      <c r="P73" s="10"/>
      <c r="Q73" s="14"/>
    </row>
    <row r="74" spans="4:23" ht="13" thickBot="1">
      <c r="E74" s="10"/>
      <c r="F74" s="10"/>
      <c r="G74" s="10"/>
      <c r="H74" s="13" t="s">
        <v>20</v>
      </c>
      <c r="I74" s="9" t="str">
        <f>IF(OR(H73="",H75=""),"",+IF(H73&gt;H75,E73,E75))</f>
        <v/>
      </c>
      <c r="J74" s="16"/>
      <c r="K74" s="10"/>
      <c r="L74" s="10"/>
      <c r="M74" s="10"/>
      <c r="N74" s="10"/>
      <c r="O74" s="10"/>
      <c r="P74" s="10"/>
      <c r="Q74" s="14"/>
    </row>
    <row r="75" spans="4:23" ht="13" thickBot="1">
      <c r="D75">
        <v>34</v>
      </c>
      <c r="E75" s="9"/>
      <c r="F75" s="9"/>
      <c r="G75" s="9">
        <f>E75</f>
        <v>0</v>
      </c>
      <c r="H75" s="16"/>
      <c r="I75" s="10"/>
      <c r="J75" s="10"/>
      <c r="K75" s="10"/>
      <c r="L75" s="10"/>
      <c r="M75" s="10"/>
      <c r="N75" s="10"/>
      <c r="O75" s="10"/>
      <c r="P75" s="10"/>
      <c r="Q75" s="14"/>
    </row>
    <row r="76" spans="4:23">
      <c r="Q76" s="6"/>
    </row>
    <row r="77" spans="4:23">
      <c r="Q77" s="6"/>
    </row>
    <row r="78" spans="4:23" ht="13" thickBot="1">
      <c r="D78">
        <v>35</v>
      </c>
      <c r="E78" s="9"/>
      <c r="F78" s="9"/>
      <c r="G78" s="9">
        <f>E78</f>
        <v>0</v>
      </c>
      <c r="H78" s="11"/>
      <c r="I78" s="10"/>
      <c r="J78" s="10"/>
      <c r="K78" s="10"/>
      <c r="L78" s="10"/>
      <c r="M78" s="10"/>
      <c r="N78" s="10"/>
      <c r="O78" s="10"/>
      <c r="P78" s="10"/>
      <c r="Q78" s="68" t="s">
        <v>67</v>
      </c>
      <c r="R78" s="27"/>
    </row>
    <row r="79" spans="4:23">
      <c r="E79" s="12"/>
      <c r="F79" s="10"/>
      <c r="G79" s="10"/>
      <c r="H79" s="13"/>
      <c r="I79" s="10"/>
      <c r="J79" s="10"/>
      <c r="K79" s="10"/>
      <c r="L79" s="10"/>
      <c r="M79" s="10"/>
      <c r="N79" s="10"/>
      <c r="O79" s="10"/>
      <c r="P79" s="10"/>
      <c r="Q79" s="14"/>
    </row>
    <row r="80" spans="4:23" ht="13" thickBot="1">
      <c r="E80" s="10"/>
      <c r="F80" s="10"/>
      <c r="G80" s="10"/>
      <c r="H80" s="14" t="s">
        <v>21</v>
      </c>
      <c r="I80" s="9" t="str">
        <f>IF(OR(H78="",H82=""),"",+IF(H78&gt;H82,E78,G82))</f>
        <v/>
      </c>
      <c r="J80" s="11"/>
      <c r="K80" s="10"/>
      <c r="L80" s="10"/>
      <c r="M80" s="10"/>
      <c r="N80" s="10"/>
      <c r="O80" s="10"/>
      <c r="P80" s="10"/>
      <c r="Q80" s="14"/>
    </row>
    <row r="81" spans="4:17" ht="13" thickBot="1">
      <c r="D81">
        <v>36</v>
      </c>
      <c r="E81" s="10"/>
      <c r="F81" s="11"/>
      <c r="G81" s="10"/>
      <c r="H81" s="14"/>
      <c r="I81" s="10"/>
      <c r="J81" s="13"/>
      <c r="K81" s="10"/>
      <c r="L81" s="10"/>
      <c r="M81" s="10"/>
      <c r="N81" s="10"/>
      <c r="O81" s="10"/>
      <c r="P81" s="10"/>
      <c r="Q81" s="14"/>
    </row>
    <row r="82" spans="4:17" ht="13" thickBot="1">
      <c r="E82" s="12"/>
      <c r="F82" s="13" t="s">
        <v>3</v>
      </c>
      <c r="G82" s="9" t="str">
        <f>IF(OR(F81="",F83=""),"",+IF(F81&gt;F83,E81,E83))</f>
        <v/>
      </c>
      <c r="H82" s="16"/>
      <c r="I82" s="10"/>
      <c r="J82" s="14"/>
      <c r="K82" s="10"/>
      <c r="L82" s="10"/>
      <c r="M82" s="10"/>
      <c r="N82" s="10"/>
      <c r="O82" s="10"/>
      <c r="P82" s="10"/>
      <c r="Q82" s="14"/>
    </row>
    <row r="83" spans="4:17" ht="13" thickBot="1">
      <c r="D83">
        <v>37</v>
      </c>
      <c r="E83" s="10"/>
      <c r="F83" s="16"/>
      <c r="G83" s="10"/>
      <c r="H83" s="10"/>
      <c r="I83" s="10"/>
      <c r="J83" s="14" t="s">
        <v>45</v>
      </c>
      <c r="K83" s="9" t="str">
        <f>IF(OR(J80="",J86=""),"",+IF(J80&gt;J86,I80,I86))</f>
        <v/>
      </c>
      <c r="L83" s="17"/>
      <c r="M83" s="10"/>
      <c r="N83" s="10"/>
      <c r="O83" s="10"/>
      <c r="P83" s="10"/>
      <c r="Q83" s="14"/>
    </row>
    <row r="84" spans="4:17">
      <c r="E84" s="12"/>
      <c r="F84" s="10"/>
      <c r="G84" s="10"/>
      <c r="H84" s="10"/>
      <c r="I84" s="10"/>
      <c r="J84" s="14"/>
      <c r="K84" s="10"/>
      <c r="L84" s="10"/>
      <c r="M84" s="19"/>
      <c r="N84" s="10"/>
      <c r="O84" s="10"/>
      <c r="P84" s="10"/>
      <c r="Q84" s="14"/>
    </row>
    <row r="85" spans="4:17" ht="13" thickBot="1">
      <c r="D85">
        <v>38</v>
      </c>
      <c r="E85" s="9"/>
      <c r="F85" s="9"/>
      <c r="G85" s="9">
        <f>E85</f>
        <v>0</v>
      </c>
      <c r="H85" s="11"/>
      <c r="I85" s="10"/>
      <c r="J85" s="14"/>
      <c r="K85" s="10"/>
      <c r="L85" s="10"/>
      <c r="M85" s="19"/>
      <c r="N85" s="10"/>
      <c r="O85" s="10"/>
      <c r="P85" s="10"/>
      <c r="Q85" s="14"/>
    </row>
    <row r="86" spans="4:17" ht="13" thickBot="1">
      <c r="E86" s="10"/>
      <c r="F86" s="10"/>
      <c r="G86" s="10"/>
      <c r="H86" s="13" t="s">
        <v>22</v>
      </c>
      <c r="I86" s="9" t="str">
        <f>IF(OR(H85="",H87=""),"",+IF(H85&gt;H87,E85,E87))</f>
        <v/>
      </c>
      <c r="J86" s="16"/>
      <c r="K86" s="10"/>
      <c r="L86" s="10"/>
      <c r="M86" s="19"/>
      <c r="N86" s="10"/>
      <c r="O86" s="10"/>
      <c r="P86" s="10"/>
      <c r="Q86" s="14"/>
    </row>
    <row r="87" spans="4:17" ht="13" thickBot="1">
      <c r="D87">
        <v>39</v>
      </c>
      <c r="E87" s="9"/>
      <c r="F87" s="9"/>
      <c r="G87" s="9">
        <f>E87</f>
        <v>0</v>
      </c>
      <c r="H87" s="16"/>
      <c r="I87" s="10"/>
      <c r="J87" s="10"/>
      <c r="K87" s="10"/>
      <c r="L87" s="10"/>
      <c r="M87" s="19"/>
      <c r="N87" s="10"/>
      <c r="O87" s="10"/>
      <c r="P87" s="10"/>
      <c r="Q87" s="14"/>
    </row>
    <row r="88" spans="4:17" ht="13" thickBot="1">
      <c r="E88" s="10"/>
      <c r="F88" s="10"/>
      <c r="G88" s="10"/>
      <c r="H88" s="10"/>
      <c r="I88" s="10"/>
      <c r="J88" s="10"/>
      <c r="K88" s="10"/>
      <c r="L88" s="14" t="s">
        <v>57</v>
      </c>
      <c r="M88" s="9" t="str">
        <f>IF(OR(L83="",L92=""),"",+IF(L83&gt;L92,K83,K92))</f>
        <v/>
      </c>
      <c r="N88" s="17"/>
      <c r="O88" s="10"/>
      <c r="P88" s="10"/>
      <c r="Q88" s="14"/>
    </row>
    <row r="89" spans="4:17" ht="13" thickBot="1">
      <c r="D89">
        <v>40</v>
      </c>
      <c r="E89" s="9"/>
      <c r="F89" s="9"/>
      <c r="G89" s="9">
        <f>E89</f>
        <v>0</v>
      </c>
      <c r="H89" s="11"/>
      <c r="I89" s="10"/>
      <c r="J89" s="10"/>
      <c r="K89" s="10"/>
      <c r="L89" s="10"/>
      <c r="M89" s="19"/>
      <c r="N89" s="13"/>
      <c r="O89" s="10"/>
      <c r="P89" s="10"/>
      <c r="Q89" s="14"/>
    </row>
    <row r="90" spans="4:17" ht="13" thickBot="1">
      <c r="E90" s="10"/>
      <c r="F90" s="10"/>
      <c r="G90" s="12"/>
      <c r="H90" s="13" t="s">
        <v>23</v>
      </c>
      <c r="I90" s="9" t="str">
        <f>IF(OR(H89="",H91=""),"",+IF(H89&gt;H91,E89,E91))</f>
        <v/>
      </c>
      <c r="J90" s="17"/>
      <c r="K90" s="10"/>
      <c r="L90" s="10"/>
      <c r="M90" s="19"/>
      <c r="N90" s="14"/>
      <c r="O90" s="10"/>
      <c r="P90" s="10"/>
      <c r="Q90" s="14"/>
    </row>
    <row r="91" spans="4:17" ht="13" thickBot="1">
      <c r="D91">
        <v>41</v>
      </c>
      <c r="E91" s="9"/>
      <c r="F91" s="9"/>
      <c r="G91" s="9">
        <f>E91</f>
        <v>0</v>
      </c>
      <c r="H91" s="16"/>
      <c r="I91" s="10"/>
      <c r="J91" s="14"/>
      <c r="K91" s="10"/>
      <c r="L91" s="10"/>
      <c r="M91" s="19"/>
      <c r="N91" s="14"/>
      <c r="O91" s="10"/>
      <c r="P91" s="10"/>
      <c r="Q91" s="14"/>
    </row>
    <row r="92" spans="4:17" ht="13" thickBot="1">
      <c r="E92" s="10"/>
      <c r="F92" s="10"/>
      <c r="G92" s="12"/>
      <c r="H92" s="10"/>
      <c r="I92" s="10"/>
      <c r="J92" s="14" t="s">
        <v>46</v>
      </c>
      <c r="K92" s="9" t="str">
        <f>IF(OR(J90="",J94=""),"",+IF(J90&gt;J94,I90,I94))</f>
        <v/>
      </c>
      <c r="L92" s="16"/>
      <c r="M92" s="19"/>
      <c r="N92" s="14"/>
      <c r="O92" s="10"/>
      <c r="P92" s="10"/>
      <c r="Q92" s="14"/>
    </row>
    <row r="93" spans="4:17" ht="13" thickBot="1">
      <c r="D93">
        <v>42</v>
      </c>
      <c r="E93" s="9"/>
      <c r="F93" s="9"/>
      <c r="G93" s="9">
        <f>E93</f>
        <v>0</v>
      </c>
      <c r="H93" s="11"/>
      <c r="I93" s="10"/>
      <c r="J93" s="14"/>
      <c r="K93" s="10"/>
      <c r="L93" s="10"/>
      <c r="M93" s="10"/>
      <c r="N93" s="14"/>
      <c r="O93" s="10"/>
      <c r="P93" s="10"/>
      <c r="Q93" s="14"/>
    </row>
    <row r="94" spans="4:17" ht="13" thickBot="1">
      <c r="E94" s="10"/>
      <c r="F94" s="10"/>
      <c r="G94" s="12"/>
      <c r="H94" s="13" t="s">
        <v>24</v>
      </c>
      <c r="I94" s="9" t="str">
        <f>IF(OR(H93="",H95=""),"",+IF(H93&gt;H95,E93,E95))</f>
        <v/>
      </c>
      <c r="J94" s="16"/>
      <c r="K94" s="10"/>
      <c r="L94" s="10"/>
      <c r="M94" s="10"/>
      <c r="N94" s="14"/>
      <c r="O94" s="10"/>
      <c r="P94" s="10"/>
      <c r="Q94" s="14"/>
    </row>
    <row r="95" spans="4:17" ht="13" thickBot="1">
      <c r="D95">
        <v>43</v>
      </c>
      <c r="E95" s="9"/>
      <c r="F95" s="9"/>
      <c r="G95" s="9">
        <f>E95</f>
        <v>0</v>
      </c>
      <c r="H95" s="16"/>
      <c r="I95" s="10"/>
      <c r="J95" s="10"/>
      <c r="K95" s="10"/>
      <c r="L95" s="10"/>
      <c r="M95" s="10"/>
      <c r="N95" s="14"/>
      <c r="O95" s="10"/>
      <c r="P95" s="10"/>
      <c r="Q95" s="14"/>
    </row>
    <row r="96" spans="4:17" ht="13" thickBot="1">
      <c r="E96" s="10"/>
      <c r="F96" s="10"/>
      <c r="G96" s="10"/>
      <c r="H96" s="10"/>
      <c r="I96" s="10"/>
      <c r="J96" s="10"/>
      <c r="K96" s="10"/>
      <c r="L96" s="10"/>
      <c r="M96" s="10"/>
      <c r="N96" s="14" t="s">
        <v>63</v>
      </c>
      <c r="O96" s="9" t="str">
        <f>IF(OR(N88="",N104=""),"",+IF(N88&gt;N104,M88,M104))</f>
        <v/>
      </c>
      <c r="P96" s="17"/>
      <c r="Q96" s="14"/>
    </row>
    <row r="97" spans="4:17" ht="13" thickBot="1">
      <c r="D97">
        <v>44</v>
      </c>
      <c r="E97" s="9"/>
      <c r="F97" s="9"/>
      <c r="G97" s="9">
        <f>E97</f>
        <v>0</v>
      </c>
      <c r="H97" s="11"/>
      <c r="I97" s="10"/>
      <c r="J97" s="10"/>
      <c r="K97" s="10"/>
      <c r="L97" s="10"/>
      <c r="M97" s="10"/>
      <c r="N97" s="14"/>
      <c r="O97" s="10"/>
      <c r="P97" s="14"/>
      <c r="Q97" s="14"/>
    </row>
    <row r="98" spans="4:17" ht="13" thickBot="1">
      <c r="E98" s="10"/>
      <c r="F98" s="10"/>
      <c r="G98" s="10"/>
      <c r="H98" s="13" t="s">
        <v>25</v>
      </c>
      <c r="I98" s="9" t="str">
        <f>IF(OR(H97="",H99=""),"",+IF(H97&gt;H99,E97,E99))</f>
        <v/>
      </c>
      <c r="J98" s="17"/>
      <c r="K98" s="10"/>
      <c r="L98" s="10"/>
      <c r="M98" s="10"/>
      <c r="N98" s="14"/>
      <c r="O98" s="10"/>
      <c r="P98" s="14"/>
      <c r="Q98" s="14"/>
    </row>
    <row r="99" spans="4:17" ht="13" thickBot="1">
      <c r="D99">
        <v>45</v>
      </c>
      <c r="E99" s="9"/>
      <c r="F99" s="9"/>
      <c r="G99" s="9">
        <f>E99</f>
        <v>0</v>
      </c>
      <c r="H99" s="16"/>
      <c r="I99" s="10"/>
      <c r="J99" s="14"/>
      <c r="K99" s="10"/>
      <c r="L99" s="10"/>
      <c r="M99" s="10"/>
      <c r="N99" s="14"/>
      <c r="O99" s="10"/>
      <c r="P99" s="14"/>
      <c r="Q99" s="14"/>
    </row>
    <row r="100" spans="4:17" ht="13" thickBot="1">
      <c r="E100" s="10"/>
      <c r="F100" s="10"/>
      <c r="G100" s="10"/>
      <c r="H100" s="10"/>
      <c r="I100" s="10"/>
      <c r="J100" s="14" t="s">
        <v>47</v>
      </c>
      <c r="K100" s="9" t="str">
        <f>IF(OR(J98="",J102=""),"",+IF(J98&gt;J102,I98,I102))</f>
        <v/>
      </c>
      <c r="L100" s="17"/>
      <c r="M100" s="10"/>
      <c r="N100" s="14"/>
      <c r="O100" s="10"/>
      <c r="P100" s="14"/>
      <c r="Q100" s="14"/>
    </row>
    <row r="101" spans="4:17" ht="13" thickBot="1">
      <c r="D101">
        <v>46</v>
      </c>
      <c r="E101" s="9"/>
      <c r="F101" s="9"/>
      <c r="G101" s="9">
        <f>E101</f>
        <v>0</v>
      </c>
      <c r="H101" s="11"/>
      <c r="I101" s="10"/>
      <c r="J101" s="14"/>
      <c r="K101" s="10"/>
      <c r="L101" s="13"/>
      <c r="M101" s="10"/>
      <c r="N101" s="14"/>
      <c r="O101" s="10"/>
      <c r="P101" s="14"/>
      <c r="Q101" s="14"/>
    </row>
    <row r="102" spans="4:17" ht="13" thickBot="1">
      <c r="E102" s="10"/>
      <c r="F102" s="10"/>
      <c r="G102" s="10"/>
      <c r="H102" s="13" t="s">
        <v>26</v>
      </c>
      <c r="I102" s="9" t="str">
        <f>IF(OR(H101="",H103=""),"",+IF(H101&gt;H103,E101,E103))</f>
        <v/>
      </c>
      <c r="J102" s="16"/>
      <c r="K102" s="10"/>
      <c r="L102" s="14"/>
      <c r="M102" s="10"/>
      <c r="N102" s="14"/>
      <c r="O102" s="10"/>
      <c r="P102" s="14"/>
      <c r="Q102" s="14"/>
    </row>
    <row r="103" spans="4:17" ht="13" thickBot="1">
      <c r="D103">
        <v>47</v>
      </c>
      <c r="E103" s="9"/>
      <c r="F103" s="9"/>
      <c r="G103" s="9">
        <f>E103</f>
        <v>0</v>
      </c>
      <c r="H103" s="16"/>
      <c r="I103" s="10"/>
      <c r="J103" s="10"/>
      <c r="K103" s="10"/>
      <c r="L103" s="14"/>
      <c r="M103" s="10"/>
      <c r="N103" s="14"/>
      <c r="O103" s="10"/>
      <c r="P103" s="14"/>
      <c r="Q103" s="14"/>
    </row>
    <row r="104" spans="4:17" ht="13" thickBot="1">
      <c r="E104" s="10"/>
      <c r="F104" s="10"/>
      <c r="G104" s="10"/>
      <c r="H104" s="10"/>
      <c r="I104" s="10"/>
      <c r="J104" s="10"/>
      <c r="K104" s="10"/>
      <c r="L104" s="14" t="s">
        <v>58</v>
      </c>
      <c r="M104" s="9" t="str">
        <f>IF(OR(L100="",L108=""),"",+IF(L100&gt;L108,K100,K108))</f>
        <v/>
      </c>
      <c r="N104" s="16"/>
      <c r="O104" s="10"/>
      <c r="P104" s="14"/>
      <c r="Q104" s="14"/>
    </row>
    <row r="105" spans="4:17" ht="13" thickBot="1">
      <c r="D105">
        <v>48</v>
      </c>
      <c r="E105" s="9"/>
      <c r="F105" s="9"/>
      <c r="G105" s="9">
        <f>E105</f>
        <v>0</v>
      </c>
      <c r="H105" s="11"/>
      <c r="I105" s="10"/>
      <c r="J105" s="10"/>
      <c r="K105" s="10"/>
      <c r="L105" s="14"/>
      <c r="M105" s="10"/>
      <c r="N105" s="10"/>
      <c r="O105" s="10"/>
      <c r="P105" s="14"/>
      <c r="Q105" s="14"/>
    </row>
    <row r="106" spans="4:17" ht="13" thickBot="1">
      <c r="E106" s="10"/>
      <c r="F106" s="10"/>
      <c r="G106" s="10"/>
      <c r="H106" s="13" t="s">
        <v>27</v>
      </c>
      <c r="I106" s="9" t="str">
        <f>IF(OR(H105="",H107=""),"",+IF(H105&gt;H107,E105,E107))</f>
        <v/>
      </c>
      <c r="J106" s="17"/>
      <c r="K106" s="10"/>
      <c r="L106" s="14"/>
      <c r="M106" s="10"/>
      <c r="N106" s="10"/>
      <c r="O106" s="10"/>
      <c r="P106" s="14"/>
      <c r="Q106" s="14"/>
    </row>
    <row r="107" spans="4:17" ht="13" thickBot="1">
      <c r="D107">
        <v>49</v>
      </c>
      <c r="E107" s="9"/>
      <c r="F107" s="9"/>
      <c r="G107" s="9">
        <f>E107</f>
        <v>0</v>
      </c>
      <c r="H107" s="16"/>
      <c r="I107" s="10"/>
      <c r="J107" s="14"/>
      <c r="K107" s="10"/>
      <c r="L107" s="14"/>
      <c r="M107" s="10"/>
      <c r="N107" s="10"/>
      <c r="O107" s="10"/>
      <c r="P107" s="14"/>
      <c r="Q107" s="14"/>
    </row>
    <row r="108" spans="4:17" ht="13" thickBot="1">
      <c r="E108" s="10"/>
      <c r="F108" s="10"/>
      <c r="G108" s="10"/>
      <c r="H108" s="10"/>
      <c r="I108" s="10"/>
      <c r="J108" s="14" t="s">
        <v>48</v>
      </c>
      <c r="K108" s="9" t="str">
        <f>IF(OR(J106="",J110=""),"",+IF(J106&gt;J110,I106,I110))</f>
        <v/>
      </c>
      <c r="L108" s="16"/>
      <c r="M108" s="10"/>
      <c r="N108" s="10"/>
      <c r="O108" s="10"/>
      <c r="P108" s="14"/>
      <c r="Q108" s="14"/>
    </row>
    <row r="109" spans="4:17" ht="13" thickBot="1">
      <c r="D109">
        <v>50</v>
      </c>
      <c r="E109" s="9"/>
      <c r="F109" s="9"/>
      <c r="G109" s="9">
        <f>E109</f>
        <v>0</v>
      </c>
      <c r="H109" s="11"/>
      <c r="I109" s="10"/>
      <c r="J109" s="14"/>
      <c r="K109" s="10"/>
      <c r="L109" s="10"/>
      <c r="M109" s="10"/>
      <c r="N109" s="10"/>
      <c r="O109" s="10"/>
      <c r="P109" s="14"/>
      <c r="Q109" s="14"/>
    </row>
    <row r="110" spans="4:17" ht="13" thickBot="1">
      <c r="E110" s="10"/>
      <c r="F110" s="10"/>
      <c r="G110" s="10"/>
      <c r="H110" s="13" t="s">
        <v>28</v>
      </c>
      <c r="I110" s="9" t="str">
        <f>IF(OR(H109="",H111=""),"",+IF(H109&gt;H111,E109,E111))</f>
        <v/>
      </c>
      <c r="J110" s="16"/>
      <c r="K110" s="10"/>
      <c r="L110" s="10"/>
      <c r="M110" s="10"/>
      <c r="N110" s="10"/>
      <c r="O110" s="10"/>
      <c r="P110" s="14"/>
      <c r="Q110" s="14"/>
    </row>
    <row r="111" spans="4:17" ht="13" thickBot="1">
      <c r="D111">
        <v>51</v>
      </c>
      <c r="E111" s="9"/>
      <c r="F111" s="9"/>
      <c r="G111" s="9">
        <f>E111</f>
        <v>0</v>
      </c>
      <c r="H111" s="16"/>
      <c r="I111" s="10"/>
      <c r="J111" s="10"/>
      <c r="K111" s="10"/>
      <c r="L111" s="10"/>
      <c r="M111" s="10"/>
      <c r="N111" s="10"/>
      <c r="O111" s="10"/>
      <c r="P111" s="14"/>
      <c r="Q111" s="14"/>
    </row>
    <row r="112" spans="4:17" ht="13" thickBot="1"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4" t="s">
        <v>66</v>
      </c>
      <c r="Q112" s="67" t="str">
        <f>IF(OR(P96="",P131=""),"",+IF(P96&gt;P131,O96,O131))</f>
        <v/>
      </c>
    </row>
    <row r="113" spans="4:17" ht="13" thickBot="1">
      <c r="D113">
        <v>52</v>
      </c>
      <c r="E113" s="9"/>
      <c r="F113" s="9"/>
      <c r="G113" s="9">
        <f>E113</f>
        <v>0</v>
      </c>
      <c r="H113" s="11"/>
      <c r="I113" s="10"/>
      <c r="J113" s="10"/>
      <c r="K113" s="10"/>
      <c r="L113" s="10"/>
      <c r="M113" s="10"/>
      <c r="N113" s="10"/>
      <c r="O113" s="10"/>
      <c r="P113" s="14"/>
      <c r="Q113" s="10"/>
    </row>
    <row r="114" spans="4:17">
      <c r="E114" s="12"/>
      <c r="F114" s="10"/>
      <c r="G114" s="10"/>
      <c r="H114" s="13"/>
      <c r="I114" s="10"/>
      <c r="J114" s="10"/>
      <c r="K114" s="10"/>
      <c r="L114" s="10"/>
      <c r="M114" s="10"/>
      <c r="N114" s="10"/>
      <c r="O114" s="10"/>
      <c r="P114" s="14"/>
      <c r="Q114" s="10"/>
    </row>
    <row r="115" spans="4:17" ht="13" thickBot="1">
      <c r="E115" s="10"/>
      <c r="F115" s="10"/>
      <c r="G115" s="10"/>
      <c r="H115" s="14" t="s">
        <v>29</v>
      </c>
      <c r="I115" s="9" t="str">
        <f>IF(OR(H113="",H117=""),"",+IF(H113&gt;H117,E113,G117))</f>
        <v/>
      </c>
      <c r="J115" s="11"/>
      <c r="K115" s="10"/>
      <c r="L115" s="10"/>
      <c r="M115" s="10"/>
      <c r="N115" s="10"/>
      <c r="O115" s="10"/>
      <c r="P115" s="14"/>
      <c r="Q115" s="10"/>
    </row>
    <row r="116" spans="4:17" ht="13" thickBot="1">
      <c r="D116">
        <v>53</v>
      </c>
      <c r="E116" s="10"/>
      <c r="F116" s="11"/>
      <c r="G116" s="10"/>
      <c r="H116" s="14"/>
      <c r="I116" s="10"/>
      <c r="J116" s="13"/>
      <c r="K116" s="10"/>
      <c r="L116" s="10"/>
      <c r="M116" s="10"/>
      <c r="N116" s="10"/>
      <c r="O116" s="10"/>
      <c r="P116" s="14"/>
      <c r="Q116" s="10"/>
    </row>
    <row r="117" spans="4:17" ht="13" thickBot="1">
      <c r="E117" s="12"/>
      <c r="F117" s="13" t="s">
        <v>4</v>
      </c>
      <c r="G117" s="9" t="str">
        <f>IF(OR(F116="",F118=""),"",+IF(F116&gt;F118,E116,E118))</f>
        <v/>
      </c>
      <c r="H117" s="16"/>
      <c r="I117" s="10"/>
      <c r="J117" s="14"/>
      <c r="K117" s="10"/>
      <c r="L117" s="10"/>
      <c r="M117" s="10"/>
      <c r="N117" s="10"/>
      <c r="O117" s="10"/>
      <c r="P117" s="14"/>
      <c r="Q117" s="10"/>
    </row>
    <row r="118" spans="4:17" ht="13" thickBot="1">
      <c r="D118">
        <v>54</v>
      </c>
      <c r="E118" s="10"/>
      <c r="F118" s="16"/>
      <c r="G118" s="10"/>
      <c r="H118" s="10"/>
      <c r="I118" s="10"/>
      <c r="J118" s="14" t="s">
        <v>49</v>
      </c>
      <c r="K118" s="9" t="str">
        <f>IF(OR(J115="",J121=""),"",+IF(J115&gt;J121,I115,I121))</f>
        <v/>
      </c>
      <c r="L118" s="17"/>
      <c r="M118" s="10"/>
      <c r="N118" s="10"/>
      <c r="O118" s="10"/>
      <c r="P118" s="14"/>
      <c r="Q118" s="10"/>
    </row>
    <row r="119" spans="4:17">
      <c r="E119" s="12"/>
      <c r="F119" s="10"/>
      <c r="G119" s="10"/>
      <c r="H119" s="10"/>
      <c r="I119" s="10"/>
      <c r="J119" s="14"/>
      <c r="K119" s="10"/>
      <c r="L119" s="10"/>
      <c r="M119" s="19"/>
      <c r="N119" s="10"/>
      <c r="O119" s="10"/>
      <c r="P119" s="14"/>
      <c r="Q119" s="10"/>
    </row>
    <row r="120" spans="4:17" ht="13" thickBot="1">
      <c r="D120">
        <v>55</v>
      </c>
      <c r="E120" s="9"/>
      <c r="F120" s="9"/>
      <c r="G120" s="9">
        <f>E120</f>
        <v>0</v>
      </c>
      <c r="H120" s="11"/>
      <c r="I120" s="10"/>
      <c r="J120" s="14"/>
      <c r="K120" s="10"/>
      <c r="L120" s="10"/>
      <c r="M120" s="19"/>
      <c r="N120" s="10"/>
      <c r="O120" s="10"/>
      <c r="P120" s="14"/>
      <c r="Q120" s="10"/>
    </row>
    <row r="121" spans="4:17" ht="13" thickBot="1">
      <c r="E121" s="10"/>
      <c r="F121" s="10"/>
      <c r="G121" s="10"/>
      <c r="H121" s="13" t="s">
        <v>30</v>
      </c>
      <c r="I121" s="9" t="str">
        <f>IF(OR(H120="",H122=""),"",+IF(H120&gt;H122,E120,E122))</f>
        <v/>
      </c>
      <c r="J121" s="16"/>
      <c r="K121" s="10"/>
      <c r="L121" s="10"/>
      <c r="M121" s="19"/>
      <c r="N121" s="10"/>
      <c r="O121" s="10"/>
      <c r="P121" s="14"/>
      <c r="Q121" s="10"/>
    </row>
    <row r="122" spans="4:17" ht="13" thickBot="1">
      <c r="D122">
        <v>56</v>
      </c>
      <c r="E122" s="9"/>
      <c r="F122" s="9"/>
      <c r="G122" s="9">
        <f>E122</f>
        <v>0</v>
      </c>
      <c r="H122" s="16"/>
      <c r="I122" s="10"/>
      <c r="J122" s="10"/>
      <c r="K122" s="10"/>
      <c r="L122" s="10"/>
      <c r="M122" s="19"/>
      <c r="N122" s="10"/>
      <c r="O122" s="10"/>
      <c r="P122" s="14"/>
      <c r="Q122" s="10"/>
    </row>
    <row r="123" spans="4:17" ht="13" thickBot="1">
      <c r="E123" s="10"/>
      <c r="F123" s="10"/>
      <c r="G123" s="10"/>
      <c r="H123" s="10"/>
      <c r="I123" s="10"/>
      <c r="J123" s="10"/>
      <c r="K123" s="10"/>
      <c r="L123" s="14" t="s">
        <v>59</v>
      </c>
      <c r="M123" s="9" t="str">
        <f>IF(OR(L118="",L127=""),"",+IF(L118&gt;L127,K118,K127))</f>
        <v/>
      </c>
      <c r="N123" s="17"/>
      <c r="O123" s="10"/>
      <c r="P123" s="14"/>
      <c r="Q123" s="10"/>
    </row>
    <row r="124" spans="4:17" ht="13" thickBot="1">
      <c r="D124">
        <v>57</v>
      </c>
      <c r="E124" s="9"/>
      <c r="F124" s="9"/>
      <c r="G124" s="9">
        <f>E124</f>
        <v>0</v>
      </c>
      <c r="H124" s="11"/>
      <c r="I124" s="10"/>
      <c r="J124" s="10"/>
      <c r="K124" s="10"/>
      <c r="L124" s="10"/>
      <c r="M124" s="19"/>
      <c r="N124" s="13"/>
      <c r="O124" s="10"/>
      <c r="P124" s="14"/>
      <c r="Q124" s="10"/>
    </row>
    <row r="125" spans="4:17" ht="13" thickBot="1">
      <c r="E125" s="10"/>
      <c r="F125" s="10"/>
      <c r="G125" s="12"/>
      <c r="H125" s="13" t="s">
        <v>31</v>
      </c>
      <c r="I125" s="9" t="str">
        <f>IF(OR(H124="",H126=""),"",+IF(H124&gt;H126,E124,E126))</f>
        <v/>
      </c>
      <c r="J125" s="17"/>
      <c r="K125" s="10"/>
      <c r="L125" s="10"/>
      <c r="M125" s="19"/>
      <c r="N125" s="14"/>
      <c r="O125" s="10"/>
      <c r="P125" s="14"/>
      <c r="Q125" s="10"/>
    </row>
    <row r="126" spans="4:17" ht="13" thickBot="1">
      <c r="D126">
        <v>58</v>
      </c>
      <c r="E126" s="9"/>
      <c r="F126" s="9"/>
      <c r="G126" s="9">
        <f>E126</f>
        <v>0</v>
      </c>
      <c r="H126" s="16"/>
      <c r="I126" s="10"/>
      <c r="J126" s="14"/>
      <c r="K126" s="10"/>
      <c r="L126" s="10"/>
      <c r="M126" s="19"/>
      <c r="N126" s="14"/>
      <c r="O126" s="10"/>
      <c r="P126" s="14"/>
      <c r="Q126" s="10"/>
    </row>
    <row r="127" spans="4:17" ht="13" thickBot="1">
      <c r="E127" s="10"/>
      <c r="F127" s="10"/>
      <c r="G127" s="12"/>
      <c r="H127" s="10"/>
      <c r="I127" s="10"/>
      <c r="J127" s="14" t="s">
        <v>50</v>
      </c>
      <c r="K127" s="9" t="str">
        <f>IF(OR(J125="",J129=""),"",+IF(J125&gt;J129,I125,I129))</f>
        <v/>
      </c>
      <c r="L127" s="16"/>
      <c r="M127" s="19"/>
      <c r="N127" s="14"/>
      <c r="O127" s="10"/>
      <c r="P127" s="14"/>
      <c r="Q127" s="10"/>
    </row>
    <row r="128" spans="4:17" ht="13" thickBot="1">
      <c r="D128">
        <v>59</v>
      </c>
      <c r="E128" s="9"/>
      <c r="F128" s="9"/>
      <c r="G128" s="9">
        <f>E128</f>
        <v>0</v>
      </c>
      <c r="H128" s="11"/>
      <c r="I128" s="10"/>
      <c r="J128" s="14"/>
      <c r="K128" s="10"/>
      <c r="L128" s="10"/>
      <c r="M128" s="10"/>
      <c r="N128" s="14"/>
      <c r="O128" s="10"/>
      <c r="P128" s="14"/>
      <c r="Q128" s="10"/>
    </row>
    <row r="129" spans="4:17" ht="13" thickBot="1">
      <c r="E129" s="10"/>
      <c r="F129" s="10"/>
      <c r="G129" s="12"/>
      <c r="H129" s="13" t="s">
        <v>32</v>
      </c>
      <c r="I129" s="9" t="str">
        <f>IF(OR(H128="",H130=""),"",+IF(H128&gt;H130,E128,E130))</f>
        <v/>
      </c>
      <c r="J129" s="16"/>
      <c r="K129" s="10"/>
      <c r="L129" s="10"/>
      <c r="M129" s="10"/>
      <c r="N129" s="14"/>
      <c r="O129" s="10"/>
      <c r="P129" s="14"/>
      <c r="Q129" s="10"/>
    </row>
    <row r="130" spans="4:17" ht="13" thickBot="1">
      <c r="D130">
        <v>60</v>
      </c>
      <c r="E130" s="9"/>
      <c r="F130" s="9"/>
      <c r="G130" s="9">
        <f>E130</f>
        <v>0</v>
      </c>
      <c r="H130" s="16"/>
      <c r="I130" s="10"/>
      <c r="J130" s="10"/>
      <c r="K130" s="10"/>
      <c r="L130" s="10"/>
      <c r="M130" s="10"/>
      <c r="N130" s="14"/>
      <c r="O130" s="10"/>
      <c r="P130" s="14"/>
      <c r="Q130" s="10"/>
    </row>
    <row r="131" spans="4:17" ht="13" thickBot="1">
      <c r="E131" s="10"/>
      <c r="F131" s="10"/>
      <c r="G131" s="10"/>
      <c r="H131" s="10"/>
      <c r="I131" s="10"/>
      <c r="J131" s="10"/>
      <c r="K131" s="10"/>
      <c r="L131" s="10"/>
      <c r="M131" s="10"/>
      <c r="N131" s="14" t="s">
        <v>64</v>
      </c>
      <c r="O131" s="9" t="str">
        <f>IF(OR(N123="",N139=""),"",+IF(N123&gt;N139,M123,M139))</f>
        <v/>
      </c>
      <c r="P131" s="16"/>
      <c r="Q131" s="10"/>
    </row>
    <row r="132" spans="4:17" ht="13" thickBot="1">
      <c r="D132">
        <v>61</v>
      </c>
      <c r="E132" s="9"/>
      <c r="F132" s="9"/>
      <c r="G132" s="9">
        <f>E132</f>
        <v>0</v>
      </c>
      <c r="H132" s="11"/>
      <c r="I132" s="10"/>
      <c r="J132" s="10"/>
      <c r="K132" s="10"/>
      <c r="L132" s="10"/>
      <c r="M132" s="10"/>
      <c r="N132" s="14"/>
      <c r="O132" s="10"/>
      <c r="P132" s="10"/>
      <c r="Q132" s="10"/>
    </row>
    <row r="133" spans="4:17" ht="13" thickBot="1">
      <c r="E133" s="10"/>
      <c r="F133" s="10"/>
      <c r="G133" s="10"/>
      <c r="H133" s="13" t="s">
        <v>33</v>
      </c>
      <c r="I133" s="9" t="str">
        <f>IF(OR(H132="",H134=""),"",+IF(H132&gt;H134,E132,E134))</f>
        <v/>
      </c>
      <c r="J133" s="17"/>
      <c r="K133" s="10"/>
      <c r="L133" s="10"/>
      <c r="M133" s="10"/>
      <c r="N133" s="14"/>
      <c r="O133" s="10"/>
      <c r="P133" s="10"/>
      <c r="Q133" s="10"/>
    </row>
    <row r="134" spans="4:17" ht="13" thickBot="1">
      <c r="D134">
        <v>62</v>
      </c>
      <c r="E134" s="9"/>
      <c r="F134" s="9"/>
      <c r="G134" s="9">
        <f>E134</f>
        <v>0</v>
      </c>
      <c r="H134" s="16"/>
      <c r="I134" s="10"/>
      <c r="J134" s="14"/>
      <c r="K134" s="10"/>
      <c r="L134" s="10"/>
      <c r="M134" s="10"/>
      <c r="N134" s="14"/>
      <c r="O134" s="10"/>
      <c r="P134" s="10"/>
      <c r="Q134" s="10"/>
    </row>
    <row r="135" spans="4:17" ht="13" thickBot="1">
      <c r="E135" s="10"/>
      <c r="F135" s="10"/>
      <c r="G135" s="10"/>
      <c r="H135" s="10"/>
      <c r="I135" s="10"/>
      <c r="J135" s="14" t="s">
        <v>51</v>
      </c>
      <c r="K135" s="9" t="str">
        <f>IF(OR(J133="",J137=""),"",+IF(J133&gt;J137,I133,I137))</f>
        <v/>
      </c>
      <c r="L135" s="17"/>
      <c r="M135" s="10"/>
      <c r="N135" s="14"/>
      <c r="O135" s="10"/>
      <c r="P135" s="10"/>
      <c r="Q135" s="10"/>
    </row>
    <row r="136" spans="4:17" ht="13" thickBot="1">
      <c r="D136">
        <v>63</v>
      </c>
      <c r="E136" s="9"/>
      <c r="F136" s="9"/>
      <c r="G136" s="9">
        <f>E136</f>
        <v>0</v>
      </c>
      <c r="H136" s="11"/>
      <c r="I136" s="10"/>
      <c r="J136" s="14"/>
      <c r="K136" s="10"/>
      <c r="L136" s="13"/>
      <c r="M136" s="10"/>
      <c r="N136" s="14"/>
      <c r="O136" s="10"/>
      <c r="P136" s="10"/>
      <c r="Q136" s="10"/>
    </row>
    <row r="137" spans="4:17" ht="13" thickBot="1">
      <c r="E137" s="10"/>
      <c r="F137" s="10"/>
      <c r="G137" s="10"/>
      <c r="H137" s="13" t="s">
        <v>34</v>
      </c>
      <c r="I137" s="9" t="str">
        <f>IF(OR(H136="",H138=""),"",+IF(H136&gt;H138,E136,E138))</f>
        <v/>
      </c>
      <c r="J137" s="16"/>
      <c r="K137" s="10"/>
      <c r="L137" s="14"/>
      <c r="M137" s="10"/>
      <c r="N137" s="14"/>
      <c r="O137" s="10"/>
      <c r="P137" s="10"/>
      <c r="Q137" s="10"/>
    </row>
    <row r="138" spans="4:17" ht="13" thickBot="1">
      <c r="D138">
        <v>64</v>
      </c>
      <c r="E138" s="9"/>
      <c r="F138" s="9"/>
      <c r="G138" s="9">
        <f>E138</f>
        <v>0</v>
      </c>
      <c r="H138" s="16"/>
      <c r="I138" s="10"/>
      <c r="J138" s="10"/>
      <c r="K138" s="10"/>
      <c r="L138" s="14"/>
      <c r="M138" s="10"/>
      <c r="N138" s="14"/>
      <c r="O138" s="10"/>
      <c r="P138" s="10"/>
      <c r="Q138" s="10"/>
    </row>
    <row r="139" spans="4:17" ht="13" thickBot="1">
      <c r="E139" s="10"/>
      <c r="F139" s="10"/>
      <c r="G139" s="10"/>
      <c r="H139" s="10"/>
      <c r="I139" s="10"/>
      <c r="J139" s="10"/>
      <c r="K139" s="10"/>
      <c r="L139" s="14" t="s">
        <v>60</v>
      </c>
      <c r="M139" s="9" t="str">
        <f>IF(OR(L135="",L143=""),"",+IF(L135&gt;L143,K135,K143))</f>
        <v/>
      </c>
      <c r="N139" s="16"/>
      <c r="O139" s="10"/>
      <c r="P139" s="10"/>
      <c r="Q139" s="10"/>
    </row>
    <row r="140" spans="4:17" ht="13" thickBot="1">
      <c r="D140">
        <v>65</v>
      </c>
      <c r="E140" s="9"/>
      <c r="F140" s="9"/>
      <c r="G140" s="9">
        <f>E140</f>
        <v>0</v>
      </c>
      <c r="H140" s="11"/>
      <c r="I140" s="10"/>
      <c r="J140" s="10"/>
      <c r="K140" s="10"/>
      <c r="L140" s="14"/>
      <c r="M140" s="10"/>
      <c r="N140" s="10"/>
      <c r="O140" s="10"/>
      <c r="P140" s="10"/>
      <c r="Q140" s="10"/>
    </row>
    <row r="141" spans="4:17" ht="13" thickBot="1">
      <c r="E141" s="10"/>
      <c r="F141" s="10"/>
      <c r="G141" s="10"/>
      <c r="H141" s="13" t="s">
        <v>35</v>
      </c>
      <c r="I141" s="9" t="str">
        <f>IF(OR(H140="",H142=""),"",+IF(H140&gt;H142,E140,E142))</f>
        <v/>
      </c>
      <c r="J141" s="17"/>
      <c r="K141" s="10"/>
      <c r="L141" s="14"/>
      <c r="M141" s="10"/>
      <c r="N141" s="10"/>
      <c r="O141" s="10"/>
      <c r="P141" s="10"/>
      <c r="Q141" s="10"/>
    </row>
    <row r="142" spans="4:17" ht="13" thickBot="1">
      <c r="D142">
        <v>66</v>
      </c>
      <c r="E142" s="9"/>
      <c r="F142" s="9"/>
      <c r="G142" s="9">
        <f>E142</f>
        <v>0</v>
      </c>
      <c r="H142" s="16"/>
      <c r="I142" s="10"/>
      <c r="J142" s="14"/>
      <c r="K142" s="10"/>
      <c r="L142" s="14"/>
      <c r="M142" s="10"/>
      <c r="N142" s="10"/>
      <c r="O142" s="10"/>
      <c r="P142" s="10"/>
      <c r="Q142" s="10"/>
    </row>
    <row r="143" spans="4:17" ht="13" thickBot="1">
      <c r="E143" s="10"/>
      <c r="F143" s="10"/>
      <c r="G143" s="10"/>
      <c r="H143" s="10"/>
      <c r="I143" s="10"/>
      <c r="J143" s="14" t="s">
        <v>52</v>
      </c>
      <c r="K143" s="9" t="str">
        <f>IF(OR(J141="",J145=""),"",+IF(J141&gt;J145,I141,I145))</f>
        <v/>
      </c>
      <c r="L143" s="16"/>
      <c r="M143" s="10"/>
      <c r="N143" s="10"/>
      <c r="O143" s="10"/>
      <c r="P143" s="10"/>
      <c r="Q143" s="10"/>
    </row>
    <row r="144" spans="4:17" ht="13" thickBot="1">
      <c r="D144">
        <v>67</v>
      </c>
      <c r="E144" s="9"/>
      <c r="F144" s="9"/>
      <c r="G144" s="9">
        <f>E144</f>
        <v>0</v>
      </c>
      <c r="H144" s="11"/>
      <c r="I144" s="10"/>
      <c r="J144" s="14"/>
      <c r="K144" s="10"/>
      <c r="L144" s="10"/>
      <c r="M144" s="10"/>
      <c r="N144" s="10"/>
      <c r="O144" s="10"/>
      <c r="P144" s="10"/>
      <c r="Q144" s="10"/>
    </row>
    <row r="145" spans="4:17" ht="13" thickBot="1">
      <c r="E145" s="10"/>
      <c r="F145" s="10"/>
      <c r="G145" s="10"/>
      <c r="H145" s="13" t="s">
        <v>36</v>
      </c>
      <c r="I145" s="9" t="str">
        <f>IF(OR(H144="",H146=""),"",+IF(H144&gt;H146,E144,E146))</f>
        <v/>
      </c>
      <c r="J145" s="16"/>
      <c r="K145" s="10"/>
      <c r="L145" s="10"/>
      <c r="M145" s="10"/>
      <c r="N145" s="10"/>
      <c r="O145" s="10"/>
      <c r="P145" s="10"/>
      <c r="Q145" s="10"/>
    </row>
    <row r="146" spans="4:17" ht="13" thickBot="1">
      <c r="D146">
        <v>68</v>
      </c>
      <c r="E146" s="9"/>
      <c r="F146" s="9"/>
      <c r="G146" s="9">
        <f>E146</f>
        <v>0</v>
      </c>
      <c r="H146" s="16"/>
      <c r="I146" s="10"/>
      <c r="J146" s="10"/>
      <c r="K146" s="10"/>
      <c r="L146" s="10"/>
      <c r="M146" s="10"/>
      <c r="N146" s="10"/>
      <c r="O146" s="10"/>
      <c r="P146" s="10"/>
      <c r="Q146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57"/>
  <dimension ref="D4:AG143"/>
  <sheetViews>
    <sheetView showGridLines="0" topLeftCell="A53" zoomScale="50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3.52734375" customWidth="1"/>
    <col min="14" max="14" width="3.64453125" customWidth="1"/>
    <col min="16" max="16" width="3.64453125" customWidth="1"/>
    <col min="17" max="17" width="16.527343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E42</f>
        <v>0</v>
      </c>
      <c r="V5" t="s">
        <v>77</v>
      </c>
      <c r="W5" s="29">
        <f>E44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E78</f>
        <v>0</v>
      </c>
      <c r="V6" t="s">
        <v>77</v>
      </c>
      <c r="W6" s="29">
        <f>E80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E113</f>
        <v>0</v>
      </c>
      <c r="V7" t="s">
        <v>77</v>
      </c>
      <c r="W7" s="29">
        <f>E115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 ht="13" thickBot="1">
      <c r="E8" s="10"/>
      <c r="F8" s="10"/>
      <c r="G8" s="10"/>
      <c r="H8" s="13" t="s">
        <v>4</v>
      </c>
      <c r="I8" s="9" t="str">
        <f>IF(OR(H7="",H9=""),"",+IF(H7&gt;H9,E7,E9))</f>
        <v/>
      </c>
      <c r="J8" s="17"/>
      <c r="K8" s="10"/>
      <c r="L8" s="10"/>
      <c r="M8" s="10"/>
      <c r="N8" s="10"/>
      <c r="O8" s="10"/>
      <c r="P8" s="10"/>
      <c r="Q8" s="10"/>
      <c r="T8">
        <v>4</v>
      </c>
      <c r="U8" s="28">
        <f>E7</f>
        <v>0</v>
      </c>
      <c r="V8" t="s">
        <v>77</v>
      </c>
      <c r="W8" s="29">
        <f>E9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D9">
        <v>2</v>
      </c>
      <c r="E9" s="9"/>
      <c r="F9" s="9"/>
      <c r="G9" s="9">
        <f>E9</f>
        <v>0</v>
      </c>
      <c r="H9" s="16"/>
      <c r="I9" s="10"/>
      <c r="J9" s="14"/>
      <c r="K9" s="10"/>
      <c r="L9" s="10"/>
      <c r="M9" s="10"/>
      <c r="N9" s="10"/>
      <c r="O9" s="10"/>
      <c r="P9" s="10"/>
      <c r="Q9" s="10"/>
      <c r="T9">
        <v>5</v>
      </c>
      <c r="U9" s="28">
        <f>E11</f>
        <v>0</v>
      </c>
      <c r="V9" t="s">
        <v>77</v>
      </c>
      <c r="W9" s="29">
        <f>E13</f>
        <v>0</v>
      </c>
      <c r="Z9" s="34"/>
      <c r="AA9" s="40"/>
      <c r="AB9" s="40"/>
      <c r="AC9" s="38" t="s">
        <v>159</v>
      </c>
      <c r="AD9" s="48"/>
      <c r="AE9" s="53" t="e">
        <f>LOOKUP(AD9,T$5:T$78,U$5:U$74)</f>
        <v>#N/A</v>
      </c>
      <c r="AF9" s="37" t="s">
        <v>157</v>
      </c>
      <c r="AG9" s="65" t="e">
        <f>LOOKUP(AD9,T$5:T$78,W$5:W$74)</f>
        <v>#N/A</v>
      </c>
    </row>
    <row r="10" spans="4:33" ht="13" thickBot="1">
      <c r="E10" s="10"/>
      <c r="F10" s="10"/>
      <c r="G10" s="10"/>
      <c r="H10" s="10"/>
      <c r="I10" s="10"/>
      <c r="J10" s="14" t="s">
        <v>36</v>
      </c>
      <c r="K10" s="9" t="str">
        <f>IF(OR(J8="",J12=""),"",+IF(J8&gt;J12,I8,I12))</f>
        <v/>
      </c>
      <c r="L10" s="17"/>
      <c r="M10" s="10"/>
      <c r="N10" s="10"/>
      <c r="O10" s="10"/>
      <c r="P10" s="10"/>
      <c r="Q10" s="10"/>
      <c r="T10">
        <v>6</v>
      </c>
      <c r="U10" s="28">
        <f>E15</f>
        <v>0</v>
      </c>
      <c r="V10" t="s">
        <v>77</v>
      </c>
      <c r="W10" s="29">
        <f>E17</f>
        <v>0</v>
      </c>
      <c r="Z10" s="34"/>
      <c r="AA10" s="40"/>
      <c r="AB10" s="40"/>
      <c r="AC10" s="38" t="s">
        <v>159</v>
      </c>
      <c r="AD10" s="48"/>
      <c r="AE10" s="53" t="e">
        <f>LOOKUP(AD10,T$5:T$78,U$5:U$74)</f>
        <v>#N/A</v>
      </c>
      <c r="AF10" s="37" t="s">
        <v>157</v>
      </c>
      <c r="AG10" s="65" t="e">
        <f>LOOKUP(AD10,T$5:T$78,W$5:W$74)</f>
        <v>#N/A</v>
      </c>
    </row>
    <row r="11" spans="4:33" ht="13" thickBot="1">
      <c r="D11">
        <v>3</v>
      </c>
      <c r="E11" s="9"/>
      <c r="F11" s="9"/>
      <c r="G11" s="9">
        <f>E11</f>
        <v>0</v>
      </c>
      <c r="H11" s="11"/>
      <c r="I11" s="10"/>
      <c r="J11" s="14"/>
      <c r="K11" s="10"/>
      <c r="L11" s="13"/>
      <c r="M11" s="10"/>
      <c r="N11" s="10"/>
      <c r="O11" s="10"/>
      <c r="P11" s="10"/>
      <c r="Q11" s="10"/>
      <c r="T11">
        <v>7</v>
      </c>
      <c r="U11" s="28">
        <f>E19</f>
        <v>0</v>
      </c>
      <c r="V11" t="s">
        <v>77</v>
      </c>
      <c r="W11" s="29">
        <f>E21</f>
        <v>0</v>
      </c>
      <c r="Z11" s="34"/>
      <c r="AA11" s="40"/>
      <c r="AB11" s="40"/>
      <c r="AC11" s="38" t="s">
        <v>159</v>
      </c>
      <c r="AD11" s="48"/>
      <c r="AE11" s="53" t="e">
        <f>LOOKUP(AD11,T$5:T$78,U$5:U$74)</f>
        <v>#N/A</v>
      </c>
      <c r="AF11" s="37" t="s">
        <v>157</v>
      </c>
      <c r="AG11" s="65" t="e">
        <f>LOOKUP(AD11,T$5:T$78,W$5:W$74)</f>
        <v>#N/A</v>
      </c>
    </row>
    <row r="12" spans="4:33" ht="13" thickBot="1">
      <c r="E12" s="10"/>
      <c r="F12" s="10"/>
      <c r="G12" s="10"/>
      <c r="H12" s="13" t="s">
        <v>5</v>
      </c>
      <c r="I12" s="9" t="str">
        <f>IF(OR(H11="",H13=""),"",+IF(H11&gt;H13,E11,E13))</f>
        <v/>
      </c>
      <c r="J12" s="16"/>
      <c r="K12" s="10"/>
      <c r="L12" s="14"/>
      <c r="M12" s="10"/>
      <c r="N12" s="10"/>
      <c r="O12" s="10"/>
      <c r="P12" s="10"/>
      <c r="Q12" s="10"/>
      <c r="T12">
        <v>8</v>
      </c>
      <c r="U12" s="28">
        <f>E23</f>
        <v>0</v>
      </c>
      <c r="V12" t="s">
        <v>77</v>
      </c>
      <c r="W12" s="29">
        <f>E25</f>
        <v>0</v>
      </c>
      <c r="Z12" s="34"/>
      <c r="AA12" s="40"/>
      <c r="AB12" s="40"/>
      <c r="AC12" s="38" t="s">
        <v>159</v>
      </c>
      <c r="AD12" s="48"/>
      <c r="AE12" s="53" t="e">
        <f>LOOKUP(AD12,T$5:T$78,U$5:U$74)</f>
        <v>#N/A</v>
      </c>
      <c r="AF12" s="37" t="s">
        <v>157</v>
      </c>
      <c r="AG12" s="65" t="e">
        <f>LOOKUP(AD12,T$5:T$78,W$5:W$74)</f>
        <v>#N/A</v>
      </c>
    </row>
    <row r="13" spans="4:33" ht="13" thickBot="1">
      <c r="D13">
        <v>4</v>
      </c>
      <c r="E13" s="9"/>
      <c r="F13" s="9"/>
      <c r="G13" s="9">
        <f>E13</f>
        <v>0</v>
      </c>
      <c r="H13" s="16"/>
      <c r="I13" s="10"/>
      <c r="J13" s="10"/>
      <c r="K13" s="10"/>
      <c r="L13" s="14"/>
      <c r="M13" s="10"/>
      <c r="N13" s="10"/>
      <c r="O13" s="10"/>
      <c r="P13" s="10"/>
      <c r="Q13" s="10"/>
      <c r="T13">
        <v>9</v>
      </c>
      <c r="U13" s="28">
        <f>E27</f>
        <v>0</v>
      </c>
      <c r="V13" t="s">
        <v>77</v>
      </c>
      <c r="W13" s="29">
        <f>E29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E14" s="10"/>
      <c r="F14" s="10"/>
      <c r="G14" s="10"/>
      <c r="H14" s="10"/>
      <c r="I14" s="10"/>
      <c r="J14" s="10"/>
      <c r="K14" s="10"/>
      <c r="L14" s="14" t="s">
        <v>52</v>
      </c>
      <c r="M14" s="9" t="str">
        <f>IF(OR(L10="",L18=""),"",+IF(L10&gt;L18,K10,K18))</f>
        <v/>
      </c>
      <c r="N14" s="17"/>
      <c r="O14" s="10"/>
      <c r="P14" s="10"/>
      <c r="Q14" s="10"/>
      <c r="T14">
        <v>10</v>
      </c>
      <c r="U14" s="28">
        <f>E31</f>
        <v>0</v>
      </c>
      <c r="V14" t="s">
        <v>77</v>
      </c>
      <c r="W14" s="29">
        <f>E33</f>
        <v>0</v>
      </c>
      <c r="Z14" s="34"/>
      <c r="AA14" s="40"/>
      <c r="AB14" s="40"/>
      <c r="AC14" s="38" t="s">
        <v>159</v>
      </c>
      <c r="AD14" s="48"/>
      <c r="AE14" s="53" t="e">
        <f>LOOKUP(AD14,T$5:T$78,U$5:U$74)</f>
        <v>#N/A</v>
      </c>
      <c r="AF14" s="37" t="s">
        <v>157</v>
      </c>
      <c r="AG14" s="65" t="e">
        <f>LOOKUP(AD14,T$5:T$78,W$5:W$74)</f>
        <v>#N/A</v>
      </c>
    </row>
    <row r="15" spans="4:33" ht="13" thickBot="1">
      <c r="D15">
        <v>5</v>
      </c>
      <c r="E15" s="9"/>
      <c r="F15" s="9"/>
      <c r="G15" s="9">
        <f>E15</f>
        <v>0</v>
      </c>
      <c r="H15" s="11"/>
      <c r="I15" s="10"/>
      <c r="J15" s="10"/>
      <c r="K15" s="10"/>
      <c r="L15" s="14"/>
      <c r="M15" s="10"/>
      <c r="N15" s="13"/>
      <c r="O15" s="10"/>
      <c r="P15" s="10"/>
      <c r="Q15" s="10"/>
      <c r="T15">
        <v>11</v>
      </c>
      <c r="U15" s="28">
        <f>E35</f>
        <v>0</v>
      </c>
      <c r="V15" t="s">
        <v>77</v>
      </c>
      <c r="W15" s="29">
        <f>E37</f>
        <v>0</v>
      </c>
      <c r="Z15" s="34"/>
      <c r="AA15" s="40"/>
      <c r="AB15" s="40"/>
      <c r="AC15" s="38" t="s">
        <v>159</v>
      </c>
      <c r="AD15" s="48"/>
      <c r="AE15" s="53" t="e">
        <f>LOOKUP(AD15,T$5:T$78,U$5:U$74)</f>
        <v>#N/A</v>
      </c>
      <c r="AF15" s="37" t="s">
        <v>157</v>
      </c>
      <c r="AG15" s="65" t="e">
        <f>LOOKUP(AD15,T$5:T$78,W$5:W$74)</f>
        <v>#N/A</v>
      </c>
    </row>
    <row r="16" spans="4:33" ht="13" thickBot="1">
      <c r="E16" s="10"/>
      <c r="F16" s="10"/>
      <c r="G16" s="10"/>
      <c r="H16" s="13" t="s">
        <v>6</v>
      </c>
      <c r="I16" s="9" t="str">
        <f>IF(OR(H15="",H17=""),"",+IF(H15&gt;H17,E15,E17))</f>
        <v/>
      </c>
      <c r="J16" s="17"/>
      <c r="K16" s="10"/>
      <c r="L16" s="14"/>
      <c r="M16" s="10"/>
      <c r="N16" s="14"/>
      <c r="O16" s="10"/>
      <c r="P16" s="10"/>
      <c r="Q16" s="10"/>
      <c r="T16">
        <v>12</v>
      </c>
      <c r="U16" s="28">
        <f>E39</f>
        <v>0</v>
      </c>
      <c r="V16" t="s">
        <v>77</v>
      </c>
      <c r="W16" s="29" t="s">
        <v>78</v>
      </c>
      <c r="Z16" s="34"/>
      <c r="AA16" s="40"/>
      <c r="AB16" s="40"/>
      <c r="AC16" s="38" t="s">
        <v>159</v>
      </c>
      <c r="AD16" s="48"/>
      <c r="AE16" s="53" t="e">
        <f>LOOKUP(AD16,T$5:T$78,U$5:U$74)</f>
        <v>#N/A</v>
      </c>
      <c r="AF16" s="37" t="s">
        <v>157</v>
      </c>
      <c r="AG16" s="65" t="e">
        <f>LOOKUP(AD16,T$5:T$78,W$5:W$74)</f>
        <v>#N/A</v>
      </c>
    </row>
    <row r="17" spans="4:33" ht="13" thickBot="1">
      <c r="D17">
        <v>6</v>
      </c>
      <c r="E17" s="9"/>
      <c r="F17" s="9"/>
      <c r="G17" s="9">
        <f>E17</f>
        <v>0</v>
      </c>
      <c r="H17" s="16"/>
      <c r="I17" s="10"/>
      <c r="J17" s="14"/>
      <c r="K17" s="10"/>
      <c r="L17" s="14"/>
      <c r="M17" s="10"/>
      <c r="N17" s="14"/>
      <c r="O17" s="10"/>
      <c r="P17" s="10"/>
      <c r="Q17" s="10"/>
      <c r="T17">
        <v>13</v>
      </c>
      <c r="U17" s="28">
        <f>E46</f>
        <v>0</v>
      </c>
      <c r="V17" t="s">
        <v>77</v>
      </c>
      <c r="W17" s="29">
        <f>E48</f>
        <v>0</v>
      </c>
      <c r="Z17" s="34"/>
      <c r="AA17" s="40"/>
      <c r="AB17" s="40"/>
      <c r="AC17" s="38" t="s">
        <v>159</v>
      </c>
      <c r="AD17" s="48"/>
      <c r="AE17" s="53" t="e">
        <f>LOOKUP(AD17,T$5:T$78,U$5:U$74)</f>
        <v>#N/A</v>
      </c>
      <c r="AF17" s="37" t="s">
        <v>157</v>
      </c>
      <c r="AG17" s="65" t="e">
        <f>LOOKUP(AD17,T$5:T$78,W$5:W$74)</f>
        <v>#N/A</v>
      </c>
    </row>
    <row r="18" spans="4:33" ht="13" thickBot="1">
      <c r="E18" s="10"/>
      <c r="F18" s="10"/>
      <c r="G18" s="10"/>
      <c r="H18" s="10"/>
      <c r="I18" s="10"/>
      <c r="J18" s="14" t="s">
        <v>37</v>
      </c>
      <c r="K18" s="9" t="str">
        <f>IF(OR(J16="",J20=""),"",+IF(J16&gt;J20,I16,I20))</f>
        <v/>
      </c>
      <c r="L18" s="16"/>
      <c r="M18" s="10"/>
      <c r="N18" s="14"/>
      <c r="O18" s="10"/>
      <c r="P18" s="10"/>
      <c r="Q18" s="10"/>
      <c r="T18">
        <v>14</v>
      </c>
      <c r="U18" s="28">
        <f>E50</f>
        <v>0</v>
      </c>
      <c r="V18" t="s">
        <v>77</v>
      </c>
      <c r="W18" s="29">
        <f>E52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D19">
        <v>7</v>
      </c>
      <c r="E19" s="9"/>
      <c r="F19" s="9"/>
      <c r="G19" s="9">
        <f>E19</f>
        <v>0</v>
      </c>
      <c r="H19" s="11"/>
      <c r="I19" s="10"/>
      <c r="J19" s="14"/>
      <c r="K19" s="10"/>
      <c r="L19" s="10"/>
      <c r="M19" s="10"/>
      <c r="N19" s="14"/>
      <c r="O19" s="10"/>
      <c r="P19" s="10"/>
      <c r="Q19" s="10"/>
      <c r="T19">
        <v>15</v>
      </c>
      <c r="U19" s="28">
        <f>E54</f>
        <v>0</v>
      </c>
      <c r="V19" t="s">
        <v>77</v>
      </c>
      <c r="W19" s="29">
        <f>E56</f>
        <v>0</v>
      </c>
      <c r="Z19" s="34"/>
      <c r="AA19" s="40"/>
      <c r="AB19" s="40"/>
      <c r="AC19" s="38" t="s">
        <v>159</v>
      </c>
      <c r="AD19" s="48"/>
      <c r="AE19" s="53" t="e">
        <f>LOOKUP(AD19,T$5:T$78,U$5:U$74)</f>
        <v>#N/A</v>
      </c>
      <c r="AF19" s="37" t="s">
        <v>157</v>
      </c>
      <c r="AG19" s="65" t="e">
        <f>LOOKUP(AD19,T$5:T$78,W$5:W$74)</f>
        <v>#N/A</v>
      </c>
    </row>
    <row r="20" spans="4:33" ht="13" thickBot="1">
      <c r="E20" s="10"/>
      <c r="F20" s="10"/>
      <c r="G20" s="10"/>
      <c r="H20" s="13" t="s">
        <v>7</v>
      </c>
      <c r="I20" s="9" t="str">
        <f>IF(OR(H19="",H21=""),"",+IF(H19&gt;H21,E19,E21))</f>
        <v/>
      </c>
      <c r="J20" s="16"/>
      <c r="K20" s="10"/>
      <c r="L20" s="10"/>
      <c r="M20" s="10"/>
      <c r="N20" s="14"/>
      <c r="O20" s="10"/>
      <c r="P20" s="10"/>
      <c r="Q20" s="10"/>
      <c r="T20">
        <v>16</v>
      </c>
      <c r="U20" s="28">
        <f>E58</f>
        <v>0</v>
      </c>
      <c r="V20" t="s">
        <v>77</v>
      </c>
      <c r="W20" s="29">
        <f>E60</f>
        <v>0</v>
      </c>
      <c r="Z20" s="34"/>
      <c r="AA20" s="40"/>
      <c r="AB20" s="40"/>
      <c r="AC20" s="38" t="s">
        <v>159</v>
      </c>
      <c r="AD20" s="48"/>
      <c r="AE20" s="53" t="e">
        <f>LOOKUP(AD20,T$5:T$78,U$5:U$74)</f>
        <v>#N/A</v>
      </c>
      <c r="AF20" s="37" t="s">
        <v>157</v>
      </c>
      <c r="AG20" s="65" t="e">
        <f>LOOKUP(AD20,T$5:T$78,W$5:W$74)</f>
        <v>#N/A</v>
      </c>
    </row>
    <row r="21" spans="4:33" ht="13" thickBot="1">
      <c r="D21">
        <v>8</v>
      </c>
      <c r="E21" s="9"/>
      <c r="F21" s="9"/>
      <c r="G21" s="9">
        <f>E21</f>
        <v>0</v>
      </c>
      <c r="H21" s="16"/>
      <c r="I21" s="10"/>
      <c r="J21" s="10"/>
      <c r="K21" s="10"/>
      <c r="L21" s="10"/>
      <c r="M21" s="10"/>
      <c r="N21" s="14"/>
      <c r="O21" s="10"/>
      <c r="P21" s="10"/>
      <c r="Q21" s="10"/>
      <c r="T21">
        <v>17</v>
      </c>
      <c r="U21" s="28">
        <f>E62</f>
        <v>0</v>
      </c>
      <c r="V21" t="s">
        <v>77</v>
      </c>
      <c r="W21" s="29">
        <f>E64</f>
        <v>0</v>
      </c>
      <c r="Z21" s="34"/>
      <c r="AA21" s="40"/>
      <c r="AB21" s="40"/>
      <c r="AC21" s="38" t="s">
        <v>159</v>
      </c>
      <c r="AD21" s="48"/>
      <c r="AE21" s="53" t="e">
        <f>LOOKUP(AD21,T$5:T$78,U$5:U$74)</f>
        <v>#N/A</v>
      </c>
      <c r="AF21" s="37" t="s">
        <v>157</v>
      </c>
      <c r="AG21" s="65" t="e">
        <f>LOOKUP(AD21,T$5:T$78,W$5:W$74)</f>
        <v>#N/A</v>
      </c>
    </row>
    <row r="22" spans="4:33" ht="13" thickBot="1">
      <c r="E22" s="10"/>
      <c r="F22" s="10"/>
      <c r="G22" s="10"/>
      <c r="H22" s="10"/>
      <c r="I22" s="10"/>
      <c r="J22" s="10"/>
      <c r="K22" s="10"/>
      <c r="L22" s="10"/>
      <c r="M22" s="10"/>
      <c r="N22" s="14" t="s">
        <v>60</v>
      </c>
      <c r="O22" s="9" t="str">
        <f>IF(OR(N14="",N30=""),"",+IF(N14&gt;N30,M14,M30))</f>
        <v/>
      </c>
      <c r="P22" s="17"/>
      <c r="Q22" s="10"/>
      <c r="T22">
        <v>18</v>
      </c>
      <c r="U22" s="28">
        <f>E66</f>
        <v>0</v>
      </c>
      <c r="V22" t="s">
        <v>77</v>
      </c>
      <c r="W22" s="29">
        <f>E68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D23">
        <v>9</v>
      </c>
      <c r="E23" s="9"/>
      <c r="F23" s="9"/>
      <c r="G23" s="9">
        <f>E23</f>
        <v>0</v>
      </c>
      <c r="H23" s="11"/>
      <c r="I23" s="10"/>
      <c r="J23" s="10"/>
      <c r="K23" s="10"/>
      <c r="L23" s="10"/>
      <c r="M23" s="10"/>
      <c r="N23" s="14"/>
      <c r="O23" s="10"/>
      <c r="P23" s="14"/>
      <c r="Q23" s="10"/>
      <c r="T23">
        <v>19</v>
      </c>
      <c r="U23" s="28">
        <f>E70</f>
        <v>0</v>
      </c>
      <c r="V23" t="s">
        <v>77</v>
      </c>
      <c r="W23" s="29">
        <f>E72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E24" s="10"/>
      <c r="F24" s="10"/>
      <c r="G24" s="10"/>
      <c r="H24" s="13" t="s">
        <v>8</v>
      </c>
      <c r="I24" s="9" t="str">
        <f>IF(OR(H23="",H25=""),"",+IF(H23&gt;H25,E23,E25))</f>
        <v/>
      </c>
      <c r="J24" s="17"/>
      <c r="K24" s="10"/>
      <c r="L24" s="10"/>
      <c r="M24" s="10"/>
      <c r="N24" s="14"/>
      <c r="O24" s="10"/>
      <c r="P24" s="14"/>
      <c r="Q24" s="10"/>
      <c r="T24">
        <v>20</v>
      </c>
      <c r="U24" s="28">
        <f>E75</f>
        <v>0</v>
      </c>
      <c r="V24" t="s">
        <v>77</v>
      </c>
      <c r="W24" s="29" t="s">
        <v>79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D25">
        <v>10</v>
      </c>
      <c r="E25" s="9"/>
      <c r="F25" s="9"/>
      <c r="G25" s="9">
        <f>E25</f>
        <v>0</v>
      </c>
      <c r="H25" s="16"/>
      <c r="I25" s="10"/>
      <c r="J25" s="14"/>
      <c r="K25" s="10"/>
      <c r="L25" s="10"/>
      <c r="M25" s="10"/>
      <c r="N25" s="14"/>
      <c r="O25" s="10"/>
      <c r="P25" s="14"/>
      <c r="Q25" s="10"/>
      <c r="T25">
        <v>21</v>
      </c>
      <c r="U25" s="28">
        <f>E82</f>
        <v>0</v>
      </c>
      <c r="V25" t="s">
        <v>77</v>
      </c>
      <c r="W25" s="29">
        <f>E84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E26" s="10"/>
      <c r="F26" s="10"/>
      <c r="G26" s="10"/>
      <c r="H26" s="10"/>
      <c r="I26" s="10"/>
      <c r="J26" s="14" t="s">
        <v>38</v>
      </c>
      <c r="K26" s="9" t="str">
        <f>IF(OR(J24="",J28=""),"",+IF(J24&gt;J28,I24,I28))</f>
        <v/>
      </c>
      <c r="L26" s="17"/>
      <c r="M26" s="10"/>
      <c r="N26" s="14"/>
      <c r="O26" s="10"/>
      <c r="P26" s="14"/>
      <c r="Q26" s="10"/>
      <c r="T26">
        <v>22</v>
      </c>
      <c r="U26" s="28">
        <f>E86</f>
        <v>0</v>
      </c>
      <c r="V26" t="s">
        <v>77</v>
      </c>
      <c r="W26" s="29">
        <f>E88</f>
        <v>0</v>
      </c>
      <c r="Z26" s="34"/>
      <c r="AA26" s="40"/>
      <c r="AB26" s="40"/>
      <c r="AC26" s="38" t="s">
        <v>159</v>
      </c>
      <c r="AD26" s="48"/>
      <c r="AE26" s="53" t="e">
        <f>LOOKUP(AD26,T$5:T$78,U$5:U$74)</f>
        <v>#N/A</v>
      </c>
      <c r="AF26" s="37" t="s">
        <v>157</v>
      </c>
      <c r="AG26" s="65" t="e">
        <f>LOOKUP(AD26,T$5:T$78,W$5:W$74)</f>
        <v>#N/A</v>
      </c>
    </row>
    <row r="27" spans="4:33" ht="13" thickBot="1">
      <c r="D27">
        <v>11</v>
      </c>
      <c r="E27" s="9"/>
      <c r="F27" s="9"/>
      <c r="G27" s="9">
        <f>E27</f>
        <v>0</v>
      </c>
      <c r="H27" s="11"/>
      <c r="I27" s="10"/>
      <c r="J27" s="14"/>
      <c r="K27" s="10"/>
      <c r="L27" s="13"/>
      <c r="M27" s="10"/>
      <c r="N27" s="14"/>
      <c r="O27" s="10"/>
      <c r="P27" s="14"/>
      <c r="Q27" s="10"/>
      <c r="T27">
        <v>23</v>
      </c>
      <c r="U27" s="28">
        <f>E90</f>
        <v>0</v>
      </c>
      <c r="V27" t="s">
        <v>77</v>
      </c>
      <c r="W27" s="29">
        <f>E92</f>
        <v>0</v>
      </c>
      <c r="Z27" s="34"/>
      <c r="AA27" s="40"/>
      <c r="AB27" s="40"/>
      <c r="AC27" s="38" t="s">
        <v>159</v>
      </c>
      <c r="AD27" s="48"/>
      <c r="AE27" s="53" t="e">
        <f>LOOKUP(AD27,T$5:T$78,U$5:U$74)</f>
        <v>#N/A</v>
      </c>
      <c r="AF27" s="37" t="s">
        <v>157</v>
      </c>
      <c r="AG27" s="65" t="e">
        <f>LOOKUP(AD27,T$5:T$78,W$5:W$74)</f>
        <v>#N/A</v>
      </c>
    </row>
    <row r="28" spans="4:33" ht="13" thickBot="1">
      <c r="E28" s="10"/>
      <c r="F28" s="10"/>
      <c r="G28" s="10"/>
      <c r="H28" s="13" t="s">
        <v>9</v>
      </c>
      <c r="I28" s="9" t="str">
        <f>IF(OR(H27="",H29=""),"",+IF(H27&gt;H29,E27,E29))</f>
        <v/>
      </c>
      <c r="J28" s="16"/>
      <c r="K28" s="10"/>
      <c r="L28" s="14"/>
      <c r="M28" s="10"/>
      <c r="N28" s="14"/>
      <c r="O28" s="10"/>
      <c r="P28" s="14"/>
      <c r="Q28" s="10"/>
      <c r="T28">
        <v>24</v>
      </c>
      <c r="U28" s="28">
        <f>E94</f>
        <v>0</v>
      </c>
      <c r="V28" t="s">
        <v>77</v>
      </c>
      <c r="W28" s="29">
        <f>E96</f>
        <v>0</v>
      </c>
      <c r="Z28" s="34"/>
      <c r="AA28" s="40"/>
      <c r="AB28" s="40"/>
      <c r="AC28" s="38" t="s">
        <v>159</v>
      </c>
      <c r="AD28" s="48"/>
      <c r="AE28" s="53" t="e">
        <f>LOOKUP(AD28,T$5:T$78,U$5:U$74)</f>
        <v>#N/A</v>
      </c>
      <c r="AF28" s="37" t="s">
        <v>157</v>
      </c>
      <c r="AG28" s="65" t="e">
        <f>LOOKUP(AD28,T$5:T$78,W$5:W$74)</f>
        <v>#N/A</v>
      </c>
    </row>
    <row r="29" spans="4:33" ht="13" thickBot="1">
      <c r="D29">
        <v>12</v>
      </c>
      <c r="E29" s="9"/>
      <c r="F29" s="9"/>
      <c r="G29" s="9">
        <f>E29</f>
        <v>0</v>
      </c>
      <c r="H29" s="16"/>
      <c r="I29" s="10"/>
      <c r="J29" s="10"/>
      <c r="K29" s="10"/>
      <c r="L29" s="14"/>
      <c r="M29" s="10"/>
      <c r="N29" s="14"/>
      <c r="O29" s="10"/>
      <c r="P29" s="14"/>
      <c r="Q29" s="10"/>
      <c r="T29">
        <v>25</v>
      </c>
      <c r="U29" s="28">
        <f>E98</f>
        <v>0</v>
      </c>
      <c r="V29" t="s">
        <v>77</v>
      </c>
      <c r="W29" s="29">
        <f>E100</f>
        <v>0</v>
      </c>
      <c r="Z29" s="34"/>
      <c r="AA29" s="40"/>
      <c r="AB29" s="40"/>
      <c r="AC29" s="38" t="s">
        <v>159</v>
      </c>
      <c r="AD29" s="48"/>
      <c r="AE29" s="53" t="e">
        <f>LOOKUP(AD29,T$5:T$78,U$5:U$74)</f>
        <v>#N/A</v>
      </c>
      <c r="AF29" s="37" t="s">
        <v>157</v>
      </c>
      <c r="AG29" s="65" t="e">
        <f>LOOKUP(AD29,T$5:T$78,W$5:W$74)</f>
        <v>#N/A</v>
      </c>
    </row>
    <row r="30" spans="4:33" ht="13" thickBot="1">
      <c r="E30" s="10"/>
      <c r="F30" s="10"/>
      <c r="G30" s="10"/>
      <c r="H30" s="10"/>
      <c r="I30" s="10"/>
      <c r="J30" s="10"/>
      <c r="K30" s="10"/>
      <c r="L30" s="14" t="s">
        <v>53</v>
      </c>
      <c r="M30" s="9" t="str">
        <f>IF(OR(L26="",L34=""),"",+IF(L26&gt;L34,K26,K34))</f>
        <v/>
      </c>
      <c r="N30" s="16"/>
      <c r="O30" s="10"/>
      <c r="P30" s="14"/>
      <c r="Q30" s="10"/>
      <c r="T30">
        <v>26</v>
      </c>
      <c r="U30" s="28">
        <f>E102</f>
        <v>0</v>
      </c>
      <c r="V30" t="s">
        <v>77</v>
      </c>
      <c r="W30" s="29">
        <f>E104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D31">
        <v>13</v>
      </c>
      <c r="E31" s="9"/>
      <c r="F31" s="9"/>
      <c r="G31" s="9">
        <f>E31</f>
        <v>0</v>
      </c>
      <c r="H31" s="11"/>
      <c r="I31" s="10"/>
      <c r="J31" s="10"/>
      <c r="K31" s="10"/>
      <c r="L31" s="14"/>
      <c r="M31" s="10"/>
      <c r="N31" s="10"/>
      <c r="O31" s="10"/>
      <c r="P31" s="14"/>
      <c r="Q31" s="10"/>
      <c r="T31">
        <v>27</v>
      </c>
      <c r="U31" s="28">
        <f>E106</f>
        <v>0</v>
      </c>
      <c r="V31" t="s">
        <v>77</v>
      </c>
      <c r="W31" s="29">
        <f>E108</f>
        <v>0</v>
      </c>
      <c r="Z31" s="34"/>
      <c r="AA31" s="40"/>
      <c r="AB31" s="40"/>
      <c r="AC31" s="38" t="s">
        <v>159</v>
      </c>
      <c r="AD31" s="48"/>
      <c r="AE31" s="53" t="e">
        <f>LOOKUP(AD31,T$5:T$78,U$5:U$74)</f>
        <v>#N/A</v>
      </c>
      <c r="AF31" s="37" t="s">
        <v>157</v>
      </c>
      <c r="AG31" s="65" t="e">
        <f>LOOKUP(AD31,T$5:T$78,W$5:W$74)</f>
        <v>#N/A</v>
      </c>
    </row>
    <row r="32" spans="4:33" ht="13" thickBot="1">
      <c r="E32" s="10"/>
      <c r="F32" s="10"/>
      <c r="G32" s="10"/>
      <c r="H32" s="13" t="s">
        <v>10</v>
      </c>
      <c r="I32" s="9" t="str">
        <f>IF(OR(H31="",H33=""),"",+IF(H31&gt;H33,E31,E33))</f>
        <v/>
      </c>
      <c r="J32" s="17"/>
      <c r="K32" s="10"/>
      <c r="L32" s="14"/>
      <c r="M32" s="10"/>
      <c r="N32" s="10"/>
      <c r="O32" s="10"/>
      <c r="P32" s="14"/>
      <c r="Q32" s="10"/>
      <c r="T32">
        <v>28</v>
      </c>
      <c r="U32" s="28">
        <f>E110</f>
        <v>0</v>
      </c>
      <c r="V32" t="s">
        <v>77</v>
      </c>
      <c r="W32" s="29" t="s">
        <v>161</v>
      </c>
      <c r="Z32" s="34"/>
      <c r="AA32" s="40"/>
      <c r="AB32" s="40"/>
      <c r="AC32" s="38" t="s">
        <v>159</v>
      </c>
      <c r="AD32" s="48"/>
      <c r="AE32" s="53" t="e">
        <f>LOOKUP(AD32,T$5:T$78,U$5:U$74)</f>
        <v>#N/A</v>
      </c>
      <c r="AF32" s="37" t="s">
        <v>157</v>
      </c>
      <c r="AG32" s="65" t="e">
        <f>LOOKUP(AD32,T$5:T$78,W$5:W$74)</f>
        <v>#N/A</v>
      </c>
    </row>
    <row r="33" spans="4:33" ht="13" thickBot="1">
      <c r="D33">
        <v>14</v>
      </c>
      <c r="E33" s="9"/>
      <c r="F33" s="9"/>
      <c r="G33" s="9">
        <f>E33</f>
        <v>0</v>
      </c>
      <c r="H33" s="16"/>
      <c r="I33" s="10"/>
      <c r="J33" s="14"/>
      <c r="K33" s="10"/>
      <c r="L33" s="14"/>
      <c r="M33" s="10"/>
      <c r="N33" s="10"/>
      <c r="O33" s="10"/>
      <c r="P33" s="14"/>
      <c r="Q33" s="10"/>
      <c r="T33">
        <v>29</v>
      </c>
      <c r="U33" s="28">
        <f>E117</f>
        <v>0</v>
      </c>
      <c r="V33" t="s">
        <v>77</v>
      </c>
      <c r="W33" s="29">
        <f>E119</f>
        <v>0</v>
      </c>
      <c r="Z33" s="34"/>
      <c r="AA33" s="40"/>
      <c r="AB33" s="40"/>
      <c r="AC33" s="38" t="s">
        <v>159</v>
      </c>
      <c r="AD33" s="48"/>
      <c r="AE33" s="53" t="e">
        <f>LOOKUP(AD33,T$5:T$78,U$5:U$74)</f>
        <v>#N/A</v>
      </c>
      <c r="AF33" s="37" t="s">
        <v>157</v>
      </c>
      <c r="AG33" s="65" t="e">
        <f>LOOKUP(AD33,T$5:T$78,W$5:W$74)</f>
        <v>#N/A</v>
      </c>
    </row>
    <row r="34" spans="4:33" ht="13" thickBot="1">
      <c r="E34" s="10"/>
      <c r="F34" s="10"/>
      <c r="G34" s="10"/>
      <c r="H34" s="10"/>
      <c r="I34" s="10"/>
      <c r="J34" s="14" t="s">
        <v>39</v>
      </c>
      <c r="K34" s="9" t="str">
        <f>IF(OR(J32="",J36=""),"",+IF(J32&gt;J36,I32,I36))</f>
        <v/>
      </c>
      <c r="L34" s="16"/>
      <c r="M34" s="10"/>
      <c r="N34" s="10"/>
      <c r="O34" s="10"/>
      <c r="P34" s="14"/>
      <c r="Q34" s="10"/>
      <c r="T34">
        <v>30</v>
      </c>
      <c r="U34" s="28">
        <f>E121</f>
        <v>0</v>
      </c>
      <c r="V34" t="s">
        <v>77</v>
      </c>
      <c r="W34" s="29">
        <f>E123</f>
        <v>0</v>
      </c>
      <c r="Z34" s="34"/>
      <c r="AA34" s="40"/>
      <c r="AB34" s="40"/>
      <c r="AC34" s="38" t="s">
        <v>159</v>
      </c>
      <c r="AD34" s="48"/>
      <c r="AE34" s="53" t="e">
        <f>LOOKUP(AD34,T$5:T$78,U$5:U$74)</f>
        <v>#N/A</v>
      </c>
      <c r="AF34" s="37" t="s">
        <v>157</v>
      </c>
      <c r="AG34" s="65" t="e">
        <f>LOOKUP(AD34,T$5:T$78,W$5:W$74)</f>
        <v>#N/A</v>
      </c>
    </row>
    <row r="35" spans="4:33" ht="13" thickBot="1">
      <c r="D35">
        <v>15</v>
      </c>
      <c r="E35" s="9"/>
      <c r="F35" s="9"/>
      <c r="G35" s="9">
        <f>E35</f>
        <v>0</v>
      </c>
      <c r="H35" s="11"/>
      <c r="I35" s="10"/>
      <c r="J35" s="14"/>
      <c r="K35" s="10"/>
      <c r="L35" s="10"/>
      <c r="M35" s="10"/>
      <c r="N35" s="10"/>
      <c r="O35" s="10"/>
      <c r="P35" s="14"/>
      <c r="Q35" s="10"/>
      <c r="T35">
        <v>31</v>
      </c>
      <c r="U35" s="28">
        <f>E125</f>
        <v>0</v>
      </c>
      <c r="V35" t="s">
        <v>77</v>
      </c>
      <c r="W35" s="29">
        <f>E127</f>
        <v>0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E36" s="10"/>
      <c r="F36" s="10"/>
      <c r="G36" s="10"/>
      <c r="H36" s="13" t="s">
        <v>11</v>
      </c>
      <c r="I36" s="9" t="str">
        <f>IF(OR(H35="",H37=""),"",+IF(H35&gt;H37,E35,E37))</f>
        <v/>
      </c>
      <c r="J36" s="16"/>
      <c r="K36" s="10"/>
      <c r="L36" s="10"/>
      <c r="M36" s="10"/>
      <c r="N36" s="10"/>
      <c r="O36" s="10"/>
      <c r="P36" s="14"/>
      <c r="Q36" s="10"/>
      <c r="T36">
        <v>32</v>
      </c>
      <c r="U36" s="28">
        <f>E129</f>
        <v>0</v>
      </c>
      <c r="V36" t="s">
        <v>77</v>
      </c>
      <c r="W36" s="29">
        <f>E131</f>
        <v>0</v>
      </c>
      <c r="Z36" s="34"/>
      <c r="AA36" s="40"/>
      <c r="AB36" s="40"/>
      <c r="AC36" s="38" t="s">
        <v>159</v>
      </c>
      <c r="AD36" s="48"/>
      <c r="AE36" s="53" t="e">
        <f>LOOKUP(AD36,T$5:T$78,U$5:U$74)</f>
        <v>#N/A</v>
      </c>
      <c r="AF36" s="37" t="s">
        <v>157</v>
      </c>
      <c r="AG36" s="65" t="e">
        <f>LOOKUP(AD36,T$5:T$78,W$5:W$74)</f>
        <v>#N/A</v>
      </c>
    </row>
    <row r="37" spans="4:33" ht="13" thickBot="1">
      <c r="D37">
        <v>16</v>
      </c>
      <c r="E37" s="9"/>
      <c r="F37" s="9"/>
      <c r="G37" s="9">
        <f>E37</f>
        <v>0</v>
      </c>
      <c r="H37" s="16"/>
      <c r="I37" s="10"/>
      <c r="J37" s="10"/>
      <c r="K37" s="10"/>
      <c r="L37" s="10"/>
      <c r="M37" s="10"/>
      <c r="N37" s="10"/>
      <c r="O37" s="10"/>
      <c r="P37" s="14"/>
      <c r="Q37" s="10"/>
      <c r="T37">
        <v>33</v>
      </c>
      <c r="U37" s="28">
        <f>E133</f>
        <v>0</v>
      </c>
      <c r="V37" t="s">
        <v>77</v>
      </c>
      <c r="W37" s="29">
        <f>E135</f>
        <v>0</v>
      </c>
      <c r="Z37" s="34"/>
      <c r="AA37" s="40"/>
      <c r="AB37" s="40"/>
      <c r="AC37" s="38" t="s">
        <v>159</v>
      </c>
      <c r="AD37" s="48"/>
      <c r="AE37" s="53" t="e">
        <f>LOOKUP(AD37,T$5:T$78,U$5:U$74)</f>
        <v>#N/A</v>
      </c>
      <c r="AF37" s="37" t="s">
        <v>157</v>
      </c>
      <c r="AG37" s="65" t="e">
        <f>LOOKUP(AD37,T$5:T$78,W$5:W$74)</f>
        <v>#N/A</v>
      </c>
    </row>
    <row r="38" spans="4:33" ht="13" thickBot="1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4" t="s">
        <v>64</v>
      </c>
      <c r="Q38" s="9" t="str">
        <f>IF(OR(P22="",P57=""),"",+IF(P22&gt;P57,O22,O57))</f>
        <v/>
      </c>
      <c r="T38">
        <v>34</v>
      </c>
      <c r="U38" s="28">
        <f>E137</f>
        <v>0</v>
      </c>
      <c r="V38" t="s">
        <v>77</v>
      </c>
      <c r="W38" s="29">
        <f>E139</f>
        <v>0</v>
      </c>
      <c r="Z38" s="34"/>
      <c r="AA38" s="40"/>
      <c r="AB38" s="40"/>
      <c r="AC38" s="38" t="s">
        <v>159</v>
      </c>
      <c r="AD38" s="48"/>
      <c r="AE38" s="53" t="e">
        <f>LOOKUP(AD38,T$5:T$78,U$5:U$74)</f>
        <v>#N/A</v>
      </c>
      <c r="AF38" s="37" t="s">
        <v>157</v>
      </c>
      <c r="AG38" s="65" t="e">
        <f>LOOKUP(AD38,T$5:T$78,W$5:W$74)</f>
        <v>#N/A</v>
      </c>
    </row>
    <row r="39" spans="4:33" ht="13" thickBot="1">
      <c r="D39">
        <v>17</v>
      </c>
      <c r="E39" s="9"/>
      <c r="F39" s="9"/>
      <c r="G39" s="9">
        <f>E39</f>
        <v>0</v>
      </c>
      <c r="H39" s="11"/>
      <c r="I39" s="10"/>
      <c r="J39" s="10"/>
      <c r="K39" s="10"/>
      <c r="L39" s="10"/>
      <c r="M39" s="10"/>
      <c r="N39" s="10"/>
      <c r="O39" s="10"/>
      <c r="P39" s="14"/>
      <c r="Q39" s="13"/>
      <c r="T39">
        <v>35</v>
      </c>
      <c r="U39" s="28">
        <f>E141</f>
        <v>0</v>
      </c>
      <c r="V39" t="s">
        <v>77</v>
      </c>
      <c r="W39" s="29">
        <f>139</f>
        <v>139</v>
      </c>
      <c r="Z39" s="34"/>
      <c r="AA39" s="33"/>
      <c r="AB39" s="33"/>
      <c r="AC39" s="33"/>
      <c r="AD39" s="50"/>
      <c r="AE39" s="64"/>
      <c r="AF39" s="33"/>
      <c r="AG39" s="59"/>
    </row>
    <row r="40" spans="4:33">
      <c r="E40" s="12"/>
      <c r="F40" s="10"/>
      <c r="G40" s="10"/>
      <c r="H40" s="13"/>
      <c r="I40" s="10"/>
      <c r="J40" s="10"/>
      <c r="K40" s="10"/>
      <c r="L40" s="10"/>
      <c r="M40" s="10"/>
      <c r="N40" s="10"/>
      <c r="O40" s="10"/>
      <c r="P40" s="14"/>
      <c r="Q40" s="14"/>
      <c r="T40">
        <v>36</v>
      </c>
      <c r="U40" s="28" t="s">
        <v>81</v>
      </c>
      <c r="V40" t="s">
        <v>77</v>
      </c>
      <c r="W40" s="28" t="s">
        <v>162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/>
      <c r="F41" s="10"/>
      <c r="G41" s="10"/>
      <c r="H41" s="14" t="s">
        <v>12</v>
      </c>
      <c r="I41" s="9" t="str">
        <f>IF(OR(H39="",H43=""),"",+IF(H39&gt;H43,E39,G43))</f>
        <v/>
      </c>
      <c r="J41" s="11"/>
      <c r="K41" s="10"/>
      <c r="L41" s="10"/>
      <c r="M41" s="10"/>
      <c r="N41" s="10"/>
      <c r="O41" s="10"/>
      <c r="P41" s="14"/>
      <c r="Q41" s="14"/>
      <c r="T41">
        <v>37</v>
      </c>
      <c r="U41" s="28" t="s">
        <v>163</v>
      </c>
      <c r="V41" t="s">
        <v>77</v>
      </c>
      <c r="W41" s="28" t="s">
        <v>199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10"/>
      <c r="F42" s="11"/>
      <c r="G42" s="10"/>
      <c r="H42" s="14"/>
      <c r="I42" s="10"/>
      <c r="J42" s="13"/>
      <c r="K42" s="10"/>
      <c r="L42" s="10"/>
      <c r="M42" s="10"/>
      <c r="N42" s="10"/>
      <c r="O42" s="10"/>
      <c r="P42" s="14"/>
      <c r="Q42" s="14"/>
      <c r="T42">
        <v>38</v>
      </c>
      <c r="U42" s="28" t="s">
        <v>164</v>
      </c>
      <c r="V42" t="s">
        <v>77</v>
      </c>
      <c r="W42" s="28" t="s">
        <v>200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E43" s="12"/>
      <c r="F43" s="13" t="s">
        <v>1</v>
      </c>
      <c r="G43" s="9" t="str">
        <f>IF(OR(F42="",F44=""),"",+IF(F42&gt;F44,E42,E44))</f>
        <v/>
      </c>
      <c r="H43" s="16"/>
      <c r="I43" s="10"/>
      <c r="J43" s="14"/>
      <c r="K43" s="10"/>
      <c r="L43" s="10"/>
      <c r="M43" s="10"/>
      <c r="N43" s="10"/>
      <c r="O43" s="10"/>
      <c r="P43" s="14"/>
      <c r="Q43" s="14"/>
      <c r="T43">
        <v>39</v>
      </c>
      <c r="U43" s="28" t="s">
        <v>87</v>
      </c>
      <c r="V43" t="s">
        <v>77</v>
      </c>
      <c r="W43" s="28" t="s">
        <v>88</v>
      </c>
      <c r="Z43" s="34"/>
      <c r="AA43" s="40"/>
      <c r="AB43" s="40"/>
      <c r="AC43" s="38" t="s">
        <v>159</v>
      </c>
      <c r="AD43" s="48"/>
      <c r="AE43" s="53" t="e">
        <f>LOOKUP(AD43,T$5:T$78,U$5:U$74)</f>
        <v>#N/A</v>
      </c>
      <c r="AF43" s="37" t="s">
        <v>157</v>
      </c>
      <c r="AG43" s="65" t="e">
        <f>LOOKUP(AD43,T$5:T$78,W$5:W$74)</f>
        <v>#N/A</v>
      </c>
    </row>
    <row r="44" spans="4:33" ht="13" thickBot="1">
      <c r="D44">
        <v>19</v>
      </c>
      <c r="E44" s="10"/>
      <c r="F44" s="16"/>
      <c r="G44" s="10"/>
      <c r="H44" s="10"/>
      <c r="I44" s="10"/>
      <c r="J44" s="14" t="s">
        <v>40</v>
      </c>
      <c r="K44" s="9" t="str">
        <f>IF(OR(J41="",J47=""),"",+IF(J41&gt;J47,I41,I47))</f>
        <v/>
      </c>
      <c r="L44" s="17"/>
      <c r="M44" s="10"/>
      <c r="N44" s="10"/>
      <c r="O44" s="10"/>
      <c r="P44" s="14"/>
      <c r="Q44" s="14"/>
      <c r="T44">
        <v>40</v>
      </c>
      <c r="U44" s="28" t="s">
        <v>89</v>
      </c>
      <c r="V44" t="s">
        <v>77</v>
      </c>
      <c r="W44" s="28" t="s">
        <v>90</v>
      </c>
      <c r="Z44" s="34"/>
      <c r="AA44" s="40"/>
      <c r="AB44" s="40"/>
      <c r="AC44" s="38" t="s">
        <v>159</v>
      </c>
      <c r="AD44" s="48"/>
      <c r="AE44" s="53" t="e">
        <f>LOOKUP(AD44,T$5:T$78,U$5:U$74)</f>
        <v>#N/A</v>
      </c>
      <c r="AF44" s="37" t="s">
        <v>157</v>
      </c>
      <c r="AG44" s="65" t="e">
        <f>LOOKUP(AD44,T$5:T$78,W$5:W$74)</f>
        <v>#N/A</v>
      </c>
    </row>
    <row r="45" spans="4:33">
      <c r="E45" s="12"/>
      <c r="F45" s="10"/>
      <c r="G45" s="10"/>
      <c r="H45" s="10"/>
      <c r="I45" s="10"/>
      <c r="J45" s="14"/>
      <c r="K45" s="10"/>
      <c r="L45" s="10"/>
      <c r="M45" s="19"/>
      <c r="N45" s="10"/>
      <c r="O45" s="10"/>
      <c r="P45" s="14"/>
      <c r="Q45" s="14"/>
      <c r="T45">
        <v>41</v>
      </c>
      <c r="U45" s="28" t="s">
        <v>91</v>
      </c>
      <c r="V45" t="s">
        <v>77</v>
      </c>
      <c r="W45" s="28" t="s">
        <v>92</v>
      </c>
      <c r="Z45" s="34"/>
      <c r="AA45" s="40"/>
      <c r="AB45" s="40"/>
      <c r="AC45" s="38" t="s">
        <v>159</v>
      </c>
      <c r="AD45" s="48"/>
      <c r="AE45" s="53" t="e">
        <f>LOOKUP(AD45,T$5:T$78,U$5:U$74)</f>
        <v>#N/A</v>
      </c>
      <c r="AF45" s="37" t="s">
        <v>157</v>
      </c>
      <c r="AG45" s="65" t="e">
        <f>LOOKUP(AD45,T$5:T$78,W$5:W$74)</f>
        <v>#N/A</v>
      </c>
    </row>
    <row r="46" spans="4:33" ht="13" thickBot="1">
      <c r="D46">
        <v>20</v>
      </c>
      <c r="E46" s="9"/>
      <c r="F46" s="9"/>
      <c r="G46" s="9">
        <f>E46</f>
        <v>0</v>
      </c>
      <c r="H46" s="11"/>
      <c r="I46" s="10"/>
      <c r="J46" s="14"/>
      <c r="K46" s="10"/>
      <c r="L46" s="10"/>
      <c r="M46" s="19"/>
      <c r="N46" s="10"/>
      <c r="O46" s="10"/>
      <c r="P46" s="14"/>
      <c r="Q46" s="14"/>
      <c r="T46">
        <v>42</v>
      </c>
      <c r="U46" s="28" t="s">
        <v>165</v>
      </c>
      <c r="V46" t="s">
        <v>77</v>
      </c>
      <c r="W46" s="28" t="s">
        <v>94</v>
      </c>
      <c r="Z46" s="34"/>
      <c r="AA46" s="40"/>
      <c r="AB46" s="40"/>
      <c r="AC46" s="38" t="s">
        <v>159</v>
      </c>
      <c r="AD46" s="48"/>
      <c r="AE46" s="53" t="e">
        <f>LOOKUP(AD46,T$5:T$78,U$5:U$74)</f>
        <v>#N/A</v>
      </c>
      <c r="AF46" s="37" t="s">
        <v>157</v>
      </c>
      <c r="AG46" s="65" t="e">
        <f>LOOKUP(AD46,T$5:T$78,W$5:W$74)</f>
        <v>#N/A</v>
      </c>
    </row>
    <row r="47" spans="4:33" ht="13" thickBot="1">
      <c r="E47" s="10"/>
      <c r="F47" s="10"/>
      <c r="G47" s="10"/>
      <c r="H47" s="13" t="s">
        <v>13</v>
      </c>
      <c r="I47" s="9" t="str">
        <f>IF(OR(H46="",H48=""),"",+IF(H46&gt;H48,E46,E48))</f>
        <v/>
      </c>
      <c r="J47" s="16"/>
      <c r="K47" s="10"/>
      <c r="L47" s="10"/>
      <c r="M47" s="19"/>
      <c r="N47" s="10"/>
      <c r="O47" s="10"/>
      <c r="P47" s="14"/>
      <c r="Q47" s="14"/>
      <c r="T47">
        <v>43</v>
      </c>
      <c r="U47" s="28" t="s">
        <v>95</v>
      </c>
      <c r="V47" t="s">
        <v>77</v>
      </c>
      <c r="W47" s="28" t="s">
        <v>96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D48">
        <v>21</v>
      </c>
      <c r="E48" s="9"/>
      <c r="F48" s="9"/>
      <c r="G48" s="9">
        <f>E48</f>
        <v>0</v>
      </c>
      <c r="H48" s="16"/>
      <c r="I48" s="10"/>
      <c r="J48" s="10"/>
      <c r="K48" s="10"/>
      <c r="L48" s="10"/>
      <c r="M48" s="19"/>
      <c r="N48" s="10"/>
      <c r="O48" s="10"/>
      <c r="P48" s="14"/>
      <c r="Q48" s="14"/>
      <c r="T48">
        <v>44</v>
      </c>
      <c r="U48" s="28" t="s">
        <v>97</v>
      </c>
      <c r="V48" t="s">
        <v>77</v>
      </c>
      <c r="W48" s="28" t="s">
        <v>98</v>
      </c>
      <c r="Z48" s="34"/>
      <c r="AA48" s="40"/>
      <c r="AB48" s="40"/>
      <c r="AC48" s="38" t="s">
        <v>159</v>
      </c>
      <c r="AD48" s="48"/>
      <c r="AE48" s="53" t="e">
        <f>LOOKUP(AD48,T$5:T$78,U$5:U$74)</f>
        <v>#N/A</v>
      </c>
      <c r="AF48" s="37" t="s">
        <v>157</v>
      </c>
      <c r="AG48" s="65" t="e">
        <f>LOOKUP(AD48,T$5:T$78,W$5:W$74)</f>
        <v>#N/A</v>
      </c>
    </row>
    <row r="49" spans="4:33" ht="13" thickBot="1">
      <c r="E49" s="10"/>
      <c r="F49" s="10"/>
      <c r="G49" s="10"/>
      <c r="H49" s="10"/>
      <c r="I49" s="10"/>
      <c r="J49" s="10"/>
      <c r="K49" s="10"/>
      <c r="L49" s="14" t="s">
        <v>54</v>
      </c>
      <c r="M49" s="9" t="str">
        <f>IF(OR(L44="",L53=""),"",+IF(L44&gt;L53,K44,K53))</f>
        <v/>
      </c>
      <c r="N49" s="17"/>
      <c r="O49" s="10"/>
      <c r="P49" s="14"/>
      <c r="Q49" s="14"/>
      <c r="T49">
        <v>45</v>
      </c>
      <c r="U49" s="28" t="s">
        <v>99</v>
      </c>
      <c r="V49" t="s">
        <v>77</v>
      </c>
      <c r="W49" s="28" t="s">
        <v>100</v>
      </c>
      <c r="Z49" s="34"/>
      <c r="AA49" s="40"/>
      <c r="AB49" s="40"/>
      <c r="AC49" s="38" t="s">
        <v>159</v>
      </c>
      <c r="AD49" s="48"/>
      <c r="AE49" s="53" t="e">
        <f>LOOKUP(AD49,T$5:T$78,U$5:U$74)</f>
        <v>#N/A</v>
      </c>
      <c r="AF49" s="37" t="s">
        <v>157</v>
      </c>
      <c r="AG49" s="65" t="e">
        <f>LOOKUP(AD49,T$5:T$78,W$5:W$74)</f>
        <v>#N/A</v>
      </c>
    </row>
    <row r="50" spans="4:33" ht="13" thickBot="1">
      <c r="D50">
        <v>22</v>
      </c>
      <c r="E50" s="9"/>
      <c r="F50" s="9"/>
      <c r="G50" s="9">
        <f>E50</f>
        <v>0</v>
      </c>
      <c r="H50" s="11"/>
      <c r="I50" s="10"/>
      <c r="J50" s="10"/>
      <c r="K50" s="10"/>
      <c r="L50" s="10"/>
      <c r="M50" s="19"/>
      <c r="N50" s="13"/>
      <c r="O50" s="10"/>
      <c r="P50" s="14"/>
      <c r="Q50" s="14"/>
      <c r="T50">
        <v>46</v>
      </c>
      <c r="U50" s="28" t="s">
        <v>101</v>
      </c>
      <c r="V50" t="s">
        <v>77</v>
      </c>
      <c r="W50" s="28" t="s">
        <v>102</v>
      </c>
      <c r="Z50" s="34"/>
      <c r="AA50" s="40"/>
      <c r="AB50" s="40"/>
      <c r="AC50" s="38" t="s">
        <v>159</v>
      </c>
      <c r="AD50" s="48"/>
      <c r="AE50" s="53" t="e">
        <f>LOOKUP(AD50,T$5:T$78,U$5:U$74)</f>
        <v>#N/A</v>
      </c>
      <c r="AF50" s="37" t="s">
        <v>157</v>
      </c>
      <c r="AG50" s="65" t="e">
        <f>LOOKUP(AD50,T$5:T$78,W$5:W$74)</f>
        <v>#N/A</v>
      </c>
    </row>
    <row r="51" spans="4:33" ht="13" thickBot="1">
      <c r="E51" s="10"/>
      <c r="F51" s="10"/>
      <c r="G51" s="12"/>
      <c r="H51" s="13" t="s">
        <v>14</v>
      </c>
      <c r="I51" s="9" t="str">
        <f>IF(OR(H50="",H52=""),"",+IF(H50&gt;H52,E50,E52))</f>
        <v/>
      </c>
      <c r="J51" s="17"/>
      <c r="K51" s="10"/>
      <c r="L51" s="10"/>
      <c r="M51" s="19"/>
      <c r="N51" s="14"/>
      <c r="O51" s="10"/>
      <c r="P51" s="14"/>
      <c r="Q51" s="14"/>
      <c r="T51">
        <v>47</v>
      </c>
      <c r="U51" s="28" t="s">
        <v>103</v>
      </c>
      <c r="V51" t="s">
        <v>77</v>
      </c>
      <c r="W51" s="28" t="s">
        <v>104</v>
      </c>
      <c r="Z51" s="34"/>
      <c r="AA51" s="40"/>
      <c r="AB51" s="40"/>
      <c r="AC51" s="38" t="s">
        <v>159</v>
      </c>
      <c r="AD51" s="48"/>
      <c r="AE51" s="53" t="e">
        <f>LOOKUP(AD51,T$5:T$78,U$5:U$74)</f>
        <v>#N/A</v>
      </c>
      <c r="AF51" s="37" t="s">
        <v>157</v>
      </c>
      <c r="AG51" s="65" t="e">
        <f>LOOKUP(AD51,T$5:T$78,W$5:W$74)</f>
        <v>#N/A</v>
      </c>
    </row>
    <row r="52" spans="4:33" ht="13" thickBot="1">
      <c r="D52">
        <v>23</v>
      </c>
      <c r="E52" s="9"/>
      <c r="F52" s="9"/>
      <c r="G52" s="9">
        <f>E52</f>
        <v>0</v>
      </c>
      <c r="H52" s="16"/>
      <c r="I52" s="10"/>
      <c r="J52" s="14"/>
      <c r="K52" s="10"/>
      <c r="L52" s="10"/>
      <c r="M52" s="19"/>
      <c r="N52" s="14"/>
      <c r="O52" s="10"/>
      <c r="P52" s="14"/>
      <c r="Q52" s="14"/>
      <c r="T52">
        <v>48</v>
      </c>
      <c r="U52" s="28" t="s">
        <v>105</v>
      </c>
      <c r="V52" t="s">
        <v>77</v>
      </c>
      <c r="W52" s="28" t="s">
        <v>106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E53" s="10"/>
      <c r="F53" s="10"/>
      <c r="G53" s="12"/>
      <c r="H53" s="10"/>
      <c r="I53" s="10"/>
      <c r="J53" s="14" t="s">
        <v>41</v>
      </c>
      <c r="K53" s="9" t="str">
        <f>IF(OR(J51="",J55=""),"",+IF(J51&gt;J55,I51,I55))</f>
        <v/>
      </c>
      <c r="L53" s="16"/>
      <c r="M53" s="19"/>
      <c r="N53" s="14"/>
      <c r="O53" s="10"/>
      <c r="P53" s="14"/>
      <c r="Q53" s="14"/>
      <c r="T53">
        <v>49</v>
      </c>
      <c r="U53" s="28" t="s">
        <v>107</v>
      </c>
      <c r="V53" t="s">
        <v>77</v>
      </c>
      <c r="W53" s="28" t="s">
        <v>108</v>
      </c>
      <c r="Z53" s="34"/>
      <c r="AA53" s="40"/>
      <c r="AB53" s="40"/>
      <c r="AC53" s="38" t="s">
        <v>159</v>
      </c>
      <c r="AD53" s="48"/>
      <c r="AE53" s="53" t="e">
        <f>LOOKUP(AD53,T$5:T$78,U$5:U$74)</f>
        <v>#N/A</v>
      </c>
      <c r="AF53" s="37" t="s">
        <v>157</v>
      </c>
      <c r="AG53" s="65" t="e">
        <f>LOOKUP(AD53,T$5:T$78,W$5:W$74)</f>
        <v>#N/A</v>
      </c>
    </row>
    <row r="54" spans="4:33" ht="13" thickBot="1">
      <c r="D54">
        <v>24</v>
      </c>
      <c r="E54" s="9"/>
      <c r="F54" s="9"/>
      <c r="G54" s="9">
        <f>E54</f>
        <v>0</v>
      </c>
      <c r="H54" s="11"/>
      <c r="I54" s="10"/>
      <c r="J54" s="14"/>
      <c r="K54" s="10"/>
      <c r="L54" s="10"/>
      <c r="M54" s="10"/>
      <c r="N54" s="14"/>
      <c r="O54" s="10"/>
      <c r="P54" s="14"/>
      <c r="Q54" s="14"/>
      <c r="T54">
        <v>50</v>
      </c>
      <c r="U54" s="28" t="s">
        <v>109</v>
      </c>
      <c r="V54" t="s">
        <v>77</v>
      </c>
      <c r="W54" s="28" t="s">
        <v>110</v>
      </c>
      <c r="Z54" s="34"/>
      <c r="AA54" s="40"/>
      <c r="AB54" s="40"/>
      <c r="AC54" s="38" t="s">
        <v>159</v>
      </c>
      <c r="AD54" s="48"/>
      <c r="AE54" s="53" t="e">
        <f>LOOKUP(AD54,T$5:T$78,U$5:U$74)</f>
        <v>#N/A</v>
      </c>
      <c r="AF54" s="37" t="s">
        <v>157</v>
      </c>
      <c r="AG54" s="65" t="e">
        <f>LOOKUP(AD54,T$5:T$78,W$5:W$74)</f>
        <v>#N/A</v>
      </c>
    </row>
    <row r="55" spans="4:33" ht="13" thickBot="1">
      <c r="E55" s="10"/>
      <c r="F55" s="10"/>
      <c r="G55" s="12"/>
      <c r="H55" s="13" t="s">
        <v>15</v>
      </c>
      <c r="I55" s="9" t="str">
        <f>IF(OR(H54="",H56=""),"",+IF(H54&gt;H56,E54,E56))</f>
        <v/>
      </c>
      <c r="J55" s="16"/>
      <c r="K55" s="10"/>
      <c r="L55" s="10"/>
      <c r="M55" s="10"/>
      <c r="N55" s="14"/>
      <c r="O55" s="10"/>
      <c r="P55" s="14"/>
      <c r="Q55" s="14"/>
      <c r="T55">
        <v>51</v>
      </c>
      <c r="U55" s="28" t="s">
        <v>111</v>
      </c>
      <c r="V55" t="s">
        <v>77</v>
      </c>
      <c r="W55" s="28" t="s">
        <v>112</v>
      </c>
      <c r="Z55" s="34"/>
      <c r="AA55" s="40"/>
      <c r="AB55" s="40"/>
      <c r="AC55" s="38" t="s">
        <v>159</v>
      </c>
      <c r="AD55" s="48"/>
      <c r="AE55" s="53" t="e">
        <f>LOOKUP(AD55,T$5:T$78,U$5:U$74)</f>
        <v>#N/A</v>
      </c>
      <c r="AF55" s="37" t="s">
        <v>157</v>
      </c>
      <c r="AG55" s="65" t="e">
        <f>LOOKUP(AD55,T$5:T$78,W$5:W$74)</f>
        <v>#N/A</v>
      </c>
    </row>
    <row r="56" spans="4:33" ht="13" thickBot="1">
      <c r="D56">
        <v>25</v>
      </c>
      <c r="E56" s="9"/>
      <c r="F56" s="9"/>
      <c r="G56" s="9">
        <f>E56</f>
        <v>0</v>
      </c>
      <c r="H56" s="16"/>
      <c r="I56" s="10"/>
      <c r="J56" s="10"/>
      <c r="K56" s="10"/>
      <c r="L56" s="10"/>
      <c r="M56" s="10"/>
      <c r="N56" s="14"/>
      <c r="O56" s="10"/>
      <c r="P56" s="14"/>
      <c r="Q56" s="14"/>
      <c r="T56">
        <v>52</v>
      </c>
      <c r="U56" s="28" t="s">
        <v>113</v>
      </c>
      <c r="V56" t="s">
        <v>77</v>
      </c>
      <c r="W56" s="28" t="s">
        <v>114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E57" s="10"/>
      <c r="F57" s="10"/>
      <c r="G57" s="10"/>
      <c r="H57" s="10"/>
      <c r="I57" s="10"/>
      <c r="J57" s="10"/>
      <c r="K57" s="10"/>
      <c r="L57" s="10"/>
      <c r="M57" s="10"/>
      <c r="N57" s="14" t="s">
        <v>61</v>
      </c>
      <c r="O57" s="9" t="str">
        <f>IF(OR(N49="",N65=""),"",+IF(N49&gt;N65,M49,M65))</f>
        <v/>
      </c>
      <c r="P57" s="16"/>
      <c r="Q57" s="14"/>
      <c r="T57">
        <v>53</v>
      </c>
      <c r="U57" s="28" t="s">
        <v>115</v>
      </c>
      <c r="V57" t="s">
        <v>77</v>
      </c>
      <c r="W57" s="28" t="s">
        <v>116</v>
      </c>
    </row>
    <row r="58" spans="4:33" ht="13" thickBot="1">
      <c r="D58">
        <v>26</v>
      </c>
      <c r="E58" s="9"/>
      <c r="F58" s="9"/>
      <c r="G58" s="9">
        <f>E58</f>
        <v>0</v>
      </c>
      <c r="H58" s="11"/>
      <c r="I58" s="10"/>
      <c r="J58" s="10"/>
      <c r="K58" s="10"/>
      <c r="L58" s="10"/>
      <c r="M58" s="10"/>
      <c r="N58" s="14"/>
      <c r="O58" s="10"/>
      <c r="P58" s="10"/>
      <c r="Q58" s="14"/>
      <c r="T58">
        <v>54</v>
      </c>
      <c r="U58" s="28" t="s">
        <v>117</v>
      </c>
      <c r="V58" t="s">
        <v>77</v>
      </c>
      <c r="W58" s="28" t="s">
        <v>118</v>
      </c>
    </row>
    <row r="59" spans="4:33" ht="13" thickBot="1">
      <c r="E59" s="10"/>
      <c r="F59" s="10"/>
      <c r="G59" s="10"/>
      <c r="H59" s="13" t="s">
        <v>16</v>
      </c>
      <c r="I59" s="9" t="str">
        <f>IF(OR(H58="",H60=""),"",+IF(H58&gt;H60,E58,E60))</f>
        <v/>
      </c>
      <c r="J59" s="17"/>
      <c r="K59" s="10"/>
      <c r="L59" s="10"/>
      <c r="M59" s="10"/>
      <c r="N59" s="14"/>
      <c r="O59" s="10"/>
      <c r="P59" s="10"/>
      <c r="Q59" s="14"/>
      <c r="T59">
        <v>55</v>
      </c>
      <c r="U59" s="28" t="s">
        <v>119</v>
      </c>
      <c r="V59" t="s">
        <v>77</v>
      </c>
      <c r="W59" s="28" t="s">
        <v>120</v>
      </c>
    </row>
    <row r="60" spans="4:33" ht="13" thickBot="1">
      <c r="D60">
        <v>27</v>
      </c>
      <c r="E60" s="9"/>
      <c r="F60" s="9"/>
      <c r="G60" s="9">
        <f>E60</f>
        <v>0</v>
      </c>
      <c r="H60" s="16"/>
      <c r="I60" s="10"/>
      <c r="J60" s="14"/>
      <c r="K60" s="10"/>
      <c r="L60" s="10"/>
      <c r="M60" s="10"/>
      <c r="N60" s="14"/>
      <c r="O60" s="10"/>
      <c r="P60" s="10"/>
      <c r="Q60" s="14"/>
      <c r="T60">
        <v>56</v>
      </c>
      <c r="U60" s="28" t="s">
        <v>121</v>
      </c>
      <c r="V60" t="s">
        <v>77</v>
      </c>
      <c r="W60" s="28" t="s">
        <v>122</v>
      </c>
    </row>
    <row r="61" spans="4:33" ht="13" thickBot="1">
      <c r="E61" s="10"/>
      <c r="F61" s="10"/>
      <c r="G61" s="10"/>
      <c r="H61" s="10"/>
      <c r="I61" s="10"/>
      <c r="J61" s="14" t="s">
        <v>42</v>
      </c>
      <c r="K61" s="9" t="str">
        <f>IF(OR(J59="",J63=""),"",+IF(J59&gt;J63,I59,I63))</f>
        <v/>
      </c>
      <c r="L61" s="17"/>
      <c r="M61" s="10"/>
      <c r="N61" s="14"/>
      <c r="O61" s="10"/>
      <c r="P61" s="10"/>
      <c r="Q61" s="14"/>
      <c r="T61">
        <v>57</v>
      </c>
      <c r="U61" s="28" t="s">
        <v>123</v>
      </c>
      <c r="V61" t="s">
        <v>77</v>
      </c>
      <c r="W61" s="28" t="s">
        <v>124</v>
      </c>
    </row>
    <row r="62" spans="4:33" ht="13" thickBot="1">
      <c r="D62">
        <v>28</v>
      </c>
      <c r="E62" s="9"/>
      <c r="F62" s="9"/>
      <c r="G62" s="9">
        <f>E62</f>
        <v>0</v>
      </c>
      <c r="H62" s="11"/>
      <c r="I62" s="10"/>
      <c r="J62" s="14"/>
      <c r="K62" s="10"/>
      <c r="L62" s="13"/>
      <c r="M62" s="10"/>
      <c r="N62" s="14"/>
      <c r="O62" s="10"/>
      <c r="P62" s="10"/>
      <c r="Q62" s="14"/>
      <c r="T62">
        <v>58</v>
      </c>
      <c r="U62" s="28" t="s">
        <v>125</v>
      </c>
      <c r="V62" t="s">
        <v>77</v>
      </c>
      <c r="W62" s="28" t="s">
        <v>126</v>
      </c>
    </row>
    <row r="63" spans="4:33" ht="13" thickBot="1">
      <c r="E63" s="10"/>
      <c r="F63" s="10"/>
      <c r="G63" s="10"/>
      <c r="H63" s="13" t="s">
        <v>17</v>
      </c>
      <c r="I63" s="9" t="str">
        <f>IF(OR(H62="",H64=""),"",+IF(H62&gt;H64,E62,E64))</f>
        <v/>
      </c>
      <c r="J63" s="16"/>
      <c r="K63" s="10"/>
      <c r="L63" s="14"/>
      <c r="M63" s="10"/>
      <c r="N63" s="14"/>
      <c r="O63" s="10"/>
      <c r="P63" s="10"/>
      <c r="Q63" s="14"/>
      <c r="T63">
        <v>59</v>
      </c>
      <c r="U63" s="28" t="s">
        <v>127</v>
      </c>
      <c r="V63" t="s">
        <v>77</v>
      </c>
      <c r="W63" s="28" t="s">
        <v>130</v>
      </c>
    </row>
    <row r="64" spans="4:33" ht="13" thickBot="1">
      <c r="D64">
        <v>29</v>
      </c>
      <c r="E64" s="9"/>
      <c r="F64" s="9"/>
      <c r="G64" s="9">
        <f>E64</f>
        <v>0</v>
      </c>
      <c r="H64" s="16"/>
      <c r="I64" s="10"/>
      <c r="J64" s="10"/>
      <c r="K64" s="10"/>
      <c r="L64" s="14"/>
      <c r="M64" s="10"/>
      <c r="N64" s="14"/>
      <c r="O64" s="10"/>
      <c r="P64" s="10"/>
      <c r="Q64" s="14"/>
      <c r="T64">
        <v>60</v>
      </c>
      <c r="U64" s="28" t="s">
        <v>128</v>
      </c>
      <c r="V64" t="s">
        <v>77</v>
      </c>
      <c r="W64" s="28" t="s">
        <v>129</v>
      </c>
    </row>
    <row r="65" spans="4:23" ht="13" thickBot="1">
      <c r="E65" s="10"/>
      <c r="F65" s="10"/>
      <c r="G65" s="10"/>
      <c r="H65" s="10"/>
      <c r="I65" s="10"/>
      <c r="J65" s="10"/>
      <c r="K65" s="10"/>
      <c r="L65" s="14" t="s">
        <v>55</v>
      </c>
      <c r="M65" s="9" t="str">
        <f>IF(OR(L61="",L69=""),"",+IF(L61&gt;L69,K61,K69))</f>
        <v/>
      </c>
      <c r="N65" s="16"/>
      <c r="O65" s="10"/>
      <c r="P65" s="10"/>
      <c r="Q65" s="14"/>
      <c r="T65">
        <v>61</v>
      </c>
      <c r="U65" s="28" t="s">
        <v>131</v>
      </c>
      <c r="V65" t="s">
        <v>77</v>
      </c>
      <c r="W65" s="28" t="s">
        <v>132</v>
      </c>
    </row>
    <row r="66" spans="4:23" ht="13" thickBot="1">
      <c r="D66">
        <v>30</v>
      </c>
      <c r="E66" s="9"/>
      <c r="F66" s="9"/>
      <c r="G66" s="9">
        <f>E66</f>
        <v>0</v>
      </c>
      <c r="H66" s="11"/>
      <c r="I66" s="10"/>
      <c r="J66" s="10"/>
      <c r="K66" s="10"/>
      <c r="L66" s="14"/>
      <c r="M66" s="10"/>
      <c r="N66" s="10"/>
      <c r="O66" s="10"/>
      <c r="P66" s="10"/>
      <c r="Q66" s="14"/>
      <c r="T66">
        <v>62</v>
      </c>
      <c r="U66" s="28" t="s">
        <v>133</v>
      </c>
      <c r="V66" t="s">
        <v>77</v>
      </c>
      <c r="W66" s="28" t="s">
        <v>134</v>
      </c>
    </row>
    <row r="67" spans="4:23" ht="13" thickBot="1">
      <c r="E67" s="10"/>
      <c r="F67" s="10"/>
      <c r="G67" s="10"/>
      <c r="H67" s="13" t="s">
        <v>18</v>
      </c>
      <c r="I67" s="9" t="str">
        <f>IF(OR(H66="",H68=""),"",+IF(H66&gt;H68,E66,E68))</f>
        <v/>
      </c>
      <c r="J67" s="17"/>
      <c r="K67" s="10"/>
      <c r="L67" s="14"/>
      <c r="M67" s="10"/>
      <c r="N67" s="10"/>
      <c r="O67" s="10"/>
      <c r="P67" s="10"/>
      <c r="Q67" s="14"/>
      <c r="T67">
        <v>63</v>
      </c>
      <c r="U67" s="28" t="s">
        <v>135</v>
      </c>
      <c r="V67" t="s">
        <v>77</v>
      </c>
      <c r="W67" s="28" t="s">
        <v>136</v>
      </c>
    </row>
    <row r="68" spans="4:23" ht="13" thickBot="1">
      <c r="D68">
        <v>31</v>
      </c>
      <c r="E68" s="9"/>
      <c r="F68" s="9"/>
      <c r="G68" s="9">
        <f>E68</f>
        <v>0</v>
      </c>
      <c r="H68" s="16"/>
      <c r="I68" s="10"/>
      <c r="J68" s="14"/>
      <c r="K68" s="10"/>
      <c r="L68" s="14"/>
      <c r="M68" s="10"/>
      <c r="N68" s="10"/>
      <c r="O68" s="10"/>
      <c r="P68" s="10"/>
      <c r="Q68" s="14"/>
      <c r="T68">
        <v>64</v>
      </c>
      <c r="U68" s="28" t="s">
        <v>137</v>
      </c>
      <c r="V68" t="s">
        <v>77</v>
      </c>
      <c r="W68" s="28" t="s">
        <v>138</v>
      </c>
    </row>
    <row r="69" spans="4:23" ht="13" thickBot="1">
      <c r="E69" s="10"/>
      <c r="F69" s="10"/>
      <c r="G69" s="10"/>
      <c r="H69" s="10"/>
      <c r="I69" s="10"/>
      <c r="J69" s="14" t="s">
        <v>43</v>
      </c>
      <c r="K69" s="9" t="str">
        <f>IF(OR(J67="",J71=""),"",+IF(J67&gt;J71,I67,I71))</f>
        <v/>
      </c>
      <c r="L69" s="16"/>
      <c r="M69" s="10"/>
      <c r="N69" s="10"/>
      <c r="O69" s="10"/>
      <c r="P69" s="10"/>
      <c r="Q69" s="14"/>
      <c r="T69">
        <v>65</v>
      </c>
      <c r="U69" s="28" t="s">
        <v>144</v>
      </c>
      <c r="V69" t="s">
        <v>77</v>
      </c>
      <c r="W69" s="28" t="s">
        <v>139</v>
      </c>
    </row>
    <row r="70" spans="4:23" ht="13" thickBot="1">
      <c r="D70">
        <v>32</v>
      </c>
      <c r="E70" s="21"/>
      <c r="F70" s="9"/>
      <c r="G70" s="9">
        <f>E70</f>
        <v>0</v>
      </c>
      <c r="H70" s="11"/>
      <c r="I70" s="10"/>
      <c r="J70" s="14"/>
      <c r="K70" s="10"/>
      <c r="L70" s="10"/>
      <c r="M70" s="10"/>
      <c r="N70" s="10"/>
      <c r="O70" s="10"/>
      <c r="P70" s="10"/>
      <c r="Q70" s="14"/>
      <c r="T70">
        <v>66</v>
      </c>
      <c r="U70" s="28" t="s">
        <v>140</v>
      </c>
      <c r="V70" t="s">
        <v>77</v>
      </c>
      <c r="W70" s="28" t="s">
        <v>141</v>
      </c>
    </row>
    <row r="71" spans="4:23" ht="13" thickBot="1">
      <c r="E71" s="10"/>
      <c r="F71" s="10"/>
      <c r="G71" s="10"/>
      <c r="H71" s="13" t="s">
        <v>19</v>
      </c>
      <c r="I71" s="9" t="str">
        <f>IF(OR(H70="",H72=""),"",+IF(H70&gt;H72,E70,E72))</f>
        <v/>
      </c>
      <c r="J71" s="16"/>
      <c r="K71" s="10"/>
      <c r="L71" s="10"/>
      <c r="M71" s="10"/>
      <c r="N71" s="10"/>
      <c r="O71" s="10"/>
      <c r="P71" s="10"/>
      <c r="Q71" s="14"/>
    </row>
    <row r="72" spans="4:23" ht="13" thickBot="1">
      <c r="D72">
        <v>33</v>
      </c>
      <c r="E72" s="9"/>
      <c r="F72" s="9"/>
      <c r="G72" s="9">
        <f>E72</f>
        <v>0</v>
      </c>
      <c r="H72" s="16"/>
      <c r="I72" s="10"/>
      <c r="J72" s="10"/>
      <c r="K72" s="10"/>
      <c r="L72" s="10"/>
      <c r="M72" s="10"/>
      <c r="N72" s="10"/>
      <c r="O72" s="10"/>
      <c r="P72" s="10"/>
      <c r="Q72" s="14"/>
    </row>
    <row r="73" spans="4:23">
      <c r="Q73" s="6"/>
    </row>
    <row r="74" spans="4:23" ht="13" thickBot="1">
      <c r="Q74" s="68" t="s">
        <v>66</v>
      </c>
      <c r="R74" s="27"/>
    </row>
    <row r="75" spans="4:23" ht="13" thickBot="1">
      <c r="D75">
        <v>34</v>
      </c>
      <c r="E75" s="9"/>
      <c r="F75" s="9"/>
      <c r="G75" s="9">
        <f>E75</f>
        <v>0</v>
      </c>
      <c r="H75" s="11"/>
      <c r="I75" s="10"/>
      <c r="J75" s="10"/>
      <c r="K75" s="10"/>
      <c r="L75" s="10"/>
      <c r="M75" s="10"/>
      <c r="N75" s="10"/>
      <c r="O75" s="10"/>
      <c r="P75" s="10"/>
      <c r="Q75" s="14"/>
    </row>
    <row r="76" spans="4:23">
      <c r="E76" s="12"/>
      <c r="F76" s="10"/>
      <c r="G76" s="10"/>
      <c r="H76" s="13"/>
      <c r="I76" s="10"/>
      <c r="J76" s="10"/>
      <c r="K76" s="10"/>
      <c r="L76" s="10"/>
      <c r="M76" s="10"/>
      <c r="N76" s="10"/>
      <c r="O76" s="10"/>
      <c r="P76" s="10"/>
      <c r="Q76" s="14"/>
    </row>
    <row r="77" spans="4:23" ht="13" thickBot="1">
      <c r="E77" s="10"/>
      <c r="F77" s="10"/>
      <c r="G77" s="10"/>
      <c r="H77" s="14" t="s">
        <v>20</v>
      </c>
      <c r="I77" s="9" t="str">
        <f>IF(OR(H75="",H79=""),"",+IF(H75&gt;H79,E75,G79))</f>
        <v/>
      </c>
      <c r="J77" s="11"/>
      <c r="K77" s="10"/>
      <c r="L77" s="10"/>
      <c r="M77" s="10"/>
      <c r="N77" s="10"/>
      <c r="O77" s="10"/>
      <c r="P77" s="10"/>
      <c r="Q77" s="14"/>
    </row>
    <row r="78" spans="4:23" ht="13" thickBot="1">
      <c r="D78">
        <v>35</v>
      </c>
      <c r="E78" s="10"/>
      <c r="F78" s="11"/>
      <c r="G78" s="10"/>
      <c r="H78" s="14"/>
      <c r="I78" s="10"/>
      <c r="J78" s="13"/>
      <c r="K78" s="10"/>
      <c r="L78" s="10"/>
      <c r="M78" s="10"/>
      <c r="N78" s="10"/>
      <c r="O78" s="10"/>
      <c r="P78" s="10"/>
      <c r="Q78" s="14"/>
    </row>
    <row r="79" spans="4:23" ht="13" thickBot="1">
      <c r="E79" s="12"/>
      <c r="F79" s="13" t="s">
        <v>2</v>
      </c>
      <c r="G79" s="9" t="str">
        <f>IF(OR(F78="",F80=""),"",+IF(F78&gt;F80,E78,E80))</f>
        <v/>
      </c>
      <c r="H79" s="16"/>
      <c r="I79" s="10"/>
      <c r="J79" s="14"/>
      <c r="K79" s="10"/>
      <c r="L79" s="10"/>
      <c r="M79" s="10"/>
      <c r="N79" s="10"/>
      <c r="O79" s="10"/>
      <c r="P79" s="10"/>
      <c r="Q79" s="14"/>
    </row>
    <row r="80" spans="4:23" ht="13" thickBot="1">
      <c r="D80">
        <v>36</v>
      </c>
      <c r="E80" s="10"/>
      <c r="F80" s="16"/>
      <c r="G80" s="10"/>
      <c r="H80" s="10"/>
      <c r="I80" s="10"/>
      <c r="J80" s="14" t="s">
        <v>44</v>
      </c>
      <c r="K80" s="9" t="str">
        <f>IF(OR(J77="",J83=""),"",+IF(J77&gt;J83,I77,I83))</f>
        <v/>
      </c>
      <c r="L80" s="17"/>
      <c r="M80" s="10"/>
      <c r="N80" s="10"/>
      <c r="O80" s="10"/>
      <c r="P80" s="10"/>
      <c r="Q80" s="14"/>
    </row>
    <row r="81" spans="4:17">
      <c r="E81" s="12"/>
      <c r="F81" s="10"/>
      <c r="G81" s="10"/>
      <c r="H81" s="10"/>
      <c r="I81" s="10"/>
      <c r="J81" s="14"/>
      <c r="K81" s="10"/>
      <c r="L81" s="10"/>
      <c r="M81" s="19"/>
      <c r="N81" s="10"/>
      <c r="O81" s="10"/>
      <c r="P81" s="10"/>
      <c r="Q81" s="14"/>
    </row>
    <row r="82" spans="4:17" ht="13" thickBot="1">
      <c r="D82">
        <v>37</v>
      </c>
      <c r="E82" s="9"/>
      <c r="F82" s="9"/>
      <c r="G82" s="9">
        <f>E82</f>
        <v>0</v>
      </c>
      <c r="H82" s="11"/>
      <c r="I82" s="10"/>
      <c r="J82" s="14"/>
      <c r="K82" s="10"/>
      <c r="L82" s="10"/>
      <c r="M82" s="19"/>
      <c r="N82" s="10"/>
      <c r="O82" s="10"/>
      <c r="P82" s="10"/>
      <c r="Q82" s="14"/>
    </row>
    <row r="83" spans="4:17" ht="13" thickBot="1">
      <c r="E83" s="10"/>
      <c r="F83" s="10"/>
      <c r="G83" s="10"/>
      <c r="H83" s="13" t="s">
        <v>21</v>
      </c>
      <c r="I83" s="9" t="str">
        <f>IF(OR(H82="",H84=""),"",+IF(H82&gt;H84,E82,E84))</f>
        <v/>
      </c>
      <c r="J83" s="16"/>
      <c r="K83" s="10"/>
      <c r="L83" s="10"/>
      <c r="M83" s="19"/>
      <c r="N83" s="10"/>
      <c r="O83" s="10"/>
      <c r="P83" s="10"/>
      <c r="Q83" s="14"/>
    </row>
    <row r="84" spans="4:17" ht="13" thickBot="1">
      <c r="D84">
        <v>38</v>
      </c>
      <c r="E84" s="9"/>
      <c r="F84" s="9"/>
      <c r="G84" s="9">
        <f>E84</f>
        <v>0</v>
      </c>
      <c r="H84" s="16"/>
      <c r="I84" s="10"/>
      <c r="J84" s="10"/>
      <c r="K84" s="10"/>
      <c r="L84" s="10"/>
      <c r="M84" s="19"/>
      <c r="N84" s="10"/>
      <c r="O84" s="10"/>
      <c r="P84" s="10"/>
      <c r="Q84" s="14"/>
    </row>
    <row r="85" spans="4:17" ht="13" thickBot="1">
      <c r="E85" s="10"/>
      <c r="F85" s="10"/>
      <c r="G85" s="10"/>
      <c r="H85" s="10"/>
      <c r="I85" s="10"/>
      <c r="J85" s="10"/>
      <c r="K85" s="10"/>
      <c r="L85" s="14" t="s">
        <v>56</v>
      </c>
      <c r="M85" s="9" t="str">
        <f>IF(OR(L80="",L89=""),"",+IF(L80&gt;L89,K80,K89))</f>
        <v/>
      </c>
      <c r="N85" s="17"/>
      <c r="O85" s="10"/>
      <c r="P85" s="10"/>
      <c r="Q85" s="14"/>
    </row>
    <row r="86" spans="4:17" ht="13" thickBot="1">
      <c r="D86">
        <v>39</v>
      </c>
      <c r="E86" s="9"/>
      <c r="F86" s="9"/>
      <c r="G86" s="9">
        <f>E86</f>
        <v>0</v>
      </c>
      <c r="H86" s="11"/>
      <c r="I86" s="10"/>
      <c r="J86" s="10"/>
      <c r="K86" s="10"/>
      <c r="L86" s="10"/>
      <c r="M86" s="19"/>
      <c r="N86" s="13"/>
      <c r="O86" s="10"/>
      <c r="P86" s="10"/>
      <c r="Q86" s="14"/>
    </row>
    <row r="87" spans="4:17" ht="13" thickBot="1">
      <c r="E87" s="10"/>
      <c r="F87" s="10"/>
      <c r="G87" s="12"/>
      <c r="H87" s="13" t="s">
        <v>22</v>
      </c>
      <c r="I87" s="9" t="str">
        <f>IF(OR(H86="",H88=""),"",+IF(H86&gt;H88,E86,E88))</f>
        <v/>
      </c>
      <c r="J87" s="17"/>
      <c r="K87" s="10"/>
      <c r="L87" s="10"/>
      <c r="M87" s="19"/>
      <c r="N87" s="14"/>
      <c r="O87" s="10"/>
      <c r="P87" s="10"/>
      <c r="Q87" s="14"/>
    </row>
    <row r="88" spans="4:17" ht="13" thickBot="1">
      <c r="D88">
        <v>40</v>
      </c>
      <c r="E88" s="9"/>
      <c r="F88" s="9"/>
      <c r="G88" s="9">
        <f>E88</f>
        <v>0</v>
      </c>
      <c r="H88" s="16"/>
      <c r="I88" s="10"/>
      <c r="J88" s="14"/>
      <c r="K88" s="10"/>
      <c r="L88" s="10"/>
      <c r="M88" s="19"/>
      <c r="N88" s="14"/>
      <c r="O88" s="10"/>
      <c r="P88" s="10"/>
      <c r="Q88" s="14"/>
    </row>
    <row r="89" spans="4:17" ht="13" thickBot="1">
      <c r="E89" s="10"/>
      <c r="F89" s="10"/>
      <c r="G89" s="12"/>
      <c r="H89" s="10"/>
      <c r="I89" s="10"/>
      <c r="J89" s="14" t="s">
        <v>45</v>
      </c>
      <c r="K89" s="9" t="str">
        <f>IF(OR(J87="",J91=""),"",+IF(J87&gt;J91,I87,I91))</f>
        <v/>
      </c>
      <c r="L89" s="16"/>
      <c r="M89" s="19"/>
      <c r="N89" s="14"/>
      <c r="O89" s="10"/>
      <c r="P89" s="10"/>
      <c r="Q89" s="14"/>
    </row>
    <row r="90" spans="4:17" ht="13" thickBot="1">
      <c r="D90">
        <v>41</v>
      </c>
      <c r="E90" s="9"/>
      <c r="F90" s="9"/>
      <c r="G90" s="9">
        <f>E90</f>
        <v>0</v>
      </c>
      <c r="H90" s="11"/>
      <c r="I90" s="10"/>
      <c r="J90" s="14"/>
      <c r="K90" s="10"/>
      <c r="L90" s="10"/>
      <c r="M90" s="10"/>
      <c r="N90" s="14"/>
      <c r="O90" s="10"/>
      <c r="P90" s="10"/>
      <c r="Q90" s="14"/>
    </row>
    <row r="91" spans="4:17" ht="13" thickBot="1">
      <c r="E91" s="10"/>
      <c r="F91" s="10"/>
      <c r="G91" s="12"/>
      <c r="H91" s="13" t="s">
        <v>23</v>
      </c>
      <c r="I91" s="9" t="str">
        <f>IF(OR(H90="",H92=""),"",+IF(H90&gt;H92,E90,E92))</f>
        <v/>
      </c>
      <c r="J91" s="16"/>
      <c r="K91" s="10"/>
      <c r="L91" s="10"/>
      <c r="M91" s="10"/>
      <c r="N91" s="14"/>
      <c r="O91" s="10"/>
      <c r="P91" s="10"/>
      <c r="Q91" s="14"/>
    </row>
    <row r="92" spans="4:17" ht="13" thickBot="1">
      <c r="D92">
        <v>42</v>
      </c>
      <c r="E92" s="9"/>
      <c r="F92" s="9"/>
      <c r="G92" s="9">
        <f>E92</f>
        <v>0</v>
      </c>
      <c r="H92" s="16"/>
      <c r="I92" s="10"/>
      <c r="J92" s="10"/>
      <c r="K92" s="10"/>
      <c r="L92" s="10"/>
      <c r="M92" s="10"/>
      <c r="N92" s="14"/>
      <c r="O92" s="10"/>
      <c r="P92" s="10"/>
      <c r="Q92" s="14"/>
    </row>
    <row r="93" spans="4:17" ht="13" thickBot="1">
      <c r="E93" s="10"/>
      <c r="F93" s="10"/>
      <c r="G93" s="10"/>
      <c r="H93" s="10"/>
      <c r="I93" s="10"/>
      <c r="J93" s="10"/>
      <c r="K93" s="10"/>
      <c r="L93" s="10"/>
      <c r="M93" s="10"/>
      <c r="N93" s="14" t="s">
        <v>62</v>
      </c>
      <c r="O93" s="9" t="str">
        <f>IF(OR(N85="",N101=""),"",+IF(N85&gt;N101,M85,M101))</f>
        <v/>
      </c>
      <c r="P93" s="17"/>
      <c r="Q93" s="14"/>
    </row>
    <row r="94" spans="4:17" ht="13" thickBot="1">
      <c r="D94">
        <v>43</v>
      </c>
      <c r="E94" s="9"/>
      <c r="F94" s="9"/>
      <c r="G94" s="9">
        <f>E94</f>
        <v>0</v>
      </c>
      <c r="H94" s="11"/>
      <c r="I94" s="10"/>
      <c r="J94" s="10"/>
      <c r="K94" s="10"/>
      <c r="L94" s="10"/>
      <c r="M94" s="10"/>
      <c r="N94" s="14"/>
      <c r="O94" s="10"/>
      <c r="P94" s="14"/>
      <c r="Q94" s="14"/>
    </row>
    <row r="95" spans="4:17" ht="13" thickBot="1">
      <c r="E95" s="10"/>
      <c r="F95" s="10"/>
      <c r="G95" s="10"/>
      <c r="H95" s="13" t="s">
        <v>24</v>
      </c>
      <c r="I95" s="9" t="str">
        <f>IF(OR(H94="",H96=""),"",+IF(H94&gt;H96,E94,E96))</f>
        <v/>
      </c>
      <c r="J95" s="17"/>
      <c r="K95" s="10"/>
      <c r="L95" s="10"/>
      <c r="M95" s="10"/>
      <c r="N95" s="14"/>
      <c r="O95" s="10"/>
      <c r="P95" s="14"/>
      <c r="Q95" s="14"/>
    </row>
    <row r="96" spans="4:17" ht="13" thickBot="1">
      <c r="D96">
        <v>44</v>
      </c>
      <c r="E96" s="9"/>
      <c r="F96" s="9"/>
      <c r="G96" s="9">
        <f>E96</f>
        <v>0</v>
      </c>
      <c r="H96" s="16"/>
      <c r="I96" s="10"/>
      <c r="J96" s="14"/>
      <c r="K96" s="10"/>
      <c r="L96" s="10"/>
      <c r="M96" s="10"/>
      <c r="N96" s="14"/>
      <c r="O96" s="10"/>
      <c r="P96" s="14"/>
      <c r="Q96" s="14"/>
    </row>
    <row r="97" spans="4:17" ht="13" thickBot="1">
      <c r="E97" s="10"/>
      <c r="F97" s="10"/>
      <c r="G97" s="10"/>
      <c r="H97" s="10"/>
      <c r="I97" s="10"/>
      <c r="J97" s="14" t="s">
        <v>46</v>
      </c>
      <c r="K97" s="9" t="str">
        <f>IF(OR(J95="",J99=""),"",+IF(J95&gt;J99,I95,I99))</f>
        <v/>
      </c>
      <c r="L97" s="17"/>
      <c r="M97" s="10"/>
      <c r="N97" s="14"/>
      <c r="O97" s="10"/>
      <c r="P97" s="14"/>
      <c r="Q97" s="14"/>
    </row>
    <row r="98" spans="4:17" ht="13" thickBot="1">
      <c r="D98">
        <v>45</v>
      </c>
      <c r="E98" s="9"/>
      <c r="F98" s="9"/>
      <c r="G98" s="9">
        <f>E98</f>
        <v>0</v>
      </c>
      <c r="H98" s="11"/>
      <c r="I98" s="10"/>
      <c r="J98" s="14"/>
      <c r="K98" s="10"/>
      <c r="L98" s="13"/>
      <c r="M98" s="10"/>
      <c r="N98" s="14"/>
      <c r="O98" s="10"/>
      <c r="P98" s="14"/>
      <c r="Q98" s="14"/>
    </row>
    <row r="99" spans="4:17" ht="13" thickBot="1">
      <c r="E99" s="10"/>
      <c r="F99" s="10"/>
      <c r="G99" s="10"/>
      <c r="H99" s="13" t="s">
        <v>25</v>
      </c>
      <c r="I99" s="9" t="str">
        <f>IF(OR(H98="",H100=""),"",+IF(H98&gt;H100,E98,E100))</f>
        <v/>
      </c>
      <c r="J99" s="16"/>
      <c r="K99" s="10"/>
      <c r="L99" s="14"/>
      <c r="M99" s="10"/>
      <c r="N99" s="14"/>
      <c r="O99" s="10"/>
      <c r="P99" s="14"/>
      <c r="Q99" s="14"/>
    </row>
    <row r="100" spans="4:17" ht="13" thickBot="1">
      <c r="D100">
        <v>46</v>
      </c>
      <c r="E100" s="9"/>
      <c r="F100" s="9"/>
      <c r="G100" s="9">
        <f>E100</f>
        <v>0</v>
      </c>
      <c r="H100" s="16"/>
      <c r="I100" s="10"/>
      <c r="J100" s="10"/>
      <c r="K100" s="10"/>
      <c r="L100" s="14"/>
      <c r="M100" s="10"/>
      <c r="N100" s="14"/>
      <c r="O100" s="10"/>
      <c r="P100" s="14"/>
      <c r="Q100" s="14"/>
    </row>
    <row r="101" spans="4:17" ht="13" thickBot="1">
      <c r="E101" s="10"/>
      <c r="F101" s="10"/>
      <c r="G101" s="10"/>
      <c r="H101" s="10"/>
      <c r="I101" s="10"/>
      <c r="J101" s="10"/>
      <c r="K101" s="10"/>
      <c r="L101" s="14" t="s">
        <v>57</v>
      </c>
      <c r="M101" s="9" t="str">
        <f>IF(OR(L97="",L105=""),"",+IF(L97&gt;L105,K97,K105))</f>
        <v/>
      </c>
      <c r="N101" s="16"/>
      <c r="O101" s="10"/>
      <c r="P101" s="14"/>
      <c r="Q101" s="14"/>
    </row>
    <row r="102" spans="4:17" ht="13" thickBot="1">
      <c r="D102">
        <v>47</v>
      </c>
      <c r="E102" s="9"/>
      <c r="F102" s="9"/>
      <c r="G102" s="9">
        <f>E102</f>
        <v>0</v>
      </c>
      <c r="H102" s="11"/>
      <c r="I102" s="10"/>
      <c r="J102" s="10"/>
      <c r="K102" s="10"/>
      <c r="L102" s="14"/>
      <c r="M102" s="10"/>
      <c r="N102" s="10"/>
      <c r="O102" s="10"/>
      <c r="P102" s="14"/>
      <c r="Q102" s="14"/>
    </row>
    <row r="103" spans="4:17" ht="13" thickBot="1">
      <c r="E103" s="10"/>
      <c r="F103" s="10"/>
      <c r="G103" s="10"/>
      <c r="H103" s="13" t="s">
        <v>26</v>
      </c>
      <c r="I103" s="9" t="str">
        <f>IF(OR(H102="",H104=""),"",+IF(H102&gt;H104,E102,E104))</f>
        <v/>
      </c>
      <c r="J103" s="17"/>
      <c r="K103" s="10"/>
      <c r="L103" s="14"/>
      <c r="M103" s="10"/>
      <c r="N103" s="10"/>
      <c r="O103" s="10"/>
      <c r="P103" s="14"/>
      <c r="Q103" s="14"/>
    </row>
    <row r="104" spans="4:17" ht="13" thickBot="1">
      <c r="D104">
        <v>48</v>
      </c>
      <c r="E104" s="9"/>
      <c r="F104" s="9"/>
      <c r="G104" s="9">
        <f>E104</f>
        <v>0</v>
      </c>
      <c r="H104" s="16"/>
      <c r="I104" s="10"/>
      <c r="J104" s="14"/>
      <c r="K104" s="10"/>
      <c r="L104" s="14"/>
      <c r="M104" s="10"/>
      <c r="N104" s="10"/>
      <c r="O104" s="10"/>
      <c r="P104" s="14"/>
      <c r="Q104" s="14"/>
    </row>
    <row r="105" spans="4:17" ht="13" thickBot="1">
      <c r="E105" s="10"/>
      <c r="F105" s="10"/>
      <c r="G105" s="10"/>
      <c r="H105" s="10"/>
      <c r="I105" s="10"/>
      <c r="J105" s="14" t="s">
        <v>47</v>
      </c>
      <c r="K105" s="9" t="str">
        <f>IF(OR(J103="",J107=""),"",+IF(J103&gt;J107,I103,I107))</f>
        <v/>
      </c>
      <c r="L105" s="16"/>
      <c r="M105" s="10"/>
      <c r="N105" s="10"/>
      <c r="O105" s="10"/>
      <c r="P105" s="14"/>
      <c r="Q105" s="14"/>
    </row>
    <row r="106" spans="4:17" ht="13" thickBot="1">
      <c r="D106">
        <v>49</v>
      </c>
      <c r="E106" s="9"/>
      <c r="F106" s="9"/>
      <c r="G106" s="9">
        <f>E106</f>
        <v>0</v>
      </c>
      <c r="H106" s="11"/>
      <c r="I106" s="10"/>
      <c r="J106" s="14"/>
      <c r="K106" s="10"/>
      <c r="L106" s="10"/>
      <c r="M106" s="10"/>
      <c r="N106" s="10"/>
      <c r="O106" s="10"/>
      <c r="P106" s="14"/>
      <c r="Q106" s="14"/>
    </row>
    <row r="107" spans="4:17" ht="13" thickBot="1">
      <c r="E107" s="10"/>
      <c r="F107" s="10"/>
      <c r="G107" s="10"/>
      <c r="H107" s="13" t="s">
        <v>27</v>
      </c>
      <c r="I107" s="9" t="str">
        <f>IF(OR(H106="",H108=""),"",+IF(H106&gt;H108,E106,E108))</f>
        <v/>
      </c>
      <c r="J107" s="16"/>
      <c r="K107" s="10"/>
      <c r="L107" s="10"/>
      <c r="M107" s="10"/>
      <c r="N107" s="10"/>
      <c r="O107" s="10"/>
      <c r="P107" s="14"/>
      <c r="Q107" s="14"/>
    </row>
    <row r="108" spans="4:17" ht="13" thickBot="1">
      <c r="D108">
        <v>50</v>
      </c>
      <c r="E108" s="9"/>
      <c r="F108" s="9"/>
      <c r="G108" s="9">
        <f>E108</f>
        <v>0</v>
      </c>
      <c r="H108" s="16"/>
      <c r="I108" s="10"/>
      <c r="J108" s="10"/>
      <c r="K108" s="10"/>
      <c r="L108" s="10"/>
      <c r="M108" s="10"/>
      <c r="N108" s="10"/>
      <c r="O108" s="10"/>
      <c r="P108" s="14"/>
      <c r="Q108" s="14"/>
    </row>
    <row r="109" spans="4:17" ht="13" thickBot="1"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4" t="s">
        <v>65</v>
      </c>
      <c r="Q109" s="67" t="str">
        <f>IF(OR(P93="",P128=""),"",+IF(P93&gt;P128,O93,O128))</f>
        <v/>
      </c>
    </row>
    <row r="110" spans="4:17" ht="13" thickBot="1">
      <c r="D110">
        <v>51</v>
      </c>
      <c r="E110" s="9"/>
      <c r="F110" s="9"/>
      <c r="G110" s="9">
        <f>E110</f>
        <v>0</v>
      </c>
      <c r="H110" s="11"/>
      <c r="I110" s="10"/>
      <c r="J110" s="10"/>
      <c r="K110" s="10"/>
      <c r="L110" s="10"/>
      <c r="M110" s="10"/>
      <c r="N110" s="10"/>
      <c r="O110" s="10"/>
      <c r="P110" s="14"/>
      <c r="Q110" s="10"/>
    </row>
    <row r="111" spans="4:17">
      <c r="E111" s="12"/>
      <c r="F111" s="10"/>
      <c r="G111" s="10"/>
      <c r="H111" s="13"/>
      <c r="I111" s="10"/>
      <c r="J111" s="10"/>
      <c r="K111" s="10"/>
      <c r="L111" s="10"/>
      <c r="M111" s="10"/>
      <c r="N111" s="10"/>
      <c r="O111" s="10"/>
      <c r="P111" s="14"/>
      <c r="Q111" s="10"/>
    </row>
    <row r="112" spans="4:17" ht="13" thickBot="1">
      <c r="E112" s="10"/>
      <c r="F112" s="10"/>
      <c r="G112" s="10"/>
      <c r="H112" s="14" t="s">
        <v>28</v>
      </c>
      <c r="I112" s="9" t="str">
        <f>IF(OR(H110="",H114=""),"",+IF(H110&gt;H114,E110,G114))</f>
        <v/>
      </c>
      <c r="J112" s="11"/>
      <c r="K112" s="10"/>
      <c r="L112" s="10"/>
      <c r="M112" s="10"/>
      <c r="N112" s="10"/>
      <c r="O112" s="10"/>
      <c r="P112" s="14"/>
      <c r="Q112" s="10"/>
    </row>
    <row r="113" spans="4:17" ht="13" thickBot="1">
      <c r="D113">
        <v>52</v>
      </c>
      <c r="E113" s="10"/>
      <c r="F113" s="11"/>
      <c r="G113" s="10"/>
      <c r="H113" s="14"/>
      <c r="I113" s="10"/>
      <c r="J113" s="13"/>
      <c r="K113" s="10"/>
      <c r="L113" s="10"/>
      <c r="M113" s="10"/>
      <c r="N113" s="10"/>
      <c r="O113" s="10"/>
      <c r="P113" s="14"/>
      <c r="Q113" s="10"/>
    </row>
    <row r="114" spans="4:17" ht="13" thickBot="1">
      <c r="E114" s="12"/>
      <c r="F114" s="13" t="s">
        <v>3</v>
      </c>
      <c r="G114" s="9" t="str">
        <f>IF(OR(F113="",F115=""),"",+IF(F113&gt;F115,E113,E115))</f>
        <v/>
      </c>
      <c r="H114" s="16"/>
      <c r="I114" s="10"/>
      <c r="J114" s="14"/>
      <c r="K114" s="10"/>
      <c r="L114" s="10"/>
      <c r="M114" s="10"/>
      <c r="N114" s="10"/>
      <c r="O114" s="10"/>
      <c r="P114" s="14"/>
      <c r="Q114" s="10"/>
    </row>
    <row r="115" spans="4:17" ht="13" thickBot="1">
      <c r="D115">
        <v>53</v>
      </c>
      <c r="E115" s="10"/>
      <c r="F115" s="16"/>
      <c r="G115" s="10"/>
      <c r="H115" s="10"/>
      <c r="I115" s="10"/>
      <c r="J115" s="14" t="s">
        <v>48</v>
      </c>
      <c r="K115" s="9" t="str">
        <f>IF(OR(J112="",J118=""),"",+IF(J112&gt;J118,I112,I118))</f>
        <v/>
      </c>
      <c r="L115" s="17"/>
      <c r="M115" s="10"/>
      <c r="N115" s="10"/>
      <c r="O115" s="10"/>
      <c r="P115" s="14"/>
      <c r="Q115" s="10"/>
    </row>
    <row r="116" spans="4:17">
      <c r="E116" s="12"/>
      <c r="F116" s="10"/>
      <c r="G116" s="10"/>
      <c r="H116" s="10"/>
      <c r="I116" s="10"/>
      <c r="J116" s="14"/>
      <c r="K116" s="10"/>
      <c r="L116" s="10"/>
      <c r="M116" s="19"/>
      <c r="N116" s="10"/>
      <c r="O116" s="10"/>
      <c r="P116" s="14"/>
      <c r="Q116" s="10"/>
    </row>
    <row r="117" spans="4:17" ht="13" thickBot="1">
      <c r="D117">
        <v>54</v>
      </c>
      <c r="E117" s="9"/>
      <c r="F117" s="9"/>
      <c r="G117" s="9">
        <f>E117</f>
        <v>0</v>
      </c>
      <c r="H117" s="11"/>
      <c r="I117" s="10"/>
      <c r="J117" s="14"/>
      <c r="K117" s="10"/>
      <c r="L117" s="10"/>
      <c r="M117" s="19"/>
      <c r="N117" s="10"/>
      <c r="O117" s="10"/>
      <c r="P117" s="14"/>
      <c r="Q117" s="10"/>
    </row>
    <row r="118" spans="4:17" ht="13" thickBot="1">
      <c r="E118" s="10"/>
      <c r="F118" s="10"/>
      <c r="G118" s="10"/>
      <c r="H118" s="13" t="s">
        <v>29</v>
      </c>
      <c r="I118" s="9" t="str">
        <f>IF(OR(H117="",H119=""),"",+IF(H117&gt;H119,E117,E119))</f>
        <v/>
      </c>
      <c r="J118" s="16"/>
      <c r="K118" s="10"/>
      <c r="L118" s="10"/>
      <c r="M118" s="19"/>
      <c r="N118" s="10"/>
      <c r="O118" s="10"/>
      <c r="P118" s="14"/>
      <c r="Q118" s="10"/>
    </row>
    <row r="119" spans="4:17" ht="13" thickBot="1">
      <c r="D119">
        <v>55</v>
      </c>
      <c r="E119" s="9"/>
      <c r="F119" s="9"/>
      <c r="G119" s="9">
        <f>E119</f>
        <v>0</v>
      </c>
      <c r="H119" s="16"/>
      <c r="I119" s="10"/>
      <c r="J119" s="10"/>
      <c r="K119" s="10"/>
      <c r="L119" s="10"/>
      <c r="M119" s="19"/>
      <c r="N119" s="10"/>
      <c r="O119" s="10"/>
      <c r="P119" s="14"/>
      <c r="Q119" s="10"/>
    </row>
    <row r="120" spans="4:17" ht="13" thickBot="1">
      <c r="E120" s="10"/>
      <c r="F120" s="10"/>
      <c r="G120" s="10"/>
      <c r="H120" s="10"/>
      <c r="I120" s="10"/>
      <c r="J120" s="10"/>
      <c r="K120" s="10"/>
      <c r="L120" s="14" t="s">
        <v>58</v>
      </c>
      <c r="M120" s="9" t="str">
        <f>IF(OR(L115="",L124=""),"",+IF(L115&gt;L124,K115,K124))</f>
        <v/>
      </c>
      <c r="N120" s="17"/>
      <c r="O120" s="10"/>
      <c r="P120" s="14"/>
      <c r="Q120" s="10"/>
    </row>
    <row r="121" spans="4:17" ht="13" thickBot="1">
      <c r="D121">
        <v>56</v>
      </c>
      <c r="E121" s="9"/>
      <c r="F121" s="9"/>
      <c r="G121" s="9">
        <f>E121</f>
        <v>0</v>
      </c>
      <c r="H121" s="11"/>
      <c r="I121" s="10"/>
      <c r="J121" s="10"/>
      <c r="K121" s="10"/>
      <c r="L121" s="10"/>
      <c r="M121" s="19"/>
      <c r="N121" s="13"/>
      <c r="O121" s="10"/>
      <c r="P121" s="14"/>
      <c r="Q121" s="10"/>
    </row>
    <row r="122" spans="4:17" ht="13" thickBot="1">
      <c r="E122" s="10"/>
      <c r="F122" s="10"/>
      <c r="G122" s="12"/>
      <c r="H122" s="13" t="s">
        <v>30</v>
      </c>
      <c r="I122" s="9" t="str">
        <f>IF(OR(H121="",H123=""),"",+IF(H121&gt;H123,E121,E123))</f>
        <v/>
      </c>
      <c r="J122" s="17"/>
      <c r="K122" s="10"/>
      <c r="L122" s="10"/>
      <c r="M122" s="19"/>
      <c r="N122" s="14"/>
      <c r="O122" s="10"/>
      <c r="P122" s="14"/>
      <c r="Q122" s="10"/>
    </row>
    <row r="123" spans="4:17" ht="13" thickBot="1">
      <c r="D123">
        <v>57</v>
      </c>
      <c r="E123" s="9"/>
      <c r="F123" s="9"/>
      <c r="G123" s="9">
        <f>E123</f>
        <v>0</v>
      </c>
      <c r="H123" s="16"/>
      <c r="I123" s="10"/>
      <c r="J123" s="14"/>
      <c r="K123" s="10"/>
      <c r="L123" s="10"/>
      <c r="M123" s="19"/>
      <c r="N123" s="14"/>
      <c r="O123" s="10"/>
      <c r="P123" s="14"/>
      <c r="Q123" s="10"/>
    </row>
    <row r="124" spans="4:17" ht="13" thickBot="1">
      <c r="E124" s="10"/>
      <c r="F124" s="10"/>
      <c r="G124" s="12"/>
      <c r="H124" s="10"/>
      <c r="I124" s="10"/>
      <c r="J124" s="14" t="s">
        <v>49</v>
      </c>
      <c r="K124" s="9" t="str">
        <f>IF(OR(J122="",J126=""),"",+IF(J122&gt;J126,I122,I126))</f>
        <v/>
      </c>
      <c r="L124" s="16"/>
      <c r="M124" s="19"/>
      <c r="N124" s="14"/>
      <c r="O124" s="10"/>
      <c r="P124" s="14"/>
      <c r="Q124" s="10"/>
    </row>
    <row r="125" spans="4:17" ht="13" thickBot="1">
      <c r="D125">
        <v>58</v>
      </c>
      <c r="E125" s="9"/>
      <c r="F125" s="9"/>
      <c r="G125" s="9">
        <f>E125</f>
        <v>0</v>
      </c>
      <c r="H125" s="11"/>
      <c r="I125" s="10"/>
      <c r="J125" s="14"/>
      <c r="K125" s="10"/>
      <c r="L125" s="10"/>
      <c r="M125" s="10"/>
      <c r="N125" s="14"/>
      <c r="O125" s="10"/>
      <c r="P125" s="14"/>
      <c r="Q125" s="10"/>
    </row>
    <row r="126" spans="4:17" ht="13" thickBot="1">
      <c r="E126" s="10"/>
      <c r="F126" s="10"/>
      <c r="G126" s="12"/>
      <c r="H126" s="13" t="s">
        <v>31</v>
      </c>
      <c r="I126" s="9" t="str">
        <f>IF(OR(H125="",H127=""),"",+IF(H125&gt;H127,E125,E127))</f>
        <v/>
      </c>
      <c r="J126" s="16"/>
      <c r="K126" s="10"/>
      <c r="L126" s="10"/>
      <c r="M126" s="10"/>
      <c r="N126" s="14"/>
      <c r="O126" s="10"/>
      <c r="P126" s="14"/>
      <c r="Q126" s="10"/>
    </row>
    <row r="127" spans="4:17" ht="13" thickBot="1">
      <c r="D127">
        <v>59</v>
      </c>
      <c r="E127" s="9"/>
      <c r="F127" s="9"/>
      <c r="G127" s="9">
        <f>E127</f>
        <v>0</v>
      </c>
      <c r="H127" s="16"/>
      <c r="I127" s="10"/>
      <c r="J127" s="10"/>
      <c r="K127" s="10"/>
      <c r="L127" s="10"/>
      <c r="M127" s="10"/>
      <c r="N127" s="14"/>
      <c r="O127" s="10"/>
      <c r="P127" s="14"/>
      <c r="Q127" s="10"/>
    </row>
    <row r="128" spans="4:17" ht="13" thickBot="1">
      <c r="E128" s="10"/>
      <c r="F128" s="10"/>
      <c r="G128" s="10"/>
      <c r="H128" s="10"/>
      <c r="I128" s="10"/>
      <c r="J128" s="10"/>
      <c r="K128" s="10"/>
      <c r="L128" s="10"/>
      <c r="M128" s="10"/>
      <c r="N128" s="14" t="s">
        <v>63</v>
      </c>
      <c r="O128" s="9" t="str">
        <f>IF(OR(N120="",N136=""),"",+IF(N120&gt;N136,M120,M136))</f>
        <v/>
      </c>
      <c r="P128" s="16"/>
      <c r="Q128" s="10"/>
    </row>
    <row r="129" spans="4:17" ht="13" thickBot="1">
      <c r="D129">
        <v>60</v>
      </c>
      <c r="E129" s="9"/>
      <c r="F129" s="9"/>
      <c r="G129" s="9">
        <f>E129</f>
        <v>0</v>
      </c>
      <c r="H129" s="11"/>
      <c r="I129" s="10"/>
      <c r="J129" s="10"/>
      <c r="K129" s="10"/>
      <c r="L129" s="10"/>
      <c r="M129" s="10"/>
      <c r="N129" s="14"/>
      <c r="O129" s="10"/>
      <c r="P129" s="10"/>
      <c r="Q129" s="10"/>
    </row>
    <row r="130" spans="4:17" ht="13" thickBot="1">
      <c r="E130" s="10"/>
      <c r="F130" s="10"/>
      <c r="G130" s="10"/>
      <c r="H130" s="13" t="s">
        <v>32</v>
      </c>
      <c r="I130" s="9" t="str">
        <f>IF(OR(H129="",H131=""),"",+IF(H129&gt;H131,E129,E131))</f>
        <v/>
      </c>
      <c r="J130" s="17"/>
      <c r="K130" s="10"/>
      <c r="L130" s="10"/>
      <c r="M130" s="10"/>
      <c r="N130" s="14"/>
      <c r="O130" s="10"/>
      <c r="P130" s="10"/>
      <c r="Q130" s="10"/>
    </row>
    <row r="131" spans="4:17" ht="13" thickBot="1">
      <c r="D131">
        <v>61</v>
      </c>
      <c r="E131" s="9"/>
      <c r="F131" s="9"/>
      <c r="G131" s="9">
        <f>E131</f>
        <v>0</v>
      </c>
      <c r="H131" s="16"/>
      <c r="I131" s="10"/>
      <c r="J131" s="14"/>
      <c r="K131" s="10"/>
      <c r="L131" s="10"/>
      <c r="M131" s="10"/>
      <c r="N131" s="14"/>
      <c r="O131" s="10"/>
      <c r="P131" s="10"/>
      <c r="Q131" s="10"/>
    </row>
    <row r="132" spans="4:17" ht="13" thickBot="1">
      <c r="E132" s="10"/>
      <c r="F132" s="10"/>
      <c r="G132" s="10"/>
      <c r="H132" s="10"/>
      <c r="I132" s="10"/>
      <c r="J132" s="14" t="s">
        <v>50</v>
      </c>
      <c r="K132" s="9" t="str">
        <f>IF(OR(J130="",J134=""),"",+IF(J130&gt;J134,I130,I134))</f>
        <v/>
      </c>
      <c r="L132" s="17"/>
      <c r="M132" s="10"/>
      <c r="N132" s="14"/>
      <c r="O132" s="10"/>
      <c r="P132" s="10"/>
      <c r="Q132" s="10"/>
    </row>
    <row r="133" spans="4:17" ht="13" thickBot="1">
      <c r="D133">
        <v>62</v>
      </c>
      <c r="E133" s="9"/>
      <c r="F133" s="9"/>
      <c r="G133" s="9">
        <f>E133</f>
        <v>0</v>
      </c>
      <c r="H133" s="11"/>
      <c r="I133" s="10"/>
      <c r="J133" s="14"/>
      <c r="K133" s="10"/>
      <c r="L133" s="13"/>
      <c r="M133" s="10"/>
      <c r="N133" s="14"/>
      <c r="O133" s="10"/>
      <c r="P133" s="10"/>
      <c r="Q133" s="10"/>
    </row>
    <row r="134" spans="4:17" ht="13" thickBot="1">
      <c r="E134" s="10"/>
      <c r="F134" s="10"/>
      <c r="G134" s="10"/>
      <c r="H134" s="13" t="s">
        <v>33</v>
      </c>
      <c r="I134" s="9" t="str">
        <f>IF(OR(H133="",H135=""),"",+IF(H133&gt;H135,E133,E135))</f>
        <v/>
      </c>
      <c r="J134" s="16"/>
      <c r="K134" s="10"/>
      <c r="L134" s="14"/>
      <c r="M134" s="10"/>
      <c r="N134" s="14"/>
      <c r="O134" s="10"/>
      <c r="P134" s="10"/>
      <c r="Q134" s="10"/>
    </row>
    <row r="135" spans="4:17" ht="13" thickBot="1">
      <c r="D135">
        <v>63</v>
      </c>
      <c r="E135" s="9"/>
      <c r="F135" s="9"/>
      <c r="G135" s="9">
        <f>E135</f>
        <v>0</v>
      </c>
      <c r="H135" s="16"/>
      <c r="I135" s="10"/>
      <c r="J135" s="10"/>
      <c r="K135" s="10"/>
      <c r="L135" s="14"/>
      <c r="M135" s="10"/>
      <c r="N135" s="14"/>
      <c r="O135" s="10"/>
      <c r="P135" s="10"/>
      <c r="Q135" s="10"/>
    </row>
    <row r="136" spans="4:17" ht="13" thickBot="1">
      <c r="E136" s="10"/>
      <c r="F136" s="10"/>
      <c r="G136" s="10"/>
      <c r="H136" s="10"/>
      <c r="I136" s="10"/>
      <c r="J136" s="10"/>
      <c r="K136" s="10"/>
      <c r="L136" s="14" t="s">
        <v>59</v>
      </c>
      <c r="M136" s="9" t="str">
        <f>IF(OR(L132="",L140=""),"",+IF(L132&gt;L140,K132,K140))</f>
        <v/>
      </c>
      <c r="N136" s="16"/>
      <c r="O136" s="10"/>
      <c r="P136" s="10"/>
      <c r="Q136" s="10"/>
    </row>
    <row r="137" spans="4:17" ht="13" thickBot="1">
      <c r="D137">
        <v>64</v>
      </c>
      <c r="E137" s="9"/>
      <c r="F137" s="9"/>
      <c r="G137" s="9">
        <f>E137</f>
        <v>0</v>
      </c>
      <c r="H137" s="11"/>
      <c r="I137" s="10"/>
      <c r="J137" s="10"/>
      <c r="K137" s="10"/>
      <c r="L137" s="14"/>
      <c r="M137" s="10"/>
      <c r="N137" s="10"/>
      <c r="O137" s="10"/>
      <c r="P137" s="10"/>
      <c r="Q137" s="10"/>
    </row>
    <row r="138" spans="4:17" ht="13" thickBot="1">
      <c r="E138" s="10"/>
      <c r="F138" s="10"/>
      <c r="G138" s="10"/>
      <c r="H138" s="13" t="s">
        <v>34</v>
      </c>
      <c r="I138" s="9" t="str">
        <f>IF(OR(H137="",H139=""),"",+IF(H137&gt;H139,E137,E139))</f>
        <v/>
      </c>
      <c r="J138" s="17"/>
      <c r="K138" s="10"/>
      <c r="L138" s="14"/>
      <c r="M138" s="10"/>
      <c r="N138" s="10"/>
      <c r="O138" s="10"/>
      <c r="P138" s="10"/>
      <c r="Q138" s="10"/>
    </row>
    <row r="139" spans="4:17" ht="13" thickBot="1">
      <c r="D139">
        <v>65</v>
      </c>
      <c r="E139" s="9"/>
      <c r="F139" s="9"/>
      <c r="G139" s="9">
        <f>E139</f>
        <v>0</v>
      </c>
      <c r="H139" s="16"/>
      <c r="I139" s="10"/>
      <c r="J139" s="14"/>
      <c r="K139" s="10"/>
      <c r="L139" s="14"/>
      <c r="M139" s="10"/>
      <c r="N139" s="10"/>
      <c r="O139" s="10"/>
      <c r="P139" s="10"/>
      <c r="Q139" s="10"/>
    </row>
    <row r="140" spans="4:17" ht="13" thickBot="1">
      <c r="E140" s="10"/>
      <c r="F140" s="10"/>
      <c r="G140" s="10"/>
      <c r="H140" s="10"/>
      <c r="I140" s="10"/>
      <c r="J140" s="14" t="s">
        <v>51</v>
      </c>
      <c r="K140" s="9" t="str">
        <f>IF(OR(J138="",J142=""),"",+IF(J138&gt;J142,I138,I142))</f>
        <v/>
      </c>
      <c r="L140" s="16"/>
      <c r="M140" s="10"/>
      <c r="N140" s="10"/>
      <c r="O140" s="10"/>
      <c r="P140" s="10"/>
      <c r="Q140" s="10"/>
    </row>
    <row r="141" spans="4:17" ht="13" thickBot="1">
      <c r="D141">
        <v>66</v>
      </c>
      <c r="E141" s="9"/>
      <c r="F141" s="9"/>
      <c r="G141" s="9">
        <f>E141</f>
        <v>0</v>
      </c>
      <c r="H141" s="11"/>
      <c r="I141" s="10"/>
      <c r="J141" s="14"/>
      <c r="K141" s="10"/>
      <c r="L141" s="10"/>
      <c r="M141" s="10"/>
      <c r="N141" s="10"/>
      <c r="O141" s="10"/>
      <c r="P141" s="10"/>
      <c r="Q141" s="10"/>
    </row>
    <row r="142" spans="4:17" ht="13" thickBot="1">
      <c r="E142" s="10"/>
      <c r="F142" s="10"/>
      <c r="G142" s="10"/>
      <c r="H142" s="13" t="s">
        <v>35</v>
      </c>
      <c r="I142" s="9" t="str">
        <f>IF(OR(H141="",H143=""),"",+IF(H141&gt;H143,E141,E143))</f>
        <v/>
      </c>
      <c r="J142" s="16"/>
      <c r="K142" s="10"/>
      <c r="L142" s="10"/>
      <c r="M142" s="10"/>
      <c r="N142" s="10"/>
      <c r="O142" s="10"/>
      <c r="P142" s="10"/>
      <c r="Q142" s="10"/>
    </row>
    <row r="143" spans="4:17" ht="13" thickBot="1">
      <c r="D143">
        <v>67</v>
      </c>
      <c r="E143" s="9"/>
      <c r="F143" s="9"/>
      <c r="G143" s="9">
        <f>E143</f>
        <v>0</v>
      </c>
      <c r="H143" s="16"/>
      <c r="I143" s="10"/>
      <c r="J143" s="10"/>
      <c r="K143" s="10"/>
      <c r="L143" s="10"/>
      <c r="M143" s="10"/>
      <c r="N143" s="10"/>
      <c r="O143" s="10"/>
      <c r="P143" s="10"/>
      <c r="Q143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58"/>
  <dimension ref="D4:AG140"/>
  <sheetViews>
    <sheetView showGridLines="0" zoomScale="50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3.52734375" customWidth="1"/>
    <col min="14" max="14" width="3.64453125" customWidth="1"/>
    <col min="16" max="16" width="3.64453125" customWidth="1"/>
    <col min="17" max="17" width="16.527343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E42</f>
        <v>0</v>
      </c>
      <c r="V5" t="s">
        <v>77</v>
      </c>
      <c r="W5" s="29">
        <f>E44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E110</f>
        <v>0</v>
      </c>
      <c r="V6" t="s">
        <v>77</v>
      </c>
      <c r="W6" s="29">
        <f>E112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E7</f>
        <v>0</v>
      </c>
      <c r="V7" t="s">
        <v>77</v>
      </c>
      <c r="W7" s="29">
        <f>E9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 ht="13" thickBot="1">
      <c r="E8" s="10"/>
      <c r="F8" s="10"/>
      <c r="G8" s="10"/>
      <c r="H8" s="13" t="s">
        <v>3</v>
      </c>
      <c r="I8" s="9" t="str">
        <f>IF(OR(H7="",H9=""),"",+IF(H7&gt;H9,E7,E9))</f>
        <v/>
      </c>
      <c r="J8" s="17"/>
      <c r="K8" s="10"/>
      <c r="L8" s="10"/>
      <c r="M8" s="10"/>
      <c r="N8" s="10"/>
      <c r="O8" s="10"/>
      <c r="P8" s="10"/>
      <c r="Q8" s="10"/>
      <c r="T8">
        <v>4</v>
      </c>
      <c r="U8" s="28">
        <f>E11</f>
        <v>0</v>
      </c>
      <c r="V8" t="s">
        <v>77</v>
      </c>
      <c r="W8" s="29">
        <f>E13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D9">
        <v>2</v>
      </c>
      <c r="E9" s="9"/>
      <c r="F9" s="9"/>
      <c r="G9" s="9">
        <f>E9</f>
        <v>0</v>
      </c>
      <c r="H9" s="16"/>
      <c r="I9" s="10"/>
      <c r="J9" s="14"/>
      <c r="K9" s="10"/>
      <c r="L9" s="10"/>
      <c r="M9" s="10"/>
      <c r="N9" s="10"/>
      <c r="O9" s="10"/>
      <c r="P9" s="10"/>
      <c r="Q9" s="10"/>
      <c r="T9">
        <v>5</v>
      </c>
      <c r="U9" s="28">
        <f>E15</f>
        <v>0</v>
      </c>
      <c r="V9" t="s">
        <v>77</v>
      </c>
      <c r="W9" s="29">
        <f>E17</f>
        <v>0</v>
      </c>
      <c r="Z9" s="34"/>
      <c r="AA9" s="40"/>
      <c r="AB9" s="40"/>
      <c r="AC9" s="38" t="s">
        <v>159</v>
      </c>
      <c r="AD9" s="48"/>
      <c r="AE9" s="53" t="e">
        <f>LOOKUP(AD9,T$5:T$78,U$5:U$73)</f>
        <v>#N/A</v>
      </c>
      <c r="AF9" s="37" t="s">
        <v>157</v>
      </c>
      <c r="AG9" s="65" t="e">
        <f>LOOKUP(AD9,T$5:T$78,W$5:W$73)</f>
        <v>#N/A</v>
      </c>
    </row>
    <row r="10" spans="4:33" ht="13" thickBot="1">
      <c r="E10" s="10"/>
      <c r="F10" s="10"/>
      <c r="G10" s="10"/>
      <c r="H10" s="10"/>
      <c r="I10" s="10"/>
      <c r="J10" s="14" t="s">
        <v>35</v>
      </c>
      <c r="K10" s="9" t="str">
        <f>IF(OR(J8="",J12=""),"",+IF(J8&gt;J12,I8,I12))</f>
        <v/>
      </c>
      <c r="L10" s="17"/>
      <c r="M10" s="10"/>
      <c r="N10" s="10"/>
      <c r="O10" s="10"/>
      <c r="P10" s="10"/>
      <c r="Q10" s="10"/>
      <c r="T10">
        <v>6</v>
      </c>
      <c r="U10" s="28">
        <f>E19</f>
        <v>0</v>
      </c>
      <c r="V10" t="s">
        <v>77</v>
      </c>
      <c r="W10" s="29">
        <f>E21</f>
        <v>0</v>
      </c>
      <c r="Z10" s="34"/>
      <c r="AA10" s="40"/>
      <c r="AB10" s="40"/>
      <c r="AC10" s="38" t="s">
        <v>159</v>
      </c>
      <c r="AD10" s="48"/>
      <c r="AE10" s="53" t="e">
        <f>LOOKUP(AD10,T$5:T$78,U$5:U$73)</f>
        <v>#N/A</v>
      </c>
      <c r="AF10" s="37" t="s">
        <v>157</v>
      </c>
      <c r="AG10" s="65" t="e">
        <f>LOOKUP(AD10,T$5:T$78,W$5:W$73)</f>
        <v>#N/A</v>
      </c>
    </row>
    <row r="11" spans="4:33" ht="13" thickBot="1">
      <c r="D11">
        <v>3</v>
      </c>
      <c r="E11" s="9"/>
      <c r="F11" s="9"/>
      <c r="G11" s="9">
        <f>E11</f>
        <v>0</v>
      </c>
      <c r="H11" s="11"/>
      <c r="I11" s="10"/>
      <c r="J11" s="14"/>
      <c r="K11" s="10"/>
      <c r="L11" s="13"/>
      <c r="M11" s="10"/>
      <c r="N11" s="10"/>
      <c r="O11" s="10"/>
      <c r="P11" s="10"/>
      <c r="Q11" s="10"/>
      <c r="T11">
        <v>7</v>
      </c>
      <c r="U11" s="28">
        <f>E23</f>
        <v>0</v>
      </c>
      <c r="V11" t="s">
        <v>77</v>
      </c>
      <c r="W11" s="29">
        <f>E25</f>
        <v>0</v>
      </c>
      <c r="Z11" s="34"/>
      <c r="AA11" s="40"/>
      <c r="AB11" s="40"/>
      <c r="AC11" s="38" t="s">
        <v>159</v>
      </c>
      <c r="AD11" s="48"/>
      <c r="AE11" s="53" t="e">
        <f>LOOKUP(AD11,T$5:T$78,U$5:U$73)</f>
        <v>#N/A</v>
      </c>
      <c r="AF11" s="37" t="s">
        <v>157</v>
      </c>
      <c r="AG11" s="65" t="e">
        <f>LOOKUP(AD11,T$5:T$78,W$5:W$73)</f>
        <v>#N/A</v>
      </c>
    </row>
    <row r="12" spans="4:33" ht="13" thickBot="1">
      <c r="E12" s="10"/>
      <c r="F12" s="10"/>
      <c r="G12" s="10"/>
      <c r="H12" s="13"/>
      <c r="I12" s="9" t="str">
        <f>IF(OR(H11="",H13=""),"",+IF(H11&gt;H13,E11,E13))</f>
        <v/>
      </c>
      <c r="J12" s="16"/>
      <c r="K12" s="10"/>
      <c r="L12" s="14"/>
      <c r="M12" s="10"/>
      <c r="N12" s="10"/>
      <c r="O12" s="10"/>
      <c r="P12" s="10"/>
      <c r="Q12" s="10"/>
      <c r="T12">
        <v>8</v>
      </c>
      <c r="U12" s="28">
        <f>E27</f>
        <v>0</v>
      </c>
      <c r="V12" t="s">
        <v>77</v>
      </c>
      <c r="W12" s="29">
        <f>E29</f>
        <v>0</v>
      </c>
      <c r="Z12" s="34"/>
      <c r="AA12" s="40"/>
      <c r="AB12" s="40"/>
      <c r="AC12" s="38" t="s">
        <v>159</v>
      </c>
      <c r="AD12" s="48"/>
      <c r="AE12" s="53" t="e">
        <f>LOOKUP(AD12,T$5:T$78,U$5:U$73)</f>
        <v>#N/A</v>
      </c>
      <c r="AF12" s="37" t="s">
        <v>157</v>
      </c>
      <c r="AG12" s="65" t="e">
        <f>LOOKUP(AD12,T$5:T$78,W$5:W$73)</f>
        <v>#N/A</v>
      </c>
    </row>
    <row r="13" spans="4:33" ht="13" thickBot="1">
      <c r="D13">
        <v>4</v>
      </c>
      <c r="E13" s="9"/>
      <c r="F13" s="9"/>
      <c r="G13" s="9">
        <f>E13</f>
        <v>0</v>
      </c>
      <c r="H13" s="16" t="s">
        <v>4</v>
      </c>
      <c r="I13" s="10"/>
      <c r="J13" s="10"/>
      <c r="K13" s="10"/>
      <c r="L13" s="14"/>
      <c r="M13" s="10"/>
      <c r="N13" s="10"/>
      <c r="O13" s="10"/>
      <c r="P13" s="10"/>
      <c r="Q13" s="10"/>
      <c r="T13">
        <v>9</v>
      </c>
      <c r="U13" s="28">
        <f>E31</f>
        <v>0</v>
      </c>
      <c r="V13" t="s">
        <v>77</v>
      </c>
      <c r="W13" s="29">
        <f>E33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E14" s="10"/>
      <c r="F14" s="10"/>
      <c r="G14" s="10"/>
      <c r="H14" s="10"/>
      <c r="I14" s="10"/>
      <c r="J14" s="10"/>
      <c r="K14" s="10"/>
      <c r="L14" s="14" t="s">
        <v>51</v>
      </c>
      <c r="M14" s="9" t="str">
        <f>IF(OR(L10="",L18=""),"",+IF(L10&gt;L18,K10,K18))</f>
        <v/>
      </c>
      <c r="N14" s="17"/>
      <c r="O14" s="10"/>
      <c r="P14" s="10"/>
      <c r="Q14" s="10"/>
      <c r="T14">
        <v>10</v>
      </c>
      <c r="U14" s="28">
        <f>E35</f>
        <v>0</v>
      </c>
      <c r="V14" t="s">
        <v>77</v>
      </c>
      <c r="W14" s="29">
        <f>E37</f>
        <v>0</v>
      </c>
      <c r="Z14" s="34"/>
      <c r="AA14" s="40"/>
      <c r="AB14" s="40"/>
      <c r="AC14" s="38" t="s">
        <v>159</v>
      </c>
      <c r="AD14" s="48"/>
      <c r="AE14" s="53" t="e">
        <f>LOOKUP(AD14,T$5:T$78,U$5:U$73)</f>
        <v>#N/A</v>
      </c>
      <c r="AF14" s="37" t="s">
        <v>157</v>
      </c>
      <c r="AG14" s="65" t="e">
        <f>LOOKUP(AD14,T$5:T$78,W$5:W$73)</f>
        <v>#N/A</v>
      </c>
    </row>
    <row r="15" spans="4:33" ht="13" thickBot="1">
      <c r="D15">
        <v>5</v>
      </c>
      <c r="E15" s="9"/>
      <c r="F15" s="9"/>
      <c r="G15" s="9">
        <f>E15</f>
        <v>0</v>
      </c>
      <c r="H15" s="11"/>
      <c r="I15" s="10"/>
      <c r="J15" s="10"/>
      <c r="K15" s="10"/>
      <c r="L15" s="14"/>
      <c r="M15" s="10"/>
      <c r="N15" s="13"/>
      <c r="O15" s="10"/>
      <c r="P15" s="10"/>
      <c r="Q15" s="10"/>
      <c r="T15">
        <v>11</v>
      </c>
      <c r="U15" s="28">
        <f>E39</f>
        <v>0</v>
      </c>
      <c r="V15" t="s">
        <v>77</v>
      </c>
      <c r="W15" s="29" t="s">
        <v>78</v>
      </c>
      <c r="Z15" s="34"/>
      <c r="AA15" s="40"/>
      <c r="AB15" s="40"/>
      <c r="AC15" s="38" t="s">
        <v>159</v>
      </c>
      <c r="AD15" s="48"/>
      <c r="AE15" s="53" t="e">
        <f>LOOKUP(AD15,T$5:T$78,U$5:U$73)</f>
        <v>#N/A</v>
      </c>
      <c r="AF15" s="37" t="s">
        <v>157</v>
      </c>
      <c r="AG15" s="65" t="e">
        <f>LOOKUP(AD15,T$5:T$78,W$5:W$73)</f>
        <v>#N/A</v>
      </c>
    </row>
    <row r="16" spans="4:33" ht="13" thickBot="1">
      <c r="E16" s="10"/>
      <c r="F16" s="10"/>
      <c r="G16" s="10"/>
      <c r="H16" s="13" t="s">
        <v>5</v>
      </c>
      <c r="I16" s="9" t="str">
        <f>IF(OR(H15="",H17=""),"",+IF(H15&gt;H17,E15,E17))</f>
        <v/>
      </c>
      <c r="J16" s="17"/>
      <c r="K16" s="10"/>
      <c r="L16" s="14"/>
      <c r="M16" s="10"/>
      <c r="N16" s="14"/>
      <c r="O16" s="10"/>
      <c r="P16" s="10"/>
      <c r="Q16" s="10"/>
      <c r="T16">
        <v>12</v>
      </c>
      <c r="U16" s="28">
        <f>E46</f>
        <v>0</v>
      </c>
      <c r="V16" t="s">
        <v>77</v>
      </c>
      <c r="W16" s="29">
        <f>E48</f>
        <v>0</v>
      </c>
      <c r="Z16" s="34"/>
      <c r="AA16" s="40"/>
      <c r="AB16" s="40"/>
      <c r="AC16" s="38" t="s">
        <v>159</v>
      </c>
      <c r="AD16" s="48"/>
      <c r="AE16" s="53" t="e">
        <f>LOOKUP(AD16,T$5:T$78,U$5:U$73)</f>
        <v>#N/A</v>
      </c>
      <c r="AF16" s="37" t="s">
        <v>157</v>
      </c>
      <c r="AG16" s="65" t="e">
        <f>LOOKUP(AD16,T$5:T$78,W$5:W$73)</f>
        <v>#N/A</v>
      </c>
    </row>
    <row r="17" spans="4:33" ht="13" thickBot="1">
      <c r="D17">
        <v>6</v>
      </c>
      <c r="E17" s="9"/>
      <c r="F17" s="9"/>
      <c r="G17" s="9">
        <f>E17</f>
        <v>0</v>
      </c>
      <c r="H17" s="16"/>
      <c r="I17" s="10"/>
      <c r="J17" s="14"/>
      <c r="K17" s="10"/>
      <c r="L17" s="14"/>
      <c r="M17" s="10"/>
      <c r="N17" s="14"/>
      <c r="O17" s="10"/>
      <c r="P17" s="10"/>
      <c r="Q17" s="10"/>
      <c r="T17">
        <v>13</v>
      </c>
      <c r="U17" s="28">
        <f>E50</f>
        <v>0</v>
      </c>
      <c r="V17" t="s">
        <v>77</v>
      </c>
      <c r="W17" s="29">
        <f>E52</f>
        <v>0</v>
      </c>
      <c r="Z17" s="34"/>
      <c r="AA17" s="40"/>
      <c r="AB17" s="40"/>
      <c r="AC17" s="38" t="s">
        <v>159</v>
      </c>
      <c r="AD17" s="48"/>
      <c r="AE17" s="53" t="e">
        <f>LOOKUP(AD17,T$5:T$78,U$5:U$73)</f>
        <v>#N/A</v>
      </c>
      <c r="AF17" s="37" t="s">
        <v>157</v>
      </c>
      <c r="AG17" s="65" t="e">
        <f>LOOKUP(AD17,T$5:T$78,W$5:W$73)</f>
        <v>#N/A</v>
      </c>
    </row>
    <row r="18" spans="4:33" ht="13" thickBot="1">
      <c r="E18" s="10"/>
      <c r="F18" s="10"/>
      <c r="G18" s="10"/>
      <c r="H18" s="10"/>
      <c r="I18" s="10"/>
      <c r="J18" s="14" t="s">
        <v>36</v>
      </c>
      <c r="K18" s="9" t="str">
        <f>IF(OR(J16="",J20=""),"",+IF(J16&gt;J20,I16,I20))</f>
        <v/>
      </c>
      <c r="L18" s="16"/>
      <c r="M18" s="10"/>
      <c r="N18" s="14"/>
      <c r="O18" s="10"/>
      <c r="P18" s="10"/>
      <c r="Q18" s="10"/>
      <c r="T18">
        <v>14</v>
      </c>
      <c r="U18" s="28">
        <f>E54</f>
        <v>0</v>
      </c>
      <c r="V18" t="s">
        <v>77</v>
      </c>
      <c r="W18" s="29">
        <f>E56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D19">
        <v>7</v>
      </c>
      <c r="E19" s="9"/>
      <c r="F19" s="9"/>
      <c r="G19" s="9">
        <f>E19</f>
        <v>0</v>
      </c>
      <c r="H19" s="11"/>
      <c r="I19" s="10"/>
      <c r="J19" s="14"/>
      <c r="K19" s="10"/>
      <c r="L19" s="10"/>
      <c r="M19" s="10"/>
      <c r="N19" s="14"/>
      <c r="O19" s="10"/>
      <c r="P19" s="10"/>
      <c r="Q19" s="10"/>
      <c r="T19">
        <v>15</v>
      </c>
      <c r="U19" s="28">
        <f>E58</f>
        <v>0</v>
      </c>
      <c r="V19" t="s">
        <v>77</v>
      </c>
      <c r="W19" s="29">
        <f>E60</f>
        <v>0</v>
      </c>
      <c r="Z19" s="34"/>
      <c r="AA19" s="40"/>
      <c r="AB19" s="40"/>
      <c r="AC19" s="38" t="s">
        <v>159</v>
      </c>
      <c r="AD19" s="48"/>
      <c r="AE19" s="53" t="e">
        <f>LOOKUP(AD19,T$5:T$78,U$5:U$73)</f>
        <v>#N/A</v>
      </c>
      <c r="AF19" s="37" t="s">
        <v>157</v>
      </c>
      <c r="AG19" s="65" t="e">
        <f>LOOKUP(AD19,T$5:T$78,W$5:W$73)</f>
        <v>#N/A</v>
      </c>
    </row>
    <row r="20" spans="4:33" ht="13" thickBot="1">
      <c r="E20" s="10"/>
      <c r="F20" s="10"/>
      <c r="G20" s="10"/>
      <c r="H20" s="13" t="s">
        <v>6</v>
      </c>
      <c r="I20" s="9" t="str">
        <f>IF(OR(H19="",H21=""),"",+IF(H19&gt;H21,E19,E21))</f>
        <v/>
      </c>
      <c r="J20" s="16"/>
      <c r="K20" s="10"/>
      <c r="L20" s="10"/>
      <c r="M20" s="10"/>
      <c r="N20" s="14"/>
      <c r="O20" s="10"/>
      <c r="P20" s="10"/>
      <c r="Q20" s="10"/>
      <c r="T20">
        <v>16</v>
      </c>
      <c r="U20" s="28">
        <f>E62</f>
        <v>0</v>
      </c>
      <c r="V20" t="s">
        <v>77</v>
      </c>
      <c r="W20" s="29">
        <f>E64</f>
        <v>0</v>
      </c>
      <c r="Z20" s="34"/>
      <c r="AA20" s="40"/>
      <c r="AB20" s="40"/>
      <c r="AC20" s="38" t="s">
        <v>159</v>
      </c>
      <c r="AD20" s="48"/>
      <c r="AE20" s="53" t="e">
        <f>LOOKUP(AD20,T$5:T$78,U$5:U$73)</f>
        <v>#N/A</v>
      </c>
      <c r="AF20" s="37" t="s">
        <v>157</v>
      </c>
      <c r="AG20" s="65" t="e">
        <f>LOOKUP(AD20,T$5:T$78,W$5:W$73)</f>
        <v>#N/A</v>
      </c>
    </row>
    <row r="21" spans="4:33" ht="13" thickBot="1">
      <c r="D21">
        <v>8</v>
      </c>
      <c r="E21" s="9"/>
      <c r="F21" s="9"/>
      <c r="G21" s="9">
        <f>E21</f>
        <v>0</v>
      </c>
      <c r="H21" s="16"/>
      <c r="I21" s="10"/>
      <c r="J21" s="10"/>
      <c r="K21" s="10"/>
      <c r="L21" s="10"/>
      <c r="M21" s="10"/>
      <c r="N21" s="14"/>
      <c r="O21" s="10"/>
      <c r="P21" s="10"/>
      <c r="Q21" s="10"/>
      <c r="T21">
        <v>17</v>
      </c>
      <c r="U21" s="28">
        <f>E66</f>
        <v>0</v>
      </c>
      <c r="V21" t="s">
        <v>77</v>
      </c>
      <c r="W21" s="29">
        <f>E68</f>
        <v>0</v>
      </c>
      <c r="Z21" s="34"/>
      <c r="AA21" s="40"/>
      <c r="AB21" s="40"/>
      <c r="AC21" s="38" t="s">
        <v>159</v>
      </c>
      <c r="AD21" s="48"/>
      <c r="AE21" s="53" t="e">
        <f>LOOKUP(AD21,T$5:T$78,U$5:U$73)</f>
        <v>#N/A</v>
      </c>
      <c r="AF21" s="37" t="s">
        <v>157</v>
      </c>
      <c r="AG21" s="65" t="e">
        <f>LOOKUP(AD21,T$5:T$78,W$5:W$73)</f>
        <v>#N/A</v>
      </c>
    </row>
    <row r="22" spans="4:33" ht="13" thickBot="1">
      <c r="E22" s="10"/>
      <c r="F22" s="10"/>
      <c r="G22" s="10"/>
      <c r="H22" s="10"/>
      <c r="I22" s="10"/>
      <c r="J22" s="10"/>
      <c r="K22" s="10"/>
      <c r="L22" s="10"/>
      <c r="M22" s="10"/>
      <c r="N22" s="14" t="s">
        <v>59</v>
      </c>
      <c r="O22" s="9" t="str">
        <f>IF(OR(N14="",N30=""),"",+IF(N14&gt;N30,M14,M30))</f>
        <v/>
      </c>
      <c r="P22" s="17"/>
      <c r="Q22" s="10"/>
      <c r="T22">
        <v>18</v>
      </c>
      <c r="U22" s="28">
        <f>E70</f>
        <v>0</v>
      </c>
      <c r="V22" t="s">
        <v>77</v>
      </c>
      <c r="W22" s="29">
        <f>E72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D23">
        <v>9</v>
      </c>
      <c r="E23" s="9"/>
      <c r="F23" s="9"/>
      <c r="G23" s="9">
        <f>E23</f>
        <v>0</v>
      </c>
      <c r="H23" s="11"/>
      <c r="I23" s="10"/>
      <c r="J23" s="10"/>
      <c r="K23" s="10"/>
      <c r="L23" s="10"/>
      <c r="M23" s="10"/>
      <c r="N23" s="14"/>
      <c r="O23" s="10"/>
      <c r="P23" s="14"/>
      <c r="Q23" s="10"/>
      <c r="T23">
        <v>19</v>
      </c>
      <c r="U23" s="28">
        <f>E75</f>
        <v>0</v>
      </c>
      <c r="V23" t="s">
        <v>77</v>
      </c>
      <c r="W23" s="29">
        <f>E77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E24" s="10"/>
      <c r="F24" s="10"/>
      <c r="G24" s="10"/>
      <c r="H24" s="13" t="s">
        <v>7</v>
      </c>
      <c r="I24" s="9" t="str">
        <f>IF(OR(H23="",H25=""),"",+IF(H23&gt;H25,E23,E25))</f>
        <v/>
      </c>
      <c r="J24" s="17"/>
      <c r="K24" s="10"/>
      <c r="L24" s="10"/>
      <c r="M24" s="10"/>
      <c r="N24" s="14"/>
      <c r="O24" s="10"/>
      <c r="P24" s="14"/>
      <c r="Q24" s="10"/>
      <c r="T24">
        <v>20</v>
      </c>
      <c r="U24" s="28">
        <f>E79</f>
        <v>0</v>
      </c>
      <c r="V24" t="s">
        <v>77</v>
      </c>
      <c r="W24" s="29">
        <f>E81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D25">
        <v>10</v>
      </c>
      <c r="E25" s="9"/>
      <c r="F25" s="9"/>
      <c r="G25" s="9">
        <f>E25</f>
        <v>0</v>
      </c>
      <c r="H25" s="16"/>
      <c r="I25" s="10"/>
      <c r="J25" s="14"/>
      <c r="K25" s="10"/>
      <c r="L25" s="10"/>
      <c r="M25" s="10"/>
      <c r="N25" s="14"/>
      <c r="O25" s="10"/>
      <c r="P25" s="14"/>
      <c r="Q25" s="10"/>
      <c r="T25">
        <v>21</v>
      </c>
      <c r="U25" s="28">
        <f>E83</f>
        <v>0</v>
      </c>
      <c r="V25" t="s">
        <v>77</v>
      </c>
      <c r="W25" s="29">
        <f>E85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E26" s="10"/>
      <c r="F26" s="10"/>
      <c r="G26" s="10"/>
      <c r="H26" s="10"/>
      <c r="I26" s="10"/>
      <c r="J26" s="14" t="s">
        <v>37</v>
      </c>
      <c r="K26" s="9" t="str">
        <f>IF(OR(J24="",J28=""),"",+IF(J24&gt;J28,I24,I28))</f>
        <v/>
      </c>
      <c r="L26" s="17"/>
      <c r="M26" s="10"/>
      <c r="N26" s="14"/>
      <c r="O26" s="10"/>
      <c r="P26" s="14"/>
      <c r="Q26" s="10"/>
      <c r="T26">
        <v>22</v>
      </c>
      <c r="U26" s="28">
        <f>E87</f>
        <v>0</v>
      </c>
      <c r="V26" t="s">
        <v>77</v>
      </c>
      <c r="W26" s="29">
        <f>E89</f>
        <v>0</v>
      </c>
      <c r="Z26" s="34"/>
      <c r="AA26" s="40"/>
      <c r="AB26" s="40"/>
      <c r="AC26" s="38" t="s">
        <v>159</v>
      </c>
      <c r="AD26" s="48"/>
      <c r="AE26" s="53" t="e">
        <f>LOOKUP(AD26,T$5:T$78,U$5:U$73)</f>
        <v>#N/A</v>
      </c>
      <c r="AF26" s="37" t="s">
        <v>157</v>
      </c>
      <c r="AG26" s="65" t="e">
        <f>LOOKUP(AD26,T$5:T$78,W$5:W$73)</f>
        <v>#N/A</v>
      </c>
    </row>
    <row r="27" spans="4:33" ht="13" thickBot="1">
      <c r="D27">
        <v>11</v>
      </c>
      <c r="E27" s="9"/>
      <c r="F27" s="9"/>
      <c r="G27" s="9">
        <f>E27</f>
        <v>0</v>
      </c>
      <c r="H27" s="11"/>
      <c r="I27" s="10"/>
      <c r="J27" s="14"/>
      <c r="K27" s="10"/>
      <c r="L27" s="13"/>
      <c r="M27" s="10"/>
      <c r="N27" s="14"/>
      <c r="O27" s="10"/>
      <c r="P27" s="14"/>
      <c r="Q27" s="10"/>
      <c r="T27">
        <v>23</v>
      </c>
      <c r="U27" s="28">
        <f>E91</f>
        <v>0</v>
      </c>
      <c r="V27" t="s">
        <v>77</v>
      </c>
      <c r="W27" s="29">
        <f>E93</f>
        <v>0</v>
      </c>
      <c r="Z27" s="34"/>
      <c r="AA27" s="40"/>
      <c r="AB27" s="40"/>
      <c r="AC27" s="38" t="s">
        <v>159</v>
      </c>
      <c r="AD27" s="48"/>
      <c r="AE27" s="53" t="e">
        <f>LOOKUP(AD27,T$5:T$78,U$5:U$73)</f>
        <v>#N/A</v>
      </c>
      <c r="AF27" s="37" t="s">
        <v>157</v>
      </c>
      <c r="AG27" s="65" t="e">
        <f>LOOKUP(AD27,T$5:T$78,W$5:W$73)</f>
        <v>#N/A</v>
      </c>
    </row>
    <row r="28" spans="4:33" ht="13" thickBot="1">
      <c r="E28" s="10"/>
      <c r="F28" s="10"/>
      <c r="G28" s="10"/>
      <c r="H28" s="13" t="s">
        <v>8</v>
      </c>
      <c r="I28" s="9" t="str">
        <f>IF(OR(H27="",H29=""),"",+IF(H27&gt;H29,E27,E29))</f>
        <v/>
      </c>
      <c r="J28" s="16"/>
      <c r="K28" s="10"/>
      <c r="L28" s="14"/>
      <c r="M28" s="10"/>
      <c r="N28" s="14"/>
      <c r="O28" s="10"/>
      <c r="P28" s="14"/>
      <c r="Q28" s="10"/>
      <c r="T28">
        <v>24</v>
      </c>
      <c r="U28" s="28">
        <f>E95</f>
        <v>0</v>
      </c>
      <c r="V28" t="s">
        <v>77</v>
      </c>
      <c r="W28" s="29">
        <f>E97</f>
        <v>0</v>
      </c>
      <c r="Z28" s="34"/>
      <c r="AA28" s="40"/>
      <c r="AB28" s="40"/>
      <c r="AC28" s="38" t="s">
        <v>159</v>
      </c>
      <c r="AD28" s="48"/>
      <c r="AE28" s="53" t="e">
        <f>LOOKUP(AD28,T$5:T$78,U$5:U$73)</f>
        <v>#N/A</v>
      </c>
      <c r="AF28" s="37" t="s">
        <v>157</v>
      </c>
      <c r="AG28" s="65" t="e">
        <f>LOOKUP(AD28,T$5:T$78,W$5:W$73)</f>
        <v>#N/A</v>
      </c>
    </row>
    <row r="29" spans="4:33" ht="13" thickBot="1">
      <c r="D29">
        <v>12</v>
      </c>
      <c r="E29" s="9"/>
      <c r="F29" s="9"/>
      <c r="G29" s="9">
        <f>E29</f>
        <v>0</v>
      </c>
      <c r="H29" s="16"/>
      <c r="I29" s="10"/>
      <c r="J29" s="10"/>
      <c r="K29" s="10"/>
      <c r="L29" s="14"/>
      <c r="M29" s="10"/>
      <c r="N29" s="14"/>
      <c r="O29" s="10"/>
      <c r="P29" s="14"/>
      <c r="Q29" s="10"/>
      <c r="T29">
        <v>25</v>
      </c>
      <c r="U29" s="28">
        <f>E99</f>
        <v>0</v>
      </c>
      <c r="V29" t="s">
        <v>77</v>
      </c>
      <c r="W29" s="29">
        <f>E101</f>
        <v>0</v>
      </c>
      <c r="Z29" s="34"/>
      <c r="AA29" s="40"/>
      <c r="AB29" s="40"/>
      <c r="AC29" s="38" t="s">
        <v>159</v>
      </c>
      <c r="AD29" s="48"/>
      <c r="AE29" s="53" t="e">
        <f>LOOKUP(AD29,T$5:T$78,U$5:U$73)</f>
        <v>#N/A</v>
      </c>
      <c r="AF29" s="37" t="s">
        <v>157</v>
      </c>
      <c r="AG29" s="65" t="e">
        <f>LOOKUP(AD29,T$5:T$78,W$5:W$73)</f>
        <v>#N/A</v>
      </c>
    </row>
    <row r="30" spans="4:33" ht="13" thickBot="1">
      <c r="E30" s="10"/>
      <c r="F30" s="10"/>
      <c r="G30" s="10"/>
      <c r="H30" s="10"/>
      <c r="I30" s="10"/>
      <c r="J30" s="10"/>
      <c r="K30" s="10"/>
      <c r="L30" s="14" t="s">
        <v>52</v>
      </c>
      <c r="M30" s="9" t="str">
        <f>IF(OR(L26="",L34=""),"",+IF(L26&gt;L34,K26,K34))</f>
        <v/>
      </c>
      <c r="N30" s="16"/>
      <c r="O30" s="10"/>
      <c r="P30" s="14"/>
      <c r="Q30" s="10"/>
      <c r="T30">
        <v>26</v>
      </c>
      <c r="U30" s="28">
        <f>E103</f>
        <v>0</v>
      </c>
      <c r="V30" t="s">
        <v>77</v>
      </c>
      <c r="W30" s="29">
        <f>E105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D31">
        <v>13</v>
      </c>
      <c r="E31" s="9"/>
      <c r="F31" s="9"/>
      <c r="G31" s="9">
        <f>E31</f>
        <v>0</v>
      </c>
      <c r="H31" s="11"/>
      <c r="I31" s="10"/>
      <c r="J31" s="10"/>
      <c r="K31" s="10"/>
      <c r="L31" s="14"/>
      <c r="M31" s="10"/>
      <c r="N31" s="10"/>
      <c r="O31" s="10"/>
      <c r="P31" s="14"/>
      <c r="Q31" s="10"/>
      <c r="T31">
        <v>27</v>
      </c>
      <c r="U31" s="28">
        <f>E107</f>
        <v>0</v>
      </c>
      <c r="V31" t="s">
        <v>77</v>
      </c>
      <c r="W31" s="29" t="s">
        <v>160</v>
      </c>
      <c r="Z31" s="34"/>
      <c r="AA31" s="40"/>
      <c r="AB31" s="40"/>
      <c r="AC31" s="38" t="s">
        <v>159</v>
      </c>
      <c r="AD31" s="48"/>
      <c r="AE31" s="53" t="e">
        <f>LOOKUP(AD31,T$5:T$78,U$5:U$73)</f>
        <v>#N/A</v>
      </c>
      <c r="AF31" s="37" t="s">
        <v>157</v>
      </c>
      <c r="AG31" s="65" t="e">
        <f>LOOKUP(AD31,T$5:T$78,W$5:W$73)</f>
        <v>#N/A</v>
      </c>
    </row>
    <row r="32" spans="4:33" ht="13" thickBot="1">
      <c r="E32" s="10"/>
      <c r="F32" s="10"/>
      <c r="G32" s="10"/>
      <c r="H32" s="13" t="s">
        <v>9</v>
      </c>
      <c r="I32" s="9" t="str">
        <f>IF(OR(H31="",H33=""),"",+IF(H31&gt;H33,E31,E33))</f>
        <v/>
      </c>
      <c r="J32" s="17"/>
      <c r="K32" s="10"/>
      <c r="L32" s="14"/>
      <c r="M32" s="10"/>
      <c r="N32" s="10"/>
      <c r="O32" s="10"/>
      <c r="P32" s="14"/>
      <c r="Q32" s="10"/>
      <c r="T32">
        <v>28</v>
      </c>
      <c r="U32" s="28">
        <f>E114</f>
        <v>0</v>
      </c>
      <c r="V32" t="s">
        <v>77</v>
      </c>
      <c r="W32" s="29">
        <f>E116</f>
        <v>0</v>
      </c>
      <c r="Z32" s="34"/>
      <c r="AA32" s="40"/>
      <c r="AB32" s="40"/>
      <c r="AC32" s="38" t="s">
        <v>159</v>
      </c>
      <c r="AD32" s="48"/>
      <c r="AE32" s="53" t="e">
        <f>LOOKUP(AD32,T$5:T$78,U$5:U$73)</f>
        <v>#N/A</v>
      </c>
      <c r="AF32" s="37" t="s">
        <v>157</v>
      </c>
      <c r="AG32" s="65" t="e">
        <f>LOOKUP(AD32,T$5:T$78,W$5:W$73)</f>
        <v>#N/A</v>
      </c>
    </row>
    <row r="33" spans="4:33" ht="13" thickBot="1">
      <c r="D33">
        <v>14</v>
      </c>
      <c r="E33" s="9"/>
      <c r="F33" s="9"/>
      <c r="G33" s="9">
        <f>E33</f>
        <v>0</v>
      </c>
      <c r="H33" s="16"/>
      <c r="I33" s="10"/>
      <c r="J33" s="14"/>
      <c r="K33" s="10"/>
      <c r="L33" s="14"/>
      <c r="M33" s="10"/>
      <c r="N33" s="10"/>
      <c r="O33" s="10"/>
      <c r="P33" s="14"/>
      <c r="Q33" s="10"/>
      <c r="T33">
        <v>29</v>
      </c>
      <c r="U33" s="28">
        <f>E118</f>
        <v>0</v>
      </c>
      <c r="V33" t="s">
        <v>77</v>
      </c>
      <c r="W33" s="29">
        <f>E120</f>
        <v>0</v>
      </c>
      <c r="Z33" s="34"/>
      <c r="AA33" s="40"/>
      <c r="AB33" s="40"/>
      <c r="AC33" s="38" t="s">
        <v>159</v>
      </c>
      <c r="AD33" s="48"/>
      <c r="AE33" s="53" t="e">
        <f>LOOKUP(AD33,T$5:T$78,U$5:U$73)</f>
        <v>#N/A</v>
      </c>
      <c r="AF33" s="37" t="s">
        <v>157</v>
      </c>
      <c r="AG33" s="65" t="e">
        <f>LOOKUP(AD33,T$5:T$78,W$5:W$73)</f>
        <v>#N/A</v>
      </c>
    </row>
    <row r="34" spans="4:33" ht="13" thickBot="1">
      <c r="E34" s="10"/>
      <c r="F34" s="10"/>
      <c r="G34" s="10"/>
      <c r="H34" s="10"/>
      <c r="I34" s="10"/>
      <c r="J34" s="14" t="s">
        <v>38</v>
      </c>
      <c r="K34" s="9" t="str">
        <f>IF(OR(J32="",J36=""),"",+IF(J32&gt;J36,I32,I36))</f>
        <v/>
      </c>
      <c r="L34" s="16"/>
      <c r="M34" s="10"/>
      <c r="N34" s="10"/>
      <c r="O34" s="10"/>
      <c r="P34" s="14"/>
      <c r="Q34" s="10"/>
      <c r="T34">
        <v>30</v>
      </c>
      <c r="U34" s="28">
        <f>E122</f>
        <v>0</v>
      </c>
      <c r="V34" t="s">
        <v>77</v>
      </c>
      <c r="W34" s="29">
        <f>E124</f>
        <v>0</v>
      </c>
      <c r="Z34" s="34"/>
      <c r="AA34" s="40"/>
      <c r="AB34" s="40"/>
      <c r="AC34" s="38" t="s">
        <v>159</v>
      </c>
      <c r="AD34" s="48"/>
      <c r="AE34" s="53" t="e">
        <f>LOOKUP(AD34,T$5:T$78,U$5:U$73)</f>
        <v>#N/A</v>
      </c>
      <c r="AF34" s="37" t="s">
        <v>157</v>
      </c>
      <c r="AG34" s="65" t="e">
        <f>LOOKUP(AD34,T$5:T$78,W$5:W$73)</f>
        <v>#N/A</v>
      </c>
    </row>
    <row r="35" spans="4:33" ht="13" thickBot="1">
      <c r="D35">
        <v>15</v>
      </c>
      <c r="E35" s="9"/>
      <c r="F35" s="9"/>
      <c r="G35" s="9">
        <f>E35</f>
        <v>0</v>
      </c>
      <c r="H35" s="11"/>
      <c r="I35" s="10"/>
      <c r="J35" s="14"/>
      <c r="K35" s="10"/>
      <c r="L35" s="10"/>
      <c r="M35" s="10"/>
      <c r="N35" s="10"/>
      <c r="O35" s="10"/>
      <c r="P35" s="14"/>
      <c r="Q35" s="10"/>
      <c r="T35">
        <v>31</v>
      </c>
      <c r="U35" s="28">
        <f>E126</f>
        <v>0</v>
      </c>
      <c r="V35" t="s">
        <v>77</v>
      </c>
      <c r="W35" s="29">
        <f>E128</f>
        <v>0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E36" s="10"/>
      <c r="F36" s="10"/>
      <c r="G36" s="10"/>
      <c r="H36" s="13" t="s">
        <v>10</v>
      </c>
      <c r="I36" s="9" t="str">
        <f>IF(OR(H35="",H37=""),"",+IF(H35&gt;H37,E35,E37))</f>
        <v/>
      </c>
      <c r="J36" s="16"/>
      <c r="K36" s="10"/>
      <c r="L36" s="10"/>
      <c r="M36" s="10"/>
      <c r="N36" s="10"/>
      <c r="O36" s="10"/>
      <c r="P36" s="14"/>
      <c r="Q36" s="10"/>
      <c r="T36">
        <v>32</v>
      </c>
      <c r="U36" s="28">
        <f>E130</f>
        <v>0</v>
      </c>
      <c r="V36" t="s">
        <v>77</v>
      </c>
      <c r="W36" s="29">
        <f>E132</f>
        <v>0</v>
      </c>
      <c r="Z36" s="34"/>
      <c r="AA36" s="40"/>
      <c r="AB36" s="40"/>
      <c r="AC36" s="38" t="s">
        <v>159</v>
      </c>
      <c r="AD36" s="48"/>
      <c r="AE36" s="53" t="e">
        <f>LOOKUP(AD36,T$5:T$78,U$5:U$73)</f>
        <v>#N/A</v>
      </c>
      <c r="AF36" s="37" t="s">
        <v>157</v>
      </c>
      <c r="AG36" s="65" t="e">
        <f>LOOKUP(AD36,T$5:T$78,W$5:W$73)</f>
        <v>#N/A</v>
      </c>
    </row>
    <row r="37" spans="4:33" ht="13" thickBot="1">
      <c r="D37">
        <v>16</v>
      </c>
      <c r="E37" s="9"/>
      <c r="F37" s="9"/>
      <c r="G37" s="9">
        <f>E37</f>
        <v>0</v>
      </c>
      <c r="H37" s="16"/>
      <c r="I37" s="10"/>
      <c r="J37" s="10"/>
      <c r="K37" s="10"/>
      <c r="L37" s="10"/>
      <c r="M37" s="10"/>
      <c r="N37" s="10"/>
      <c r="O37" s="10"/>
      <c r="P37" s="14"/>
      <c r="Q37" s="10"/>
      <c r="T37">
        <v>33</v>
      </c>
      <c r="U37" s="28">
        <f>E134</f>
        <v>0</v>
      </c>
      <c r="V37" t="s">
        <v>77</v>
      </c>
      <c r="W37" s="29">
        <f>E136</f>
        <v>0</v>
      </c>
      <c r="Z37" s="34"/>
      <c r="AA37" s="40"/>
      <c r="AB37" s="40"/>
      <c r="AC37" s="38" t="s">
        <v>159</v>
      </c>
      <c r="AD37" s="48"/>
      <c r="AE37" s="53" t="e">
        <f>LOOKUP(AD37,T$5:T$78,U$5:U$73)</f>
        <v>#N/A</v>
      </c>
      <c r="AF37" s="37" t="s">
        <v>157</v>
      </c>
      <c r="AG37" s="65" t="e">
        <f>LOOKUP(AD37,T$5:T$78,W$5:W$73)</f>
        <v>#N/A</v>
      </c>
    </row>
    <row r="38" spans="4:33" ht="13" thickBot="1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4" t="s">
        <v>63</v>
      </c>
      <c r="Q38" s="9" t="str">
        <f>IF(OR(P22="",P57=""),"",+IF(P22&gt;P57,O22,O57))</f>
        <v/>
      </c>
      <c r="T38">
        <v>34</v>
      </c>
      <c r="U38" s="28">
        <f>E138</f>
        <v>0</v>
      </c>
      <c r="V38" t="s">
        <v>77</v>
      </c>
      <c r="W38" s="29">
        <f>E140</f>
        <v>0</v>
      </c>
      <c r="Z38" s="34"/>
      <c r="AA38" s="40"/>
      <c r="AB38" s="40"/>
      <c r="AC38" s="38" t="s">
        <v>159</v>
      </c>
      <c r="AD38" s="48"/>
      <c r="AE38" s="53" t="e">
        <f>LOOKUP(AD38,T$5:T$78,U$5:U$73)</f>
        <v>#N/A</v>
      </c>
      <c r="AF38" s="37" t="s">
        <v>157</v>
      </c>
      <c r="AG38" s="65" t="e">
        <f>LOOKUP(AD38,T$5:T$78,W$5:W$73)</f>
        <v>#N/A</v>
      </c>
    </row>
    <row r="39" spans="4:33" ht="13" thickBot="1">
      <c r="D39">
        <v>17</v>
      </c>
      <c r="E39" s="9"/>
      <c r="F39" s="9"/>
      <c r="G39" s="9">
        <f>E39</f>
        <v>0</v>
      </c>
      <c r="H39" s="11"/>
      <c r="I39" s="10"/>
      <c r="J39" s="10"/>
      <c r="K39" s="10"/>
      <c r="L39" s="10"/>
      <c r="M39" s="10"/>
      <c r="N39" s="10"/>
      <c r="O39" s="10"/>
      <c r="P39" s="14"/>
      <c r="Q39" s="13"/>
      <c r="T39">
        <v>35</v>
      </c>
      <c r="U39" s="28" t="s">
        <v>161</v>
      </c>
      <c r="V39" t="s">
        <v>77</v>
      </c>
      <c r="W39" s="28" t="s">
        <v>81</v>
      </c>
      <c r="Z39" s="34"/>
      <c r="AA39" s="33"/>
      <c r="AB39" s="33"/>
      <c r="AC39" s="33"/>
      <c r="AD39" s="50"/>
      <c r="AE39" s="64"/>
      <c r="AF39" s="33"/>
      <c r="AG39" s="59"/>
    </row>
    <row r="40" spans="4:33">
      <c r="E40" s="12"/>
      <c r="F40" s="10"/>
      <c r="G40" s="10"/>
      <c r="H40" s="13"/>
      <c r="I40" s="10"/>
      <c r="J40" s="10"/>
      <c r="K40" s="10"/>
      <c r="L40" s="10"/>
      <c r="M40" s="10"/>
      <c r="N40" s="10"/>
      <c r="O40" s="10"/>
      <c r="P40" s="14"/>
      <c r="Q40" s="14"/>
      <c r="T40">
        <v>36</v>
      </c>
      <c r="U40" s="28" t="s">
        <v>162</v>
      </c>
      <c r="V40" t="s">
        <v>77</v>
      </c>
      <c r="W40" s="28" t="s">
        <v>163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/>
      <c r="F41" s="10"/>
      <c r="G41" s="10"/>
      <c r="H41" s="14" t="s">
        <v>11</v>
      </c>
      <c r="I41" s="9" t="str">
        <f>IF(OR(H39="",H43=""),"",+IF(H39&gt;H43,E39,G43))</f>
        <v/>
      </c>
      <c r="J41" s="11"/>
      <c r="K41" s="10"/>
      <c r="L41" s="10"/>
      <c r="M41" s="10"/>
      <c r="N41" s="10"/>
      <c r="O41" s="10"/>
      <c r="P41" s="14"/>
      <c r="Q41" s="14"/>
      <c r="T41">
        <v>37</v>
      </c>
      <c r="U41" s="28" t="s">
        <v>84</v>
      </c>
      <c r="V41" t="s">
        <v>77</v>
      </c>
      <c r="W41" s="28" t="s">
        <v>164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10"/>
      <c r="F42" s="11"/>
      <c r="G42" s="10"/>
      <c r="H42" s="14"/>
      <c r="I42" s="10"/>
      <c r="J42" s="13"/>
      <c r="K42" s="10"/>
      <c r="L42" s="10"/>
      <c r="M42" s="10"/>
      <c r="N42" s="10"/>
      <c r="O42" s="10"/>
      <c r="P42" s="14"/>
      <c r="Q42" s="14"/>
      <c r="T42">
        <v>38</v>
      </c>
      <c r="U42" s="28" t="s">
        <v>86</v>
      </c>
      <c r="V42" t="s">
        <v>77</v>
      </c>
      <c r="W42" s="28" t="s">
        <v>87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E43" s="12"/>
      <c r="F43" s="13" t="s">
        <v>1</v>
      </c>
      <c r="G43" s="9" t="str">
        <f>IF(OR(F42="",F44=""),"",+IF(F42&gt;F44,E42,E44))</f>
        <v/>
      </c>
      <c r="H43" s="16"/>
      <c r="I43" s="10"/>
      <c r="J43" s="14"/>
      <c r="K43" s="10"/>
      <c r="L43" s="10"/>
      <c r="M43" s="10"/>
      <c r="N43" s="10"/>
      <c r="O43" s="10"/>
      <c r="P43" s="14"/>
      <c r="Q43" s="14"/>
      <c r="T43">
        <v>39</v>
      </c>
      <c r="U43" s="28" t="s">
        <v>88</v>
      </c>
      <c r="V43" t="s">
        <v>77</v>
      </c>
      <c r="W43" s="28" t="s">
        <v>89</v>
      </c>
      <c r="Z43" s="34"/>
      <c r="AA43" s="40"/>
      <c r="AB43" s="40"/>
      <c r="AC43" s="38" t="s">
        <v>159</v>
      </c>
      <c r="AD43" s="48"/>
      <c r="AE43" s="53" t="e">
        <f>LOOKUP(AD43,T$5:T$78,U$5:U$73)</f>
        <v>#N/A</v>
      </c>
      <c r="AF43" s="37" t="s">
        <v>157</v>
      </c>
      <c r="AG43" s="65" t="e">
        <f>LOOKUP(AD43,T$5:T$78,W$5:W$73)</f>
        <v>#N/A</v>
      </c>
    </row>
    <row r="44" spans="4:33" ht="13" thickBot="1">
      <c r="D44">
        <v>19</v>
      </c>
      <c r="E44" s="10"/>
      <c r="F44" s="16"/>
      <c r="G44" s="10"/>
      <c r="H44" s="10"/>
      <c r="I44" s="10"/>
      <c r="J44" s="14" t="s">
        <v>39</v>
      </c>
      <c r="K44" s="9" t="str">
        <f>IF(OR(J41="",J47=""),"",+IF(J41&gt;J47,I41,I47))</f>
        <v/>
      </c>
      <c r="L44" s="17"/>
      <c r="M44" s="10"/>
      <c r="N44" s="10"/>
      <c r="O44" s="10"/>
      <c r="P44" s="14"/>
      <c r="Q44" s="14"/>
      <c r="T44">
        <v>40</v>
      </c>
      <c r="U44" s="28" t="s">
        <v>90</v>
      </c>
      <c r="V44" t="s">
        <v>77</v>
      </c>
      <c r="W44" s="28" t="s">
        <v>91</v>
      </c>
      <c r="Z44" s="34"/>
      <c r="AA44" s="40"/>
      <c r="AB44" s="40"/>
      <c r="AC44" s="38" t="s">
        <v>159</v>
      </c>
      <c r="AD44" s="48"/>
      <c r="AE44" s="53" t="e">
        <f>LOOKUP(AD44,T$5:T$78,U$5:U$73)</f>
        <v>#N/A</v>
      </c>
      <c r="AF44" s="37" t="s">
        <v>157</v>
      </c>
      <c r="AG44" s="65" t="e">
        <f>LOOKUP(AD44,T$5:T$78,W$5:W$73)</f>
        <v>#N/A</v>
      </c>
    </row>
    <row r="45" spans="4:33">
      <c r="E45" s="12"/>
      <c r="F45" s="10"/>
      <c r="G45" s="10"/>
      <c r="H45" s="10"/>
      <c r="I45" s="10"/>
      <c r="J45" s="14"/>
      <c r="K45" s="10"/>
      <c r="L45" s="10"/>
      <c r="M45" s="19"/>
      <c r="N45" s="10"/>
      <c r="O45" s="10"/>
      <c r="P45" s="14"/>
      <c r="Q45" s="14"/>
      <c r="T45">
        <v>41</v>
      </c>
      <c r="U45" s="28" t="s">
        <v>92</v>
      </c>
      <c r="V45" t="s">
        <v>77</v>
      </c>
      <c r="W45" s="28" t="s">
        <v>165</v>
      </c>
      <c r="Z45" s="34"/>
      <c r="AA45" s="40"/>
      <c r="AB45" s="40"/>
      <c r="AC45" s="38" t="s">
        <v>159</v>
      </c>
      <c r="AD45" s="48"/>
      <c r="AE45" s="53" t="e">
        <f>LOOKUP(AD45,T$5:T$78,U$5:U$73)</f>
        <v>#N/A</v>
      </c>
      <c r="AF45" s="37" t="s">
        <v>157</v>
      </c>
      <c r="AG45" s="65" t="e">
        <f>LOOKUP(AD45,T$5:T$78,W$5:W$73)</f>
        <v>#N/A</v>
      </c>
    </row>
    <row r="46" spans="4:33" ht="13" thickBot="1">
      <c r="D46">
        <v>20</v>
      </c>
      <c r="E46" s="9"/>
      <c r="F46" s="9"/>
      <c r="G46" s="9">
        <f>E46</f>
        <v>0</v>
      </c>
      <c r="H46" s="11"/>
      <c r="I46" s="10"/>
      <c r="J46" s="14"/>
      <c r="K46" s="10"/>
      <c r="L46" s="10"/>
      <c r="M46" s="19"/>
      <c r="N46" s="10"/>
      <c r="O46" s="10"/>
      <c r="P46" s="14"/>
      <c r="Q46" s="14"/>
      <c r="T46">
        <v>42</v>
      </c>
      <c r="U46" s="28" t="s">
        <v>94</v>
      </c>
      <c r="V46" t="s">
        <v>77</v>
      </c>
      <c r="W46" s="28" t="s">
        <v>95</v>
      </c>
      <c r="Z46" s="34"/>
      <c r="AA46" s="40"/>
      <c r="AB46" s="40"/>
      <c r="AC46" s="38" t="s">
        <v>159</v>
      </c>
      <c r="AD46" s="48"/>
      <c r="AE46" s="53" t="e">
        <f>LOOKUP(AD46,T$5:T$78,U$5:U$73)</f>
        <v>#N/A</v>
      </c>
      <c r="AF46" s="37" t="s">
        <v>157</v>
      </c>
      <c r="AG46" s="65" t="e">
        <f>LOOKUP(AD46,T$5:T$78,W$5:W$73)</f>
        <v>#N/A</v>
      </c>
    </row>
    <row r="47" spans="4:33" ht="13" thickBot="1">
      <c r="E47" s="10"/>
      <c r="F47" s="10"/>
      <c r="G47" s="10"/>
      <c r="H47" s="13" t="s">
        <v>12</v>
      </c>
      <c r="I47" s="9" t="str">
        <f>IF(OR(H46="",H48=""),"",+IF(H46&gt;H48,E46,E48))</f>
        <v/>
      </c>
      <c r="J47" s="16"/>
      <c r="K47" s="10"/>
      <c r="L47" s="10"/>
      <c r="M47" s="19"/>
      <c r="N47" s="10"/>
      <c r="O47" s="10"/>
      <c r="P47" s="14"/>
      <c r="Q47" s="14"/>
      <c r="T47">
        <v>43</v>
      </c>
      <c r="U47" s="28" t="s">
        <v>96</v>
      </c>
      <c r="V47" t="s">
        <v>77</v>
      </c>
      <c r="W47" s="28" t="s">
        <v>97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D48">
        <v>21</v>
      </c>
      <c r="E48" s="9"/>
      <c r="F48" s="9"/>
      <c r="G48" s="9">
        <f>E48</f>
        <v>0</v>
      </c>
      <c r="H48" s="16"/>
      <c r="I48" s="10"/>
      <c r="J48" s="10"/>
      <c r="K48" s="10"/>
      <c r="L48" s="10"/>
      <c r="M48" s="19"/>
      <c r="N48" s="10"/>
      <c r="O48" s="10"/>
      <c r="P48" s="14"/>
      <c r="Q48" s="14"/>
      <c r="T48">
        <v>44</v>
      </c>
      <c r="U48" s="28" t="s">
        <v>98</v>
      </c>
      <c r="V48" t="s">
        <v>77</v>
      </c>
      <c r="W48" s="28" t="s">
        <v>99</v>
      </c>
      <c r="Z48" s="34"/>
      <c r="AA48" s="40"/>
      <c r="AB48" s="40"/>
      <c r="AC48" s="38" t="s">
        <v>159</v>
      </c>
      <c r="AD48" s="48"/>
      <c r="AE48" s="53" t="e">
        <f>LOOKUP(AD48,T$5:T$78,U$5:U$73)</f>
        <v>#N/A</v>
      </c>
      <c r="AF48" s="37" t="s">
        <v>157</v>
      </c>
      <c r="AG48" s="65" t="e">
        <f>LOOKUP(AD48,T$5:T$78,W$5:W$73)</f>
        <v>#N/A</v>
      </c>
    </row>
    <row r="49" spans="4:33" ht="13" thickBot="1">
      <c r="E49" s="10"/>
      <c r="F49" s="10"/>
      <c r="G49" s="10"/>
      <c r="H49" s="10"/>
      <c r="I49" s="10"/>
      <c r="J49" s="10"/>
      <c r="K49" s="10"/>
      <c r="L49" s="14" t="s">
        <v>53</v>
      </c>
      <c r="M49" s="9" t="str">
        <f>IF(OR(L44="",L53=""),"",+IF(L44&gt;L53,K44,K53))</f>
        <v/>
      </c>
      <c r="N49" s="17"/>
      <c r="O49" s="10"/>
      <c r="P49" s="14"/>
      <c r="Q49" s="14"/>
      <c r="T49">
        <v>45</v>
      </c>
      <c r="U49" s="28" t="s">
        <v>100</v>
      </c>
      <c r="V49" t="s">
        <v>77</v>
      </c>
      <c r="W49" s="28" t="s">
        <v>101</v>
      </c>
      <c r="Z49" s="34"/>
      <c r="AA49" s="40"/>
      <c r="AB49" s="40"/>
      <c r="AC49" s="38" t="s">
        <v>159</v>
      </c>
      <c r="AD49" s="48"/>
      <c r="AE49" s="53" t="e">
        <f>LOOKUP(AD49,T$5:T$78,U$5:U$73)</f>
        <v>#N/A</v>
      </c>
      <c r="AF49" s="37" t="s">
        <v>157</v>
      </c>
      <c r="AG49" s="65" t="e">
        <f>LOOKUP(AD49,T$5:T$78,W$5:W$73)</f>
        <v>#N/A</v>
      </c>
    </row>
    <row r="50" spans="4:33" ht="13" thickBot="1">
      <c r="D50">
        <v>22</v>
      </c>
      <c r="E50" s="9"/>
      <c r="F50" s="9"/>
      <c r="G50" s="9">
        <f>E50</f>
        <v>0</v>
      </c>
      <c r="H50" s="11"/>
      <c r="I50" s="10"/>
      <c r="J50" s="10"/>
      <c r="K50" s="10"/>
      <c r="L50" s="10"/>
      <c r="M50" s="19"/>
      <c r="N50" s="13"/>
      <c r="O50" s="10"/>
      <c r="P50" s="14"/>
      <c r="Q50" s="14"/>
      <c r="T50">
        <v>46</v>
      </c>
      <c r="U50" s="28" t="s">
        <v>102</v>
      </c>
      <c r="V50" t="s">
        <v>77</v>
      </c>
      <c r="W50" s="28" t="s">
        <v>103</v>
      </c>
      <c r="Z50" s="34"/>
      <c r="AA50" s="40"/>
      <c r="AB50" s="40"/>
      <c r="AC50" s="38" t="s">
        <v>159</v>
      </c>
      <c r="AD50" s="48"/>
      <c r="AE50" s="53" t="e">
        <f>LOOKUP(AD50,T$5:T$78,U$5:U$73)</f>
        <v>#N/A</v>
      </c>
      <c r="AF50" s="37" t="s">
        <v>157</v>
      </c>
      <c r="AG50" s="65" t="e">
        <f>LOOKUP(AD50,T$5:T$78,W$5:W$73)</f>
        <v>#N/A</v>
      </c>
    </row>
    <row r="51" spans="4:33" ht="13" thickBot="1">
      <c r="E51" s="10"/>
      <c r="F51" s="10"/>
      <c r="G51" s="12"/>
      <c r="H51" s="13" t="s">
        <v>13</v>
      </c>
      <c r="I51" s="9" t="str">
        <f>IF(OR(H50="",H52=""),"",+IF(H50&gt;H52,E50,E52))</f>
        <v/>
      </c>
      <c r="J51" s="17"/>
      <c r="K51" s="10"/>
      <c r="L51" s="10"/>
      <c r="M51" s="19"/>
      <c r="N51" s="14"/>
      <c r="O51" s="10"/>
      <c r="P51" s="14"/>
      <c r="Q51" s="14"/>
      <c r="T51">
        <v>47</v>
      </c>
      <c r="U51" s="28" t="s">
        <v>104</v>
      </c>
      <c r="V51" t="s">
        <v>77</v>
      </c>
      <c r="W51" s="28" t="s">
        <v>105</v>
      </c>
      <c r="Z51" s="34"/>
      <c r="AA51" s="40"/>
      <c r="AB51" s="40"/>
      <c r="AC51" s="38" t="s">
        <v>159</v>
      </c>
      <c r="AD51" s="48"/>
      <c r="AE51" s="53" t="e">
        <f>LOOKUP(AD51,T$5:T$78,U$5:U$73)</f>
        <v>#N/A</v>
      </c>
      <c r="AF51" s="37" t="s">
        <v>157</v>
      </c>
      <c r="AG51" s="65" t="e">
        <f>LOOKUP(AD51,T$5:T$78,W$5:W$73)</f>
        <v>#N/A</v>
      </c>
    </row>
    <row r="52" spans="4:33" ht="13" thickBot="1">
      <c r="D52">
        <v>23</v>
      </c>
      <c r="E52" s="9"/>
      <c r="F52" s="9"/>
      <c r="G52" s="9">
        <f>E52</f>
        <v>0</v>
      </c>
      <c r="H52" s="16"/>
      <c r="I52" s="10"/>
      <c r="J52" s="14"/>
      <c r="K52" s="10"/>
      <c r="L52" s="10"/>
      <c r="M52" s="19"/>
      <c r="N52" s="14"/>
      <c r="O52" s="10"/>
      <c r="P52" s="14"/>
      <c r="Q52" s="14"/>
      <c r="T52">
        <v>48</v>
      </c>
      <c r="U52" s="28" t="s">
        <v>106</v>
      </c>
      <c r="V52" t="s">
        <v>77</v>
      </c>
      <c r="W52" s="28" t="s">
        <v>107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E53" s="10"/>
      <c r="F53" s="10"/>
      <c r="G53" s="12"/>
      <c r="H53" s="10"/>
      <c r="I53" s="10"/>
      <c r="J53" s="14" t="s">
        <v>40</v>
      </c>
      <c r="K53" s="9" t="str">
        <f>IF(OR(J51="",J55=""),"",+IF(J51&gt;J55,I51,I55))</f>
        <v/>
      </c>
      <c r="L53" s="16"/>
      <c r="M53" s="19"/>
      <c r="N53" s="14"/>
      <c r="O53" s="10"/>
      <c r="P53" s="14"/>
      <c r="Q53" s="14"/>
      <c r="T53">
        <v>49</v>
      </c>
      <c r="U53" s="28" t="s">
        <v>108</v>
      </c>
      <c r="V53" t="s">
        <v>77</v>
      </c>
      <c r="W53" s="28" t="s">
        <v>109</v>
      </c>
      <c r="Z53" s="34"/>
      <c r="AA53" s="40"/>
      <c r="AB53" s="40"/>
      <c r="AC53" s="38" t="s">
        <v>159</v>
      </c>
      <c r="AD53" s="48"/>
      <c r="AE53" s="53" t="e">
        <f>LOOKUP(AD53,T$5:T$78,U$5:U$73)</f>
        <v>#N/A</v>
      </c>
      <c r="AF53" s="37" t="s">
        <v>157</v>
      </c>
      <c r="AG53" s="65" t="e">
        <f>LOOKUP(AD53,T$5:T$78,W$5:W$73)</f>
        <v>#N/A</v>
      </c>
    </row>
    <row r="54" spans="4:33" ht="13" thickBot="1">
      <c r="D54">
        <v>24</v>
      </c>
      <c r="E54" s="9"/>
      <c r="F54" s="9"/>
      <c r="G54" s="9">
        <f>E54</f>
        <v>0</v>
      </c>
      <c r="H54" s="11"/>
      <c r="I54" s="10"/>
      <c r="J54" s="14"/>
      <c r="K54" s="10"/>
      <c r="L54" s="10"/>
      <c r="M54" s="10"/>
      <c r="N54" s="14"/>
      <c r="O54" s="10"/>
      <c r="P54" s="14"/>
      <c r="Q54" s="14"/>
      <c r="T54">
        <v>50</v>
      </c>
      <c r="U54" s="28" t="s">
        <v>110</v>
      </c>
      <c r="V54" t="s">
        <v>77</v>
      </c>
      <c r="W54" s="28" t="s">
        <v>111</v>
      </c>
      <c r="Z54" s="34"/>
      <c r="AA54" s="40"/>
      <c r="AB54" s="40"/>
      <c r="AC54" s="38" t="s">
        <v>159</v>
      </c>
      <c r="AD54" s="48"/>
      <c r="AE54" s="53" t="e">
        <f>LOOKUP(AD54,T$5:T$78,U$5:U$73)</f>
        <v>#N/A</v>
      </c>
      <c r="AF54" s="37" t="s">
        <v>157</v>
      </c>
      <c r="AG54" s="65" t="e">
        <f>LOOKUP(AD54,T$5:T$78,W$5:W$73)</f>
        <v>#N/A</v>
      </c>
    </row>
    <row r="55" spans="4:33" ht="13" thickBot="1">
      <c r="E55" s="10"/>
      <c r="F55" s="10"/>
      <c r="G55" s="12"/>
      <c r="H55" s="13" t="s">
        <v>14</v>
      </c>
      <c r="I55" s="9" t="str">
        <f>IF(OR(H54="",H56=""),"",+IF(H54&gt;H56,E54,E56))</f>
        <v/>
      </c>
      <c r="J55" s="16"/>
      <c r="K55" s="10"/>
      <c r="L55" s="10"/>
      <c r="M55" s="10"/>
      <c r="N55" s="14"/>
      <c r="O55" s="10"/>
      <c r="P55" s="14"/>
      <c r="Q55" s="14"/>
      <c r="T55">
        <v>51</v>
      </c>
      <c r="U55" s="28" t="s">
        <v>112</v>
      </c>
      <c r="V55" t="s">
        <v>77</v>
      </c>
      <c r="W55" s="28" t="s">
        <v>113</v>
      </c>
      <c r="Z55" s="34"/>
      <c r="AA55" s="40"/>
      <c r="AB55" s="40"/>
      <c r="AC55" s="38" t="s">
        <v>159</v>
      </c>
      <c r="AD55" s="48"/>
      <c r="AE55" s="53" t="e">
        <f>LOOKUP(AD55,T$5:T$78,U$5:U$73)</f>
        <v>#N/A</v>
      </c>
      <c r="AF55" s="37" t="s">
        <v>157</v>
      </c>
      <c r="AG55" s="65" t="e">
        <f>LOOKUP(AD55,T$5:T$78,W$5:W$73)</f>
        <v>#N/A</v>
      </c>
    </row>
    <row r="56" spans="4:33" ht="13" thickBot="1">
      <c r="D56">
        <v>25</v>
      </c>
      <c r="E56" s="9"/>
      <c r="F56" s="9"/>
      <c r="G56" s="9">
        <f>E56</f>
        <v>0</v>
      </c>
      <c r="H56" s="16"/>
      <c r="I56" s="10"/>
      <c r="J56" s="10"/>
      <c r="K56" s="10"/>
      <c r="L56" s="10"/>
      <c r="M56" s="10"/>
      <c r="N56" s="14"/>
      <c r="O56" s="10"/>
      <c r="P56" s="14"/>
      <c r="Q56" s="14"/>
      <c r="T56">
        <v>52</v>
      </c>
      <c r="U56" s="28" t="s">
        <v>114</v>
      </c>
      <c r="V56" t="s">
        <v>77</v>
      </c>
      <c r="W56" s="28" t="s">
        <v>115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E57" s="10"/>
      <c r="F57" s="10"/>
      <c r="G57" s="10"/>
      <c r="H57" s="10"/>
      <c r="I57" s="10"/>
      <c r="J57" s="10"/>
      <c r="K57" s="10"/>
      <c r="L57" s="10"/>
      <c r="M57" s="10"/>
      <c r="N57" s="14" t="s">
        <v>60</v>
      </c>
      <c r="O57" s="9" t="str">
        <f>IF(OR(N49="",N65=""),"",+IF(N49&gt;N65,M49,M65))</f>
        <v/>
      </c>
      <c r="P57" s="16"/>
      <c r="Q57" s="14"/>
      <c r="T57">
        <v>53</v>
      </c>
      <c r="U57" s="28" t="s">
        <v>116</v>
      </c>
      <c r="V57" t="s">
        <v>77</v>
      </c>
      <c r="W57" s="28" t="s">
        <v>117</v>
      </c>
    </row>
    <row r="58" spans="4:33" ht="13" thickBot="1">
      <c r="D58">
        <v>26</v>
      </c>
      <c r="E58" s="9"/>
      <c r="F58" s="9"/>
      <c r="G58" s="9">
        <f>E58</f>
        <v>0</v>
      </c>
      <c r="H58" s="11"/>
      <c r="I58" s="10"/>
      <c r="J58" s="10"/>
      <c r="K58" s="10"/>
      <c r="L58" s="10"/>
      <c r="M58" s="10"/>
      <c r="N58" s="14"/>
      <c r="O58" s="10"/>
      <c r="P58" s="10"/>
      <c r="Q58" s="14"/>
      <c r="T58">
        <v>54</v>
      </c>
      <c r="U58" s="28" t="s">
        <v>118</v>
      </c>
      <c r="V58" t="s">
        <v>77</v>
      </c>
      <c r="W58" s="28" t="s">
        <v>119</v>
      </c>
    </row>
    <row r="59" spans="4:33" ht="13" thickBot="1">
      <c r="E59" s="10"/>
      <c r="F59" s="10"/>
      <c r="G59" s="10"/>
      <c r="H59" s="13" t="s">
        <v>15</v>
      </c>
      <c r="I59" s="9" t="str">
        <f>IF(OR(H58="",H60=""),"",+IF(H58&gt;H60,E58,E60))</f>
        <v/>
      </c>
      <c r="J59" s="17"/>
      <c r="K59" s="10"/>
      <c r="L59" s="10"/>
      <c r="M59" s="10"/>
      <c r="N59" s="14"/>
      <c r="O59" s="10"/>
      <c r="P59" s="10"/>
      <c r="Q59" s="14"/>
      <c r="T59">
        <v>55</v>
      </c>
      <c r="U59" s="28" t="s">
        <v>120</v>
      </c>
      <c r="V59" t="s">
        <v>77</v>
      </c>
      <c r="W59" s="28" t="s">
        <v>121</v>
      </c>
    </row>
    <row r="60" spans="4:33" ht="13" thickBot="1">
      <c r="D60">
        <v>27</v>
      </c>
      <c r="E60" s="9"/>
      <c r="F60" s="9"/>
      <c r="G60" s="9">
        <f>E60</f>
        <v>0</v>
      </c>
      <c r="H60" s="16"/>
      <c r="I60" s="10"/>
      <c r="J60" s="14"/>
      <c r="K60" s="10"/>
      <c r="L60" s="10"/>
      <c r="M60" s="10"/>
      <c r="N60" s="14"/>
      <c r="O60" s="10"/>
      <c r="P60" s="10"/>
      <c r="Q60" s="14"/>
      <c r="T60">
        <v>56</v>
      </c>
      <c r="U60" s="28" t="s">
        <v>122</v>
      </c>
      <c r="V60" t="s">
        <v>77</v>
      </c>
      <c r="W60" s="28" t="s">
        <v>123</v>
      </c>
    </row>
    <row r="61" spans="4:33" ht="13" thickBot="1">
      <c r="E61" s="10"/>
      <c r="F61" s="10"/>
      <c r="G61" s="10"/>
      <c r="H61" s="10"/>
      <c r="I61" s="10"/>
      <c r="J61" s="14" t="s">
        <v>41</v>
      </c>
      <c r="K61" s="9" t="str">
        <f>IF(OR(J59="",J63=""),"",+IF(J59&gt;J63,I59,I63))</f>
        <v/>
      </c>
      <c r="L61" s="17"/>
      <c r="M61" s="10"/>
      <c r="N61" s="14"/>
      <c r="O61" s="10"/>
      <c r="P61" s="10"/>
      <c r="Q61" s="14"/>
      <c r="T61">
        <v>57</v>
      </c>
      <c r="U61" s="28" t="s">
        <v>124</v>
      </c>
      <c r="V61" t="s">
        <v>77</v>
      </c>
      <c r="W61" s="28" t="s">
        <v>125</v>
      </c>
    </row>
    <row r="62" spans="4:33" ht="13" thickBot="1">
      <c r="D62">
        <v>28</v>
      </c>
      <c r="E62" s="9"/>
      <c r="F62" s="9"/>
      <c r="G62" s="9">
        <f>E62</f>
        <v>0</v>
      </c>
      <c r="H62" s="11"/>
      <c r="I62" s="10"/>
      <c r="J62" s="14"/>
      <c r="K62" s="10"/>
      <c r="L62" s="13"/>
      <c r="M62" s="10"/>
      <c r="N62" s="14"/>
      <c r="O62" s="10"/>
      <c r="P62" s="10"/>
      <c r="Q62" s="14"/>
      <c r="T62">
        <v>58</v>
      </c>
      <c r="U62" s="28" t="s">
        <v>126</v>
      </c>
      <c r="V62" t="s">
        <v>77</v>
      </c>
      <c r="W62" s="28" t="s">
        <v>127</v>
      </c>
    </row>
    <row r="63" spans="4:33" ht="13" thickBot="1">
      <c r="E63" s="10"/>
      <c r="F63" s="10"/>
      <c r="G63" s="10"/>
      <c r="H63" s="13" t="s">
        <v>16</v>
      </c>
      <c r="I63" s="9" t="str">
        <f>IF(OR(H62="",H64=""),"",+IF(H62&gt;H64,E62,E64))</f>
        <v/>
      </c>
      <c r="J63" s="16"/>
      <c r="K63" s="10"/>
      <c r="L63" s="14"/>
      <c r="M63" s="10"/>
      <c r="N63" s="14"/>
      <c r="O63" s="10"/>
      <c r="P63" s="10"/>
      <c r="Q63" s="14"/>
      <c r="T63">
        <v>59</v>
      </c>
      <c r="U63" s="28" t="s">
        <v>130</v>
      </c>
      <c r="V63" t="s">
        <v>77</v>
      </c>
      <c r="W63" s="28" t="s">
        <v>128</v>
      </c>
    </row>
    <row r="64" spans="4:33" ht="13" thickBot="1">
      <c r="D64">
        <v>29</v>
      </c>
      <c r="E64" s="9"/>
      <c r="F64" s="9"/>
      <c r="G64" s="9">
        <f>E64</f>
        <v>0</v>
      </c>
      <c r="H64" s="16"/>
      <c r="I64" s="10"/>
      <c r="J64" s="10"/>
      <c r="K64" s="10"/>
      <c r="L64" s="14"/>
      <c r="M64" s="10"/>
      <c r="N64" s="14"/>
      <c r="O64" s="10"/>
      <c r="P64" s="10"/>
      <c r="Q64" s="14"/>
      <c r="T64">
        <v>60</v>
      </c>
      <c r="U64" s="28" t="s">
        <v>129</v>
      </c>
      <c r="V64" t="s">
        <v>77</v>
      </c>
      <c r="W64" s="28" t="s">
        <v>131</v>
      </c>
    </row>
    <row r="65" spans="4:23" ht="13" thickBot="1">
      <c r="E65" s="10"/>
      <c r="F65" s="10"/>
      <c r="G65" s="10"/>
      <c r="H65" s="10"/>
      <c r="I65" s="10"/>
      <c r="J65" s="10"/>
      <c r="K65" s="10"/>
      <c r="L65" s="14" t="s">
        <v>54</v>
      </c>
      <c r="M65" s="9" t="str">
        <f>IF(OR(L61="",L69=""),"",+IF(L61&gt;L69,K61,K69))</f>
        <v/>
      </c>
      <c r="N65" s="16"/>
      <c r="O65" s="10"/>
      <c r="P65" s="10"/>
      <c r="Q65" s="14"/>
      <c r="T65">
        <v>61</v>
      </c>
      <c r="U65" s="28" t="s">
        <v>132</v>
      </c>
      <c r="V65" t="s">
        <v>77</v>
      </c>
      <c r="W65" s="28" t="s">
        <v>133</v>
      </c>
    </row>
    <row r="66" spans="4:23" ht="13" thickBot="1">
      <c r="D66">
        <v>30</v>
      </c>
      <c r="E66" s="9"/>
      <c r="F66" s="9"/>
      <c r="G66" s="9">
        <f>E66</f>
        <v>0</v>
      </c>
      <c r="H66" s="11"/>
      <c r="I66" s="10"/>
      <c r="J66" s="10"/>
      <c r="K66" s="10"/>
      <c r="L66" s="14"/>
      <c r="M66" s="10"/>
      <c r="N66" s="10"/>
      <c r="O66" s="10"/>
      <c r="P66" s="10"/>
      <c r="Q66" s="14"/>
      <c r="T66">
        <v>62</v>
      </c>
      <c r="U66" s="28" t="s">
        <v>134</v>
      </c>
      <c r="V66" t="s">
        <v>77</v>
      </c>
      <c r="W66" s="28" t="s">
        <v>135</v>
      </c>
    </row>
    <row r="67" spans="4:23" ht="13" thickBot="1">
      <c r="E67" s="10"/>
      <c r="F67" s="10"/>
      <c r="G67" s="10"/>
      <c r="H67" s="13" t="s">
        <v>17</v>
      </c>
      <c r="I67" s="9" t="str">
        <f>IF(OR(H66="",H68=""),"",+IF(H66&gt;H68,E66,E68))</f>
        <v/>
      </c>
      <c r="J67" s="17"/>
      <c r="K67" s="10"/>
      <c r="L67" s="14"/>
      <c r="M67" s="10"/>
      <c r="N67" s="10"/>
      <c r="O67" s="10"/>
      <c r="P67" s="10"/>
      <c r="Q67" s="14"/>
      <c r="T67">
        <v>63</v>
      </c>
      <c r="U67" s="28" t="s">
        <v>136</v>
      </c>
      <c r="V67" t="s">
        <v>77</v>
      </c>
      <c r="W67" s="28" t="s">
        <v>137</v>
      </c>
    </row>
    <row r="68" spans="4:23" ht="13" thickBot="1">
      <c r="D68">
        <v>31</v>
      </c>
      <c r="E68" s="9"/>
      <c r="F68" s="9"/>
      <c r="G68" s="9">
        <f>E68</f>
        <v>0</v>
      </c>
      <c r="H68" s="16"/>
      <c r="I68" s="10"/>
      <c r="J68" s="14"/>
      <c r="K68" s="10"/>
      <c r="L68" s="14"/>
      <c r="M68" s="10"/>
      <c r="N68" s="10"/>
      <c r="O68" s="10"/>
      <c r="P68" s="10"/>
      <c r="Q68" s="14"/>
      <c r="T68">
        <v>64</v>
      </c>
      <c r="U68" s="28" t="s">
        <v>138</v>
      </c>
      <c r="V68" t="s">
        <v>77</v>
      </c>
      <c r="W68" s="28" t="s">
        <v>144</v>
      </c>
    </row>
    <row r="69" spans="4:23" ht="13" thickBot="1">
      <c r="E69" s="10"/>
      <c r="F69" s="10"/>
      <c r="G69" s="10"/>
      <c r="H69" s="10"/>
      <c r="I69" s="10"/>
      <c r="J69" s="14" t="s">
        <v>42</v>
      </c>
      <c r="K69" s="9" t="str">
        <f>IF(OR(J67="",J71=""),"",+IF(J67&gt;J71,I67,I71))</f>
        <v/>
      </c>
      <c r="L69" s="16"/>
      <c r="M69" s="10"/>
      <c r="N69" s="10"/>
      <c r="O69" s="10"/>
      <c r="P69" s="10"/>
      <c r="Q69" s="14"/>
      <c r="T69">
        <v>65</v>
      </c>
      <c r="U69" s="28" t="s">
        <v>139</v>
      </c>
      <c r="V69" t="s">
        <v>77</v>
      </c>
      <c r="W69" s="28" t="s">
        <v>140</v>
      </c>
    </row>
    <row r="70" spans="4:23" ht="13" thickBot="1">
      <c r="D70">
        <v>32</v>
      </c>
      <c r="E70" s="21"/>
      <c r="F70" s="9"/>
      <c r="G70" s="9">
        <f>E70</f>
        <v>0</v>
      </c>
      <c r="H70" s="11"/>
      <c r="I70" s="10"/>
      <c r="J70" s="14"/>
      <c r="K70" s="10"/>
      <c r="L70" s="10"/>
      <c r="M70" s="10"/>
      <c r="N70" s="10"/>
      <c r="O70" s="10"/>
      <c r="P70" s="10"/>
      <c r="Q70" s="14"/>
    </row>
    <row r="71" spans="4:23" ht="13" thickBot="1">
      <c r="E71" s="10"/>
      <c r="F71" s="10"/>
      <c r="G71" s="10"/>
      <c r="H71" s="13" t="s">
        <v>18</v>
      </c>
      <c r="I71" s="9" t="str">
        <f>IF(OR(H70="",H72=""),"",+IF(H70&gt;H72,E70,E72))</f>
        <v/>
      </c>
      <c r="J71" s="16"/>
      <c r="K71" s="10"/>
      <c r="L71" s="10"/>
      <c r="M71" s="10"/>
      <c r="N71" s="10"/>
      <c r="O71" s="10"/>
      <c r="P71" s="10"/>
      <c r="Q71" s="14"/>
    </row>
    <row r="72" spans="4:23" ht="13" thickBot="1">
      <c r="D72">
        <v>33</v>
      </c>
      <c r="E72" s="9"/>
      <c r="F72" s="9"/>
      <c r="G72" s="9">
        <f>E72</f>
        <v>0</v>
      </c>
      <c r="H72" s="16"/>
      <c r="I72" s="10"/>
      <c r="J72" s="10"/>
      <c r="K72" s="10"/>
      <c r="L72" s="10"/>
      <c r="M72" s="10"/>
      <c r="N72" s="10"/>
      <c r="O72" s="10"/>
      <c r="P72" s="10"/>
      <c r="Q72" s="68" t="s">
        <v>65</v>
      </c>
      <c r="R72" s="27"/>
    </row>
    <row r="73" spans="4:23">
      <c r="Q73" s="6"/>
    </row>
    <row r="74" spans="4:23">
      <c r="Q74" s="6"/>
    </row>
    <row r="75" spans="4:23" ht="13" thickBot="1">
      <c r="D75">
        <v>34</v>
      </c>
      <c r="E75" s="9"/>
      <c r="F75" s="9"/>
      <c r="G75" s="9">
        <f>E75</f>
        <v>0</v>
      </c>
      <c r="H75" s="11"/>
      <c r="I75" s="10"/>
      <c r="J75" s="10"/>
      <c r="K75" s="10"/>
      <c r="L75" s="10"/>
      <c r="M75" s="10"/>
      <c r="N75" s="10"/>
      <c r="O75" s="10"/>
      <c r="P75" s="10"/>
      <c r="Q75" s="14"/>
    </row>
    <row r="76" spans="4:23" ht="13" thickBot="1">
      <c r="E76" s="10"/>
      <c r="F76" s="10"/>
      <c r="G76" s="10"/>
      <c r="H76" s="13" t="s">
        <v>19</v>
      </c>
      <c r="I76" s="9" t="str">
        <f>IF(OR(H75="",H77=""),"",+IF(H75&gt;H77,E75,E77))</f>
        <v/>
      </c>
      <c r="J76" s="17"/>
      <c r="K76" s="10"/>
      <c r="L76" s="10"/>
      <c r="M76" s="10"/>
      <c r="N76" s="10"/>
      <c r="O76" s="10"/>
      <c r="P76" s="10"/>
      <c r="Q76" s="14"/>
    </row>
    <row r="77" spans="4:23" ht="13" thickBot="1">
      <c r="D77">
        <v>35</v>
      </c>
      <c r="E77" s="9"/>
      <c r="F77" s="9"/>
      <c r="G77" s="9">
        <f>E77</f>
        <v>0</v>
      </c>
      <c r="H77" s="16"/>
      <c r="I77" s="10"/>
      <c r="J77" s="14"/>
      <c r="K77" s="10"/>
      <c r="L77" s="10"/>
      <c r="M77" s="10"/>
      <c r="N77" s="10"/>
      <c r="O77" s="10"/>
      <c r="P77" s="10"/>
      <c r="Q77" s="14"/>
    </row>
    <row r="78" spans="4:23" ht="13" thickBot="1">
      <c r="E78" s="10"/>
      <c r="F78" s="10"/>
      <c r="G78" s="10"/>
      <c r="H78" s="10"/>
      <c r="I78" s="10"/>
      <c r="J78" s="14" t="s">
        <v>43</v>
      </c>
      <c r="K78" s="9" t="str">
        <f>IF(OR(J76="",J80=""),"",+IF(J76&gt;J80,I76,I80))</f>
        <v/>
      </c>
      <c r="L78" s="17"/>
      <c r="M78" s="10"/>
      <c r="N78" s="10"/>
      <c r="O78" s="10"/>
      <c r="P78" s="10"/>
      <c r="Q78" s="14"/>
    </row>
    <row r="79" spans="4:23" ht="13" thickBot="1">
      <c r="D79">
        <v>36</v>
      </c>
      <c r="E79" s="9"/>
      <c r="F79" s="9"/>
      <c r="G79" s="9">
        <f>E79</f>
        <v>0</v>
      </c>
      <c r="H79" s="11"/>
      <c r="I79" s="10"/>
      <c r="J79" s="14"/>
      <c r="K79" s="10"/>
      <c r="L79" s="13"/>
      <c r="M79" s="10"/>
      <c r="N79" s="10"/>
      <c r="O79" s="10"/>
      <c r="P79" s="10"/>
      <c r="Q79" s="14"/>
    </row>
    <row r="80" spans="4:23" ht="13" thickBot="1">
      <c r="E80" s="10"/>
      <c r="F80" s="10"/>
      <c r="G80" s="10"/>
      <c r="H80" s="13" t="s">
        <v>20</v>
      </c>
      <c r="I80" s="9" t="str">
        <f>IF(OR(H79="",H81=""),"",+IF(H79&gt;H81,E79,E81))</f>
        <v/>
      </c>
      <c r="J80" s="16"/>
      <c r="K80" s="10"/>
      <c r="L80" s="14"/>
      <c r="M80" s="10"/>
      <c r="N80" s="10"/>
      <c r="O80" s="10"/>
      <c r="P80" s="10"/>
      <c r="Q80" s="14"/>
    </row>
    <row r="81" spans="4:17" ht="13" thickBot="1">
      <c r="D81">
        <v>37</v>
      </c>
      <c r="E81" s="9"/>
      <c r="F81" s="9"/>
      <c r="G81" s="9">
        <f>E81</f>
        <v>0</v>
      </c>
      <c r="H81" s="16"/>
      <c r="I81" s="10"/>
      <c r="J81" s="10"/>
      <c r="K81" s="10"/>
      <c r="L81" s="14"/>
      <c r="M81" s="10"/>
      <c r="N81" s="10"/>
      <c r="O81" s="10"/>
      <c r="P81" s="10"/>
      <c r="Q81" s="14"/>
    </row>
    <row r="82" spans="4:17" ht="13" thickBot="1">
      <c r="E82" s="10"/>
      <c r="F82" s="10"/>
      <c r="G82" s="10"/>
      <c r="H82" s="10"/>
      <c r="I82" s="10"/>
      <c r="J82" s="10"/>
      <c r="K82" s="10"/>
      <c r="L82" s="14" t="s">
        <v>55</v>
      </c>
      <c r="M82" s="9" t="str">
        <f>IF(OR(L78="",L86=""),"",+IF(L78&gt;L86,K78,K86))</f>
        <v/>
      </c>
      <c r="N82" s="17"/>
      <c r="O82" s="10"/>
      <c r="P82" s="10"/>
      <c r="Q82" s="14"/>
    </row>
    <row r="83" spans="4:17" ht="13" thickBot="1">
      <c r="D83">
        <v>38</v>
      </c>
      <c r="E83" s="9"/>
      <c r="F83" s="9"/>
      <c r="G83" s="9">
        <f>E83</f>
        <v>0</v>
      </c>
      <c r="H83" s="11"/>
      <c r="I83" s="10"/>
      <c r="J83" s="10"/>
      <c r="K83" s="10"/>
      <c r="L83" s="14"/>
      <c r="M83" s="10"/>
      <c r="N83" s="13"/>
      <c r="O83" s="10"/>
      <c r="P83" s="10"/>
      <c r="Q83" s="14"/>
    </row>
    <row r="84" spans="4:17" ht="13" thickBot="1">
      <c r="E84" s="10"/>
      <c r="F84" s="10"/>
      <c r="G84" s="10"/>
      <c r="H84" s="13" t="s">
        <v>21</v>
      </c>
      <c r="I84" s="9" t="str">
        <f>IF(OR(H83="",H85=""),"",+IF(H83&gt;H85,E83,E85))</f>
        <v/>
      </c>
      <c r="J84" s="17"/>
      <c r="K84" s="10"/>
      <c r="L84" s="14"/>
      <c r="M84" s="10"/>
      <c r="N84" s="14"/>
      <c r="O84" s="10"/>
      <c r="P84" s="10"/>
      <c r="Q84" s="14"/>
    </row>
    <row r="85" spans="4:17" ht="13" thickBot="1">
      <c r="D85">
        <v>39</v>
      </c>
      <c r="E85" s="9"/>
      <c r="F85" s="9"/>
      <c r="G85" s="9">
        <f>E85</f>
        <v>0</v>
      </c>
      <c r="H85" s="16"/>
      <c r="I85" s="10"/>
      <c r="J85" s="14"/>
      <c r="K85" s="10"/>
      <c r="L85" s="14"/>
      <c r="M85" s="10"/>
      <c r="N85" s="14"/>
      <c r="O85" s="10"/>
      <c r="P85" s="10"/>
      <c r="Q85" s="14"/>
    </row>
    <row r="86" spans="4:17" ht="13" thickBot="1">
      <c r="E86" s="10"/>
      <c r="F86" s="10"/>
      <c r="G86" s="10"/>
      <c r="H86" s="10"/>
      <c r="I86" s="10"/>
      <c r="J86" s="14" t="s">
        <v>44</v>
      </c>
      <c r="K86" s="9" t="str">
        <f>IF(OR(J84="",J88=""),"",+IF(J84&gt;J88,I84,I88))</f>
        <v/>
      </c>
      <c r="L86" s="16"/>
      <c r="M86" s="10"/>
      <c r="N86" s="14"/>
      <c r="O86" s="10"/>
      <c r="P86" s="10"/>
      <c r="Q86" s="14"/>
    </row>
    <row r="87" spans="4:17" ht="13" thickBot="1">
      <c r="D87">
        <v>40</v>
      </c>
      <c r="E87" s="9"/>
      <c r="F87" s="9"/>
      <c r="G87" s="9">
        <f>E87</f>
        <v>0</v>
      </c>
      <c r="H87" s="11"/>
      <c r="I87" s="10"/>
      <c r="J87" s="14"/>
      <c r="K87" s="10"/>
      <c r="L87" s="10"/>
      <c r="M87" s="10"/>
      <c r="N87" s="14"/>
      <c r="O87" s="10"/>
      <c r="P87" s="10"/>
      <c r="Q87" s="14"/>
    </row>
    <row r="88" spans="4:17" ht="13" thickBot="1">
      <c r="E88" s="10"/>
      <c r="F88" s="10"/>
      <c r="G88" s="10"/>
      <c r="H88" s="13" t="s">
        <v>22</v>
      </c>
      <c r="I88" s="9" t="str">
        <f>IF(OR(H87="",H89=""),"",+IF(H87&gt;H89,E87,E89))</f>
        <v/>
      </c>
      <c r="J88" s="16"/>
      <c r="K88" s="10"/>
      <c r="L88" s="10"/>
      <c r="M88" s="10"/>
      <c r="N88" s="14"/>
      <c r="O88" s="10"/>
      <c r="P88" s="10"/>
      <c r="Q88" s="14"/>
    </row>
    <row r="89" spans="4:17" ht="13" thickBot="1">
      <c r="D89">
        <v>41</v>
      </c>
      <c r="E89" s="9"/>
      <c r="F89" s="9"/>
      <c r="G89" s="9">
        <f>E89</f>
        <v>0</v>
      </c>
      <c r="H89" s="16"/>
      <c r="I89" s="10"/>
      <c r="J89" s="10"/>
      <c r="K89" s="10"/>
      <c r="L89" s="10"/>
      <c r="M89" s="10"/>
      <c r="N89" s="14"/>
      <c r="O89" s="10"/>
      <c r="P89" s="10"/>
      <c r="Q89" s="14"/>
    </row>
    <row r="90" spans="4:17" ht="13" thickBot="1">
      <c r="E90" s="10"/>
      <c r="F90" s="10"/>
      <c r="G90" s="10"/>
      <c r="H90" s="10"/>
      <c r="I90" s="10"/>
      <c r="J90" s="10"/>
      <c r="K90" s="10"/>
      <c r="L90" s="10"/>
      <c r="M90" s="10"/>
      <c r="N90" s="14" t="s">
        <v>61</v>
      </c>
      <c r="O90" s="9" t="str">
        <f>IF(OR(N82="",N98=""),"",+IF(N82&gt;N98,M82,M98))</f>
        <v/>
      </c>
      <c r="P90" s="17"/>
      <c r="Q90" s="14"/>
    </row>
    <row r="91" spans="4:17" ht="13" thickBot="1">
      <c r="D91">
        <v>42</v>
      </c>
      <c r="E91" s="9"/>
      <c r="F91" s="9"/>
      <c r="G91" s="9">
        <f>E91</f>
        <v>0</v>
      </c>
      <c r="H91" s="11"/>
      <c r="I91" s="10"/>
      <c r="J91" s="10"/>
      <c r="K91" s="10"/>
      <c r="L91" s="10"/>
      <c r="M91" s="10"/>
      <c r="N91" s="14"/>
      <c r="O91" s="10"/>
      <c r="P91" s="14"/>
      <c r="Q91" s="14"/>
    </row>
    <row r="92" spans="4:17" ht="13" thickBot="1">
      <c r="E92" s="10"/>
      <c r="F92" s="10"/>
      <c r="G92" s="10"/>
      <c r="H92" s="13" t="s">
        <v>23</v>
      </c>
      <c r="I92" s="9" t="str">
        <f>IF(OR(H91="",H93=""),"",+IF(H91&gt;H93,E91,E93))</f>
        <v/>
      </c>
      <c r="J92" s="17"/>
      <c r="K92" s="10"/>
      <c r="L92" s="10"/>
      <c r="M92" s="10"/>
      <c r="N92" s="14"/>
      <c r="O92" s="10"/>
      <c r="P92" s="14"/>
      <c r="Q92" s="14"/>
    </row>
    <row r="93" spans="4:17" ht="13" thickBot="1">
      <c r="D93">
        <v>43</v>
      </c>
      <c r="E93" s="9"/>
      <c r="F93" s="9"/>
      <c r="G93" s="9">
        <f>E93</f>
        <v>0</v>
      </c>
      <c r="H93" s="16"/>
      <c r="I93" s="10"/>
      <c r="J93" s="14"/>
      <c r="K93" s="10"/>
      <c r="L93" s="10"/>
      <c r="M93" s="10"/>
      <c r="N93" s="14"/>
      <c r="O93" s="10"/>
      <c r="P93" s="14"/>
      <c r="Q93" s="14"/>
    </row>
    <row r="94" spans="4:17" ht="13" thickBot="1">
      <c r="E94" s="10"/>
      <c r="F94" s="10"/>
      <c r="G94" s="10"/>
      <c r="H94" s="10"/>
      <c r="I94" s="10"/>
      <c r="J94" s="14" t="s">
        <v>45</v>
      </c>
      <c r="K94" s="9" t="str">
        <f>IF(OR(J92="",J96=""),"",+IF(J92&gt;J96,I92,I96))</f>
        <v/>
      </c>
      <c r="L94" s="17"/>
      <c r="M94" s="10"/>
      <c r="N94" s="14"/>
      <c r="O94" s="10"/>
      <c r="P94" s="14"/>
      <c r="Q94" s="14"/>
    </row>
    <row r="95" spans="4:17" ht="13" thickBot="1">
      <c r="D95">
        <v>44</v>
      </c>
      <c r="E95" s="9"/>
      <c r="F95" s="9"/>
      <c r="G95" s="9">
        <f>E95</f>
        <v>0</v>
      </c>
      <c r="H95" s="11"/>
      <c r="I95" s="10"/>
      <c r="J95" s="14"/>
      <c r="K95" s="10"/>
      <c r="L95" s="13"/>
      <c r="M95" s="10"/>
      <c r="N95" s="14"/>
      <c r="O95" s="10"/>
      <c r="P95" s="14"/>
      <c r="Q95" s="14"/>
    </row>
    <row r="96" spans="4:17" ht="13" thickBot="1">
      <c r="E96" s="10"/>
      <c r="F96" s="10"/>
      <c r="G96" s="10"/>
      <c r="H96" s="13" t="s">
        <v>24</v>
      </c>
      <c r="I96" s="9" t="str">
        <f>IF(OR(H95="",H97=""),"",+IF(H95&gt;H97,E95,E97))</f>
        <v/>
      </c>
      <c r="J96" s="16"/>
      <c r="K96" s="10"/>
      <c r="L96" s="14"/>
      <c r="M96" s="10"/>
      <c r="N96" s="14"/>
      <c r="O96" s="10"/>
      <c r="P96" s="14"/>
      <c r="Q96" s="14"/>
    </row>
    <row r="97" spans="4:17" ht="13" thickBot="1">
      <c r="D97">
        <v>45</v>
      </c>
      <c r="E97" s="9"/>
      <c r="F97" s="9"/>
      <c r="G97" s="9">
        <f>E97</f>
        <v>0</v>
      </c>
      <c r="H97" s="16"/>
      <c r="I97" s="10"/>
      <c r="J97" s="10"/>
      <c r="K97" s="10"/>
      <c r="L97" s="14"/>
      <c r="M97" s="10"/>
      <c r="N97" s="14"/>
      <c r="O97" s="10"/>
      <c r="P97" s="14"/>
      <c r="Q97" s="14"/>
    </row>
    <row r="98" spans="4:17" ht="13" thickBot="1">
      <c r="E98" s="10"/>
      <c r="F98" s="10"/>
      <c r="G98" s="10"/>
      <c r="H98" s="10"/>
      <c r="I98" s="10"/>
      <c r="J98" s="10"/>
      <c r="K98" s="10"/>
      <c r="L98" s="14" t="s">
        <v>56</v>
      </c>
      <c r="M98" s="9" t="str">
        <f>IF(OR(L94="",L102=""),"",+IF(L94&gt;L102,K94,K102))</f>
        <v/>
      </c>
      <c r="N98" s="16"/>
      <c r="O98" s="10"/>
      <c r="P98" s="14"/>
      <c r="Q98" s="14"/>
    </row>
    <row r="99" spans="4:17" ht="13" thickBot="1">
      <c r="D99">
        <v>46</v>
      </c>
      <c r="E99" s="9"/>
      <c r="F99" s="9"/>
      <c r="G99" s="9">
        <f>E99</f>
        <v>0</v>
      </c>
      <c r="H99" s="11"/>
      <c r="I99" s="10"/>
      <c r="J99" s="10"/>
      <c r="K99" s="10"/>
      <c r="L99" s="14"/>
      <c r="M99" s="10"/>
      <c r="N99" s="10"/>
      <c r="O99" s="10"/>
      <c r="P99" s="14"/>
      <c r="Q99" s="14"/>
    </row>
    <row r="100" spans="4:17" ht="13" thickBot="1">
      <c r="E100" s="10"/>
      <c r="F100" s="10"/>
      <c r="G100" s="10"/>
      <c r="H100" s="13" t="s">
        <v>25</v>
      </c>
      <c r="I100" s="9" t="str">
        <f>IF(OR(H99="",H101=""),"",+IF(H99&gt;H101,E99,E101))</f>
        <v/>
      </c>
      <c r="J100" s="17"/>
      <c r="K100" s="10"/>
      <c r="L100" s="14"/>
      <c r="M100" s="10"/>
      <c r="N100" s="10"/>
      <c r="O100" s="10"/>
      <c r="P100" s="14"/>
      <c r="Q100" s="14"/>
    </row>
    <row r="101" spans="4:17" ht="13" thickBot="1">
      <c r="D101">
        <v>47</v>
      </c>
      <c r="E101" s="9"/>
      <c r="F101" s="9"/>
      <c r="G101" s="9">
        <f>E101</f>
        <v>0</v>
      </c>
      <c r="H101" s="16"/>
      <c r="I101" s="10"/>
      <c r="J101" s="14"/>
      <c r="K101" s="10"/>
      <c r="L101" s="14"/>
      <c r="M101" s="10"/>
      <c r="N101" s="10"/>
      <c r="O101" s="10"/>
      <c r="P101" s="14"/>
      <c r="Q101" s="14"/>
    </row>
    <row r="102" spans="4:17" ht="13" thickBot="1">
      <c r="E102" s="10"/>
      <c r="F102" s="10"/>
      <c r="G102" s="10"/>
      <c r="H102" s="10"/>
      <c r="I102" s="10"/>
      <c r="J102" s="14" t="s">
        <v>46</v>
      </c>
      <c r="K102" s="9" t="str">
        <f>IF(OR(J100="",J104=""),"",+IF(J100&gt;J104,I100,I104))</f>
        <v/>
      </c>
      <c r="L102" s="16"/>
      <c r="M102" s="10"/>
      <c r="N102" s="10"/>
      <c r="O102" s="10"/>
      <c r="P102" s="14"/>
      <c r="Q102" s="14"/>
    </row>
    <row r="103" spans="4:17" ht="13" thickBot="1">
      <c r="D103">
        <v>48</v>
      </c>
      <c r="E103" s="9"/>
      <c r="F103" s="9"/>
      <c r="G103" s="9">
        <f>E103</f>
        <v>0</v>
      </c>
      <c r="H103" s="11"/>
      <c r="I103" s="10"/>
      <c r="J103" s="14"/>
      <c r="K103" s="10"/>
      <c r="L103" s="10"/>
      <c r="M103" s="10"/>
      <c r="N103" s="10"/>
      <c r="O103" s="10"/>
      <c r="P103" s="14"/>
      <c r="Q103" s="14"/>
    </row>
    <row r="104" spans="4:17" ht="13" thickBot="1">
      <c r="E104" s="10"/>
      <c r="F104" s="10"/>
      <c r="G104" s="10"/>
      <c r="H104" s="13" t="s">
        <v>26</v>
      </c>
      <c r="I104" s="9" t="str">
        <f>IF(OR(H103="",H105=""),"",+IF(H103&gt;H105,E103,E105))</f>
        <v/>
      </c>
      <c r="J104" s="16"/>
      <c r="K104" s="10"/>
      <c r="L104" s="10"/>
      <c r="M104" s="10"/>
      <c r="N104" s="10"/>
      <c r="O104" s="10"/>
      <c r="P104" s="14"/>
      <c r="Q104" s="14"/>
    </row>
    <row r="105" spans="4:17" ht="13" thickBot="1">
      <c r="D105">
        <v>49</v>
      </c>
      <c r="E105" s="9"/>
      <c r="F105" s="9"/>
      <c r="G105" s="9">
        <f>E105</f>
        <v>0</v>
      </c>
      <c r="H105" s="16"/>
      <c r="I105" s="10"/>
      <c r="J105" s="10"/>
      <c r="K105" s="10"/>
      <c r="L105" s="10"/>
      <c r="M105" s="10"/>
      <c r="N105" s="10"/>
      <c r="O105" s="10"/>
      <c r="P105" s="14"/>
      <c r="Q105" s="14"/>
    </row>
    <row r="106" spans="4:17" ht="13" thickBot="1"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4" t="s">
        <v>64</v>
      </c>
      <c r="Q106" s="67" t="str">
        <f>IF(OR(P90="",P125=""),"",+IF(P90&gt;P125,O90,O125))</f>
        <v/>
      </c>
    </row>
    <row r="107" spans="4:17" ht="13" thickBot="1">
      <c r="D107">
        <v>50</v>
      </c>
      <c r="E107" s="9"/>
      <c r="F107" s="9"/>
      <c r="G107" s="9">
        <f>E107</f>
        <v>0</v>
      </c>
      <c r="H107" s="11"/>
      <c r="I107" s="10"/>
      <c r="J107" s="10"/>
      <c r="K107" s="10"/>
      <c r="L107" s="10"/>
      <c r="M107" s="10"/>
      <c r="N107" s="10"/>
      <c r="O107" s="10"/>
      <c r="P107" s="14"/>
      <c r="Q107" s="10"/>
    </row>
    <row r="108" spans="4:17">
      <c r="E108" s="12"/>
      <c r="F108" s="10"/>
      <c r="G108" s="10"/>
      <c r="H108" s="13"/>
      <c r="I108" s="10"/>
      <c r="J108" s="10"/>
      <c r="K108" s="10"/>
      <c r="L108" s="10"/>
      <c r="M108" s="10"/>
      <c r="N108" s="10"/>
      <c r="O108" s="10"/>
      <c r="P108" s="14"/>
      <c r="Q108" s="10"/>
    </row>
    <row r="109" spans="4:17" ht="13" thickBot="1">
      <c r="E109" s="10"/>
      <c r="F109" s="10"/>
      <c r="G109" s="10"/>
      <c r="H109" s="14" t="s">
        <v>27</v>
      </c>
      <c r="I109" s="9" t="str">
        <f>IF(OR(H107="",H111=""),"",+IF(H107&gt;H111,E107,G111))</f>
        <v/>
      </c>
      <c r="J109" s="11"/>
      <c r="K109" s="10"/>
      <c r="L109" s="10"/>
      <c r="M109" s="10"/>
      <c r="N109" s="10"/>
      <c r="O109" s="10"/>
      <c r="P109" s="14"/>
      <c r="Q109" s="10"/>
    </row>
    <row r="110" spans="4:17" ht="13" thickBot="1">
      <c r="D110">
        <v>51</v>
      </c>
      <c r="E110" s="10"/>
      <c r="F110" s="11"/>
      <c r="G110" s="10"/>
      <c r="H110" s="14"/>
      <c r="I110" s="10"/>
      <c r="J110" s="13"/>
      <c r="K110" s="10"/>
      <c r="L110" s="10"/>
      <c r="M110" s="10"/>
      <c r="N110" s="10"/>
      <c r="O110" s="10"/>
      <c r="P110" s="14"/>
      <c r="Q110" s="10"/>
    </row>
    <row r="111" spans="4:17" ht="13" thickBot="1">
      <c r="E111" s="12"/>
      <c r="F111" s="13" t="s">
        <v>2</v>
      </c>
      <c r="G111" s="9" t="str">
        <f>IF(OR(F110="",F112=""),"",+IF(F110&gt;F112,E110,E112))</f>
        <v/>
      </c>
      <c r="H111" s="16"/>
      <c r="I111" s="10"/>
      <c r="J111" s="14"/>
      <c r="K111" s="10"/>
      <c r="L111" s="10"/>
      <c r="M111" s="10"/>
      <c r="N111" s="10"/>
      <c r="O111" s="10"/>
      <c r="P111" s="14"/>
      <c r="Q111" s="10"/>
    </row>
    <row r="112" spans="4:17" ht="13" thickBot="1">
      <c r="D112">
        <v>52</v>
      </c>
      <c r="E112" s="10"/>
      <c r="F112" s="16"/>
      <c r="G112" s="10"/>
      <c r="H112" s="10"/>
      <c r="I112" s="10"/>
      <c r="J112" s="14" t="s">
        <v>47</v>
      </c>
      <c r="K112" s="9" t="str">
        <f>IF(OR(J109="",J115=""),"",+IF(J109&gt;J115,I109,I115))</f>
        <v/>
      </c>
      <c r="L112" s="17"/>
      <c r="M112" s="10"/>
      <c r="N112" s="10"/>
      <c r="O112" s="10"/>
      <c r="P112" s="14"/>
      <c r="Q112" s="10"/>
    </row>
    <row r="113" spans="4:17">
      <c r="E113" s="12"/>
      <c r="F113" s="10"/>
      <c r="G113" s="10"/>
      <c r="H113" s="10"/>
      <c r="I113" s="10"/>
      <c r="J113" s="14"/>
      <c r="K113" s="10"/>
      <c r="L113" s="10"/>
      <c r="M113" s="19"/>
      <c r="N113" s="10"/>
      <c r="O113" s="10"/>
      <c r="P113" s="14"/>
      <c r="Q113" s="10"/>
    </row>
    <row r="114" spans="4:17" ht="13" thickBot="1">
      <c r="D114">
        <v>53</v>
      </c>
      <c r="E114" s="9"/>
      <c r="F114" s="9"/>
      <c r="G114" s="9">
        <f>E114</f>
        <v>0</v>
      </c>
      <c r="H114" s="11"/>
      <c r="I114" s="10"/>
      <c r="J114" s="14"/>
      <c r="K114" s="10"/>
      <c r="L114" s="10"/>
      <c r="M114" s="19"/>
      <c r="N114" s="10"/>
      <c r="O114" s="10"/>
      <c r="P114" s="14"/>
      <c r="Q114" s="10"/>
    </row>
    <row r="115" spans="4:17" ht="13" thickBot="1">
      <c r="E115" s="10"/>
      <c r="F115" s="10"/>
      <c r="G115" s="10"/>
      <c r="H115" s="13" t="s">
        <v>28</v>
      </c>
      <c r="I115" s="9" t="str">
        <f>IF(OR(H114="",H116=""),"",+IF(H114&gt;H116,E114,E116))</f>
        <v/>
      </c>
      <c r="J115" s="16"/>
      <c r="K115" s="10"/>
      <c r="L115" s="10"/>
      <c r="M115" s="19"/>
      <c r="N115" s="10"/>
      <c r="O115" s="10"/>
      <c r="P115" s="14"/>
      <c r="Q115" s="10"/>
    </row>
    <row r="116" spans="4:17" ht="13" thickBot="1">
      <c r="D116">
        <v>54</v>
      </c>
      <c r="E116" s="9"/>
      <c r="F116" s="9"/>
      <c r="G116" s="9">
        <f>E116</f>
        <v>0</v>
      </c>
      <c r="H116" s="16"/>
      <c r="I116" s="10"/>
      <c r="J116" s="10"/>
      <c r="K116" s="10"/>
      <c r="L116" s="10"/>
      <c r="M116" s="19"/>
      <c r="N116" s="10"/>
      <c r="O116" s="10"/>
      <c r="P116" s="14"/>
      <c r="Q116" s="10"/>
    </row>
    <row r="117" spans="4:17" ht="13" thickBot="1">
      <c r="E117" s="10"/>
      <c r="F117" s="10"/>
      <c r="G117" s="10"/>
      <c r="H117" s="10"/>
      <c r="I117" s="10"/>
      <c r="J117" s="10"/>
      <c r="K117" s="10"/>
      <c r="L117" s="14" t="s">
        <v>57</v>
      </c>
      <c r="M117" s="9" t="str">
        <f>IF(OR(L112="",L121=""),"",+IF(L112&gt;L121,K112,K121))</f>
        <v/>
      </c>
      <c r="N117" s="17"/>
      <c r="O117" s="10"/>
      <c r="P117" s="14"/>
      <c r="Q117" s="10"/>
    </row>
    <row r="118" spans="4:17" ht="13" thickBot="1">
      <c r="D118">
        <v>55</v>
      </c>
      <c r="E118" s="9"/>
      <c r="F118" s="9"/>
      <c r="G118" s="9">
        <f>E118</f>
        <v>0</v>
      </c>
      <c r="H118" s="11"/>
      <c r="I118" s="10"/>
      <c r="J118" s="10"/>
      <c r="K118" s="10"/>
      <c r="L118" s="10"/>
      <c r="M118" s="19"/>
      <c r="N118" s="13"/>
      <c r="O118" s="10"/>
      <c r="P118" s="14"/>
      <c r="Q118" s="10"/>
    </row>
    <row r="119" spans="4:17" ht="13" thickBot="1">
      <c r="E119" s="10"/>
      <c r="F119" s="10"/>
      <c r="G119" s="12"/>
      <c r="H119" s="13" t="s">
        <v>29</v>
      </c>
      <c r="I119" s="9" t="str">
        <f>IF(OR(H118="",H120=""),"",+IF(H118&gt;H120,E118,E120))</f>
        <v/>
      </c>
      <c r="J119" s="17"/>
      <c r="K119" s="10"/>
      <c r="L119" s="10"/>
      <c r="M119" s="19"/>
      <c r="N119" s="14"/>
      <c r="O119" s="10"/>
      <c r="P119" s="14"/>
      <c r="Q119" s="10"/>
    </row>
    <row r="120" spans="4:17" ht="13" thickBot="1">
      <c r="D120">
        <v>56</v>
      </c>
      <c r="E120" s="9"/>
      <c r="F120" s="9"/>
      <c r="G120" s="9">
        <f>E120</f>
        <v>0</v>
      </c>
      <c r="H120" s="16"/>
      <c r="I120" s="10"/>
      <c r="J120" s="14"/>
      <c r="K120" s="10"/>
      <c r="L120" s="10"/>
      <c r="M120" s="19"/>
      <c r="N120" s="14"/>
      <c r="O120" s="10"/>
      <c r="P120" s="14"/>
      <c r="Q120" s="10"/>
    </row>
    <row r="121" spans="4:17" ht="13" thickBot="1">
      <c r="E121" s="10"/>
      <c r="F121" s="10"/>
      <c r="G121" s="12"/>
      <c r="H121" s="10"/>
      <c r="I121" s="10"/>
      <c r="J121" s="14" t="s">
        <v>48</v>
      </c>
      <c r="K121" s="9" t="str">
        <f>IF(OR(J119="",J123=""),"",+IF(J119&gt;J123,I119,I123))</f>
        <v/>
      </c>
      <c r="L121" s="16"/>
      <c r="M121" s="19"/>
      <c r="N121" s="14"/>
      <c r="O121" s="10"/>
      <c r="P121" s="14"/>
      <c r="Q121" s="10"/>
    </row>
    <row r="122" spans="4:17" ht="13" thickBot="1">
      <c r="D122">
        <v>57</v>
      </c>
      <c r="E122" s="9"/>
      <c r="F122" s="9"/>
      <c r="G122" s="9">
        <f>E122</f>
        <v>0</v>
      </c>
      <c r="H122" s="11"/>
      <c r="I122" s="10"/>
      <c r="J122" s="14"/>
      <c r="K122" s="10"/>
      <c r="L122" s="10"/>
      <c r="M122" s="10"/>
      <c r="N122" s="14"/>
      <c r="O122" s="10"/>
      <c r="P122" s="14"/>
      <c r="Q122" s="10"/>
    </row>
    <row r="123" spans="4:17" ht="13" thickBot="1">
      <c r="E123" s="10"/>
      <c r="F123" s="10"/>
      <c r="G123" s="12"/>
      <c r="H123" s="13" t="s">
        <v>30</v>
      </c>
      <c r="I123" s="9" t="str">
        <f>IF(OR(H122="",H124=""),"",+IF(H122&gt;H124,E122,E124))</f>
        <v/>
      </c>
      <c r="J123" s="16"/>
      <c r="K123" s="10"/>
      <c r="L123" s="10"/>
      <c r="M123" s="10"/>
      <c r="N123" s="14"/>
      <c r="O123" s="10"/>
      <c r="P123" s="14"/>
      <c r="Q123" s="10"/>
    </row>
    <row r="124" spans="4:17" ht="13" thickBot="1">
      <c r="D124">
        <v>58</v>
      </c>
      <c r="E124" s="9"/>
      <c r="F124" s="9"/>
      <c r="G124" s="9">
        <f>E124</f>
        <v>0</v>
      </c>
      <c r="H124" s="16"/>
      <c r="I124" s="10"/>
      <c r="J124" s="10"/>
      <c r="K124" s="10"/>
      <c r="L124" s="10"/>
      <c r="M124" s="10"/>
      <c r="N124" s="14"/>
      <c r="O124" s="10"/>
      <c r="P124" s="14"/>
      <c r="Q124" s="10"/>
    </row>
    <row r="125" spans="4:17" ht="13" thickBot="1">
      <c r="E125" s="10"/>
      <c r="F125" s="10"/>
      <c r="G125" s="10"/>
      <c r="H125" s="10"/>
      <c r="I125" s="10"/>
      <c r="J125" s="10"/>
      <c r="K125" s="10"/>
      <c r="L125" s="10"/>
      <c r="M125" s="10"/>
      <c r="N125" s="14" t="s">
        <v>62</v>
      </c>
      <c r="O125" s="9" t="str">
        <f>IF(OR(N117="",N133=""),"",+IF(N117&gt;N133,M117,M133))</f>
        <v/>
      </c>
      <c r="P125" s="16"/>
      <c r="Q125" s="10"/>
    </row>
    <row r="126" spans="4:17" ht="13" thickBot="1">
      <c r="D126">
        <v>59</v>
      </c>
      <c r="E126" s="9"/>
      <c r="F126" s="9"/>
      <c r="G126" s="9">
        <f>E126</f>
        <v>0</v>
      </c>
      <c r="H126" s="11"/>
      <c r="I126" s="10"/>
      <c r="J126" s="10"/>
      <c r="K126" s="10"/>
      <c r="L126" s="10"/>
      <c r="M126" s="10"/>
      <c r="N126" s="14"/>
      <c r="O126" s="10"/>
      <c r="P126" s="10"/>
      <c r="Q126" s="10"/>
    </row>
    <row r="127" spans="4:17" ht="13" thickBot="1">
      <c r="E127" s="10"/>
      <c r="F127" s="10"/>
      <c r="G127" s="10"/>
      <c r="H127" s="13" t="s">
        <v>31</v>
      </c>
      <c r="I127" s="9" t="str">
        <f>IF(OR(H126="",H128=""),"",+IF(H126&gt;H128,E126,E128))</f>
        <v/>
      </c>
      <c r="J127" s="17"/>
      <c r="K127" s="10"/>
      <c r="L127" s="10"/>
      <c r="M127" s="10"/>
      <c r="N127" s="14"/>
      <c r="O127" s="10"/>
      <c r="P127" s="10"/>
      <c r="Q127" s="10"/>
    </row>
    <row r="128" spans="4:17" ht="13" thickBot="1">
      <c r="D128">
        <v>60</v>
      </c>
      <c r="E128" s="9"/>
      <c r="F128" s="9"/>
      <c r="G128" s="9">
        <f>E128</f>
        <v>0</v>
      </c>
      <c r="H128" s="16"/>
      <c r="I128" s="10"/>
      <c r="J128" s="14"/>
      <c r="K128" s="10"/>
      <c r="L128" s="10"/>
      <c r="M128" s="10"/>
      <c r="N128" s="14"/>
      <c r="O128" s="10"/>
      <c r="P128" s="10"/>
      <c r="Q128" s="10"/>
    </row>
    <row r="129" spans="4:17" ht="13" thickBot="1">
      <c r="E129" s="10"/>
      <c r="F129" s="10"/>
      <c r="G129" s="10"/>
      <c r="H129" s="10"/>
      <c r="I129" s="10"/>
      <c r="J129" s="14" t="s">
        <v>49</v>
      </c>
      <c r="K129" s="9" t="str">
        <f>IF(OR(J127="",J131=""),"",+IF(J127&gt;J131,I127,I131))</f>
        <v/>
      </c>
      <c r="L129" s="17"/>
      <c r="M129" s="10"/>
      <c r="N129" s="14"/>
      <c r="O129" s="10"/>
      <c r="P129" s="10"/>
      <c r="Q129" s="10"/>
    </row>
    <row r="130" spans="4:17" ht="13" thickBot="1">
      <c r="D130">
        <v>61</v>
      </c>
      <c r="E130" s="9"/>
      <c r="F130" s="9"/>
      <c r="G130" s="9">
        <f>E130</f>
        <v>0</v>
      </c>
      <c r="H130" s="11"/>
      <c r="I130" s="10"/>
      <c r="J130" s="14"/>
      <c r="K130" s="10"/>
      <c r="L130" s="13"/>
      <c r="M130" s="10"/>
      <c r="N130" s="14"/>
      <c r="O130" s="10"/>
      <c r="P130" s="10"/>
      <c r="Q130" s="10"/>
    </row>
    <row r="131" spans="4:17" ht="13" thickBot="1">
      <c r="E131" s="10"/>
      <c r="F131" s="10"/>
      <c r="G131" s="10"/>
      <c r="H131" s="13" t="s">
        <v>32</v>
      </c>
      <c r="I131" s="9" t="str">
        <f>IF(OR(H130="",H132=""),"",+IF(H130&gt;H132,E130,E132))</f>
        <v/>
      </c>
      <c r="J131" s="16"/>
      <c r="K131" s="10"/>
      <c r="L131" s="14"/>
      <c r="M131" s="10"/>
      <c r="N131" s="14"/>
      <c r="O131" s="10"/>
      <c r="P131" s="10"/>
      <c r="Q131" s="10"/>
    </row>
    <row r="132" spans="4:17" ht="13" thickBot="1">
      <c r="D132">
        <v>62</v>
      </c>
      <c r="E132" s="9"/>
      <c r="F132" s="9"/>
      <c r="G132" s="9">
        <f>E132</f>
        <v>0</v>
      </c>
      <c r="H132" s="16"/>
      <c r="I132" s="10"/>
      <c r="J132" s="10"/>
      <c r="K132" s="10"/>
      <c r="L132" s="14"/>
      <c r="M132" s="10"/>
      <c r="N132" s="14"/>
      <c r="O132" s="10"/>
      <c r="P132" s="10"/>
      <c r="Q132" s="10"/>
    </row>
    <row r="133" spans="4:17" ht="13" thickBot="1">
      <c r="E133" s="10"/>
      <c r="F133" s="10"/>
      <c r="G133" s="10"/>
      <c r="H133" s="10"/>
      <c r="I133" s="10"/>
      <c r="J133" s="10"/>
      <c r="K133" s="10"/>
      <c r="L133" s="14" t="s">
        <v>58</v>
      </c>
      <c r="M133" s="9" t="str">
        <f>IF(OR(L129="",L137=""),"",+IF(L129&gt;L137,K129,K137))</f>
        <v/>
      </c>
      <c r="N133" s="16"/>
      <c r="O133" s="10"/>
      <c r="P133" s="10"/>
      <c r="Q133" s="10"/>
    </row>
    <row r="134" spans="4:17" ht="13" thickBot="1">
      <c r="D134">
        <v>63</v>
      </c>
      <c r="E134" s="9"/>
      <c r="F134" s="9"/>
      <c r="G134" s="9">
        <f>E134</f>
        <v>0</v>
      </c>
      <c r="H134" s="11"/>
      <c r="I134" s="10"/>
      <c r="J134" s="10"/>
      <c r="K134" s="10"/>
      <c r="L134" s="14"/>
      <c r="M134" s="10"/>
      <c r="N134" s="10"/>
      <c r="O134" s="10"/>
      <c r="P134" s="10"/>
      <c r="Q134" s="10"/>
    </row>
    <row r="135" spans="4:17" ht="13" thickBot="1">
      <c r="E135" s="10"/>
      <c r="F135" s="10"/>
      <c r="G135" s="10"/>
      <c r="H135" s="13" t="s">
        <v>33</v>
      </c>
      <c r="I135" s="9" t="str">
        <f>IF(OR(H134="",H136=""),"",+IF(H134&gt;H136,E134,E136))</f>
        <v/>
      </c>
      <c r="J135" s="17"/>
      <c r="K135" s="10"/>
      <c r="L135" s="14"/>
      <c r="M135" s="10"/>
      <c r="N135" s="10"/>
      <c r="O135" s="10"/>
      <c r="P135" s="10"/>
      <c r="Q135" s="10"/>
    </row>
    <row r="136" spans="4:17" ht="13" thickBot="1">
      <c r="D136">
        <v>64</v>
      </c>
      <c r="E136" s="9"/>
      <c r="F136" s="9"/>
      <c r="G136" s="9">
        <f>E136</f>
        <v>0</v>
      </c>
      <c r="H136" s="16"/>
      <c r="I136" s="10"/>
      <c r="J136" s="14"/>
      <c r="K136" s="10"/>
      <c r="L136" s="14"/>
      <c r="M136" s="10"/>
      <c r="N136" s="10"/>
      <c r="O136" s="10"/>
      <c r="P136" s="10"/>
      <c r="Q136" s="10"/>
    </row>
    <row r="137" spans="4:17" ht="13" thickBot="1">
      <c r="E137" s="10"/>
      <c r="F137" s="10"/>
      <c r="G137" s="10"/>
      <c r="H137" s="10"/>
      <c r="I137" s="10"/>
      <c r="J137" s="14" t="s">
        <v>50</v>
      </c>
      <c r="K137" s="9" t="str">
        <f>IF(OR(J135="",J139=""),"",+IF(J135&gt;J139,I135,I139))</f>
        <v/>
      </c>
      <c r="L137" s="16"/>
      <c r="M137" s="10"/>
      <c r="N137" s="10"/>
      <c r="O137" s="10"/>
      <c r="P137" s="10"/>
      <c r="Q137" s="10"/>
    </row>
    <row r="138" spans="4:17" ht="13" thickBot="1">
      <c r="D138">
        <v>65</v>
      </c>
      <c r="E138" s="9"/>
      <c r="F138" s="9"/>
      <c r="G138" s="9">
        <f>E138</f>
        <v>0</v>
      </c>
      <c r="H138" s="11"/>
      <c r="I138" s="10"/>
      <c r="J138" s="14"/>
      <c r="K138" s="10"/>
      <c r="L138" s="10"/>
      <c r="M138" s="10"/>
      <c r="N138" s="10"/>
      <c r="O138" s="10"/>
      <c r="P138" s="10"/>
      <c r="Q138" s="10"/>
    </row>
    <row r="139" spans="4:17" ht="13" thickBot="1">
      <c r="E139" s="10"/>
      <c r="F139" s="10"/>
      <c r="G139" s="10"/>
      <c r="H139" s="13" t="s">
        <v>34</v>
      </c>
      <c r="I139" s="9" t="str">
        <f>IF(OR(H138="",H140=""),"",+IF(H138&gt;H140,E138,E140))</f>
        <v/>
      </c>
      <c r="J139" s="16"/>
      <c r="K139" s="10"/>
      <c r="L139" s="10"/>
      <c r="M139" s="10"/>
      <c r="N139" s="10"/>
      <c r="O139" s="10"/>
      <c r="P139" s="10"/>
      <c r="Q139" s="10"/>
    </row>
    <row r="140" spans="4:17" ht="13" thickBot="1">
      <c r="D140">
        <v>66</v>
      </c>
      <c r="E140" s="9"/>
      <c r="F140" s="9"/>
      <c r="G140" s="9">
        <f>E140</f>
        <v>0</v>
      </c>
      <c r="H140" s="16"/>
      <c r="I140" s="10"/>
      <c r="J140" s="10"/>
      <c r="K140" s="10"/>
      <c r="L140" s="10"/>
      <c r="M140" s="10"/>
      <c r="N140" s="10"/>
      <c r="O140" s="10"/>
      <c r="P140" s="10"/>
      <c r="Q140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59"/>
  <dimension ref="D4:AG147"/>
  <sheetViews>
    <sheetView showGridLines="0" topLeftCell="A37" zoomScale="75" workbookViewId="0">
      <selection activeCell="I14" sqref="I14"/>
    </sheetView>
  </sheetViews>
  <sheetFormatPr defaultRowHeight="12.7"/>
  <cols>
    <col min="7" max="7" width="12.410156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3.52734375" customWidth="1"/>
    <col min="16" max="16" width="4.52734375" customWidth="1"/>
    <col min="17" max="17" width="16.87890625" customWidth="1"/>
    <col min="18" max="18" width="13.11718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E107</f>
        <v>0</v>
      </c>
      <c r="V5" t="s">
        <v>77</v>
      </c>
      <c r="W5" s="29">
        <f>E109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E7</f>
        <v>0</v>
      </c>
      <c r="V6" t="s">
        <v>77</v>
      </c>
      <c r="W6" s="29">
        <f>E9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7"/>
      <c r="F7" s="7"/>
      <c r="G7" s="10"/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E11</f>
        <v>0</v>
      </c>
      <c r="V7" t="s">
        <v>77</v>
      </c>
      <c r="W7" s="29">
        <f>E13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 ht="13" thickBot="1">
      <c r="G8" s="12"/>
      <c r="H8" s="13" t="s">
        <v>2</v>
      </c>
      <c r="I8" s="9" t="str">
        <f>IF(OR(H7="",H9=""),"",+IF(H7&gt;H9,G7,G9))</f>
        <v/>
      </c>
      <c r="J8" s="17"/>
      <c r="K8" s="10"/>
      <c r="L8" s="10"/>
      <c r="M8" s="10"/>
      <c r="N8" s="10"/>
      <c r="O8" s="10"/>
      <c r="P8" s="10"/>
      <c r="Q8" s="10"/>
      <c r="T8">
        <v>4</v>
      </c>
      <c r="U8" s="28">
        <f>E15</f>
        <v>0</v>
      </c>
      <c r="V8" t="s">
        <v>77</v>
      </c>
      <c r="W8" s="29">
        <f>E17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D9">
        <v>2</v>
      </c>
      <c r="E9" s="7"/>
      <c r="F9" s="7"/>
      <c r="G9" s="10"/>
      <c r="H9" s="16"/>
      <c r="I9" s="10"/>
      <c r="J9" s="14"/>
      <c r="K9" s="10"/>
      <c r="L9" s="10"/>
      <c r="M9" s="10"/>
      <c r="N9" s="10"/>
      <c r="O9" s="10"/>
      <c r="P9" s="10"/>
      <c r="Q9" s="10"/>
      <c r="T9">
        <v>5</v>
      </c>
      <c r="U9" s="28">
        <f>E19</f>
        <v>0</v>
      </c>
      <c r="V9" t="s">
        <v>77</v>
      </c>
      <c r="W9" s="29">
        <f>E21</f>
        <v>0</v>
      </c>
      <c r="Z9" s="34"/>
      <c r="AA9" s="40"/>
      <c r="AB9" s="40"/>
      <c r="AC9" s="38" t="s">
        <v>159</v>
      </c>
      <c r="AD9" s="48"/>
      <c r="AE9" s="53" t="e">
        <f>LOOKUP(AD9,T$5:T$78,U$5:U$73)</f>
        <v>#N/A</v>
      </c>
      <c r="AF9" s="37" t="s">
        <v>157</v>
      </c>
      <c r="AG9" s="65" t="e">
        <f>LOOKUP(AD9,T$5:T$78,W$5:W$73)</f>
        <v>#N/A</v>
      </c>
    </row>
    <row r="10" spans="4:33" ht="13" thickBot="1">
      <c r="G10" s="12"/>
      <c r="H10" s="10"/>
      <c r="I10" s="10"/>
      <c r="J10" s="14" t="s">
        <v>34</v>
      </c>
      <c r="K10" s="9" t="str">
        <f>IF(OR(J8="",J12=""),"",+IF(J8&gt;J12,I8,I12))</f>
        <v/>
      </c>
      <c r="L10" s="17"/>
      <c r="M10" s="10"/>
      <c r="N10" s="10"/>
      <c r="O10" s="10"/>
      <c r="P10" s="10"/>
      <c r="Q10" s="10"/>
      <c r="T10">
        <v>6</v>
      </c>
      <c r="U10" s="28">
        <f>E23</f>
        <v>0</v>
      </c>
      <c r="V10" t="s">
        <v>77</v>
      </c>
      <c r="W10" s="29">
        <f>E25</f>
        <v>0</v>
      </c>
      <c r="Z10" s="34"/>
      <c r="AA10" s="40"/>
      <c r="AB10" s="40"/>
      <c r="AC10" s="38" t="s">
        <v>159</v>
      </c>
      <c r="AD10" s="48"/>
      <c r="AE10" s="53" t="e">
        <f>LOOKUP(AD10,T$5:T$78,U$5:U$73)</f>
        <v>#N/A</v>
      </c>
      <c r="AF10" s="37" t="s">
        <v>157</v>
      </c>
      <c r="AG10" s="65" t="e">
        <f>LOOKUP(AD10,T$5:T$78,W$5:W$73)</f>
        <v>#N/A</v>
      </c>
    </row>
    <row r="11" spans="4:33" ht="13" thickBot="1">
      <c r="D11">
        <v>3</v>
      </c>
      <c r="E11" s="7"/>
      <c r="F11" s="7"/>
      <c r="G11" s="10"/>
      <c r="H11" s="11"/>
      <c r="I11" s="10"/>
      <c r="J11" s="14"/>
      <c r="K11" s="10"/>
      <c r="L11" s="13"/>
      <c r="M11" s="10"/>
      <c r="N11" s="10"/>
      <c r="O11" s="10"/>
      <c r="P11" s="10"/>
      <c r="Q11" s="10"/>
      <c r="T11">
        <v>7</v>
      </c>
      <c r="U11" s="28">
        <f>E27</f>
        <v>0</v>
      </c>
      <c r="V11" t="s">
        <v>77</v>
      </c>
      <c r="W11" s="29">
        <f>E29</f>
        <v>0</v>
      </c>
      <c r="Z11" s="34"/>
      <c r="AA11" s="40"/>
      <c r="AB11" s="40"/>
      <c r="AC11" s="38" t="s">
        <v>159</v>
      </c>
      <c r="AD11" s="48"/>
      <c r="AE11" s="53" t="e">
        <f>LOOKUP(AD11,T$5:T$78,U$5:U$73)</f>
        <v>#N/A</v>
      </c>
      <c r="AF11" s="37" t="s">
        <v>157</v>
      </c>
      <c r="AG11" s="65" t="e">
        <f>LOOKUP(AD11,T$5:T$78,W$5:W$73)</f>
        <v>#N/A</v>
      </c>
    </row>
    <row r="12" spans="4:33" ht="13" thickBot="1">
      <c r="G12" s="12"/>
      <c r="H12" s="13" t="s">
        <v>3</v>
      </c>
      <c r="I12" s="9" t="str">
        <f>IF(OR(H11="",H13=""),"",+IF(H11&gt;H13,G11,G13))</f>
        <v/>
      </c>
      <c r="J12" s="16"/>
      <c r="K12" s="10"/>
      <c r="L12" s="14"/>
      <c r="M12" s="10"/>
      <c r="N12" s="10"/>
      <c r="O12" s="10"/>
      <c r="P12" s="10"/>
      <c r="Q12" s="10"/>
      <c r="T12">
        <v>8</v>
      </c>
      <c r="U12" s="28">
        <f>E31</f>
        <v>0</v>
      </c>
      <c r="V12" t="s">
        <v>77</v>
      </c>
      <c r="W12" s="29">
        <f>E33</f>
        <v>0</v>
      </c>
      <c r="Z12" s="34"/>
      <c r="AA12" s="40"/>
      <c r="AB12" s="40"/>
      <c r="AC12" s="38" t="s">
        <v>159</v>
      </c>
      <c r="AD12" s="48"/>
      <c r="AE12" s="53" t="e">
        <f>LOOKUP(AD12,T$5:T$78,U$5:U$73)</f>
        <v>#N/A</v>
      </c>
      <c r="AF12" s="37" t="s">
        <v>157</v>
      </c>
      <c r="AG12" s="65" t="e">
        <f>LOOKUP(AD12,T$5:T$78,W$5:W$73)</f>
        <v>#N/A</v>
      </c>
    </row>
    <row r="13" spans="4:33" ht="13" thickBot="1">
      <c r="D13">
        <v>4</v>
      </c>
      <c r="E13" s="7"/>
      <c r="F13" s="7"/>
      <c r="G13" s="10"/>
      <c r="H13" s="16"/>
      <c r="I13" s="10"/>
      <c r="J13" s="10"/>
      <c r="K13" s="10"/>
      <c r="L13" s="14"/>
      <c r="M13" s="10"/>
      <c r="N13" s="10"/>
      <c r="O13" s="10"/>
      <c r="P13" s="10"/>
      <c r="Q13" s="10"/>
      <c r="T13">
        <v>9</v>
      </c>
      <c r="U13" s="28">
        <f>E35</f>
        <v>0</v>
      </c>
      <c r="V13" t="s">
        <v>77</v>
      </c>
      <c r="W13" s="29">
        <f>E37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G14" s="12"/>
      <c r="H14" s="10"/>
      <c r="I14" s="10"/>
      <c r="J14" s="10"/>
      <c r="K14" s="10"/>
      <c r="L14" s="14" t="s">
        <v>50</v>
      </c>
      <c r="M14" s="9" t="str">
        <f>IF(OR(L10="",L18=""),"",+IF(L10&gt;L18,K10,K18))</f>
        <v/>
      </c>
      <c r="N14" s="17"/>
      <c r="O14" s="10"/>
      <c r="P14" s="10"/>
      <c r="Q14" s="10"/>
      <c r="T14">
        <v>10</v>
      </c>
      <c r="U14" s="28">
        <f>E39</f>
        <v>0</v>
      </c>
      <c r="V14" t="s">
        <v>77</v>
      </c>
      <c r="W14" s="29">
        <f>E41</f>
        <v>0</v>
      </c>
      <c r="Z14" s="34"/>
      <c r="AA14" s="40"/>
      <c r="AB14" s="40"/>
      <c r="AC14" s="38" t="s">
        <v>159</v>
      </c>
      <c r="AD14" s="48"/>
      <c r="AE14" s="53" t="e">
        <f>LOOKUP(AD14,T$5:T$78,U$5:U$73)</f>
        <v>#N/A</v>
      </c>
      <c r="AF14" s="37" t="s">
        <v>157</v>
      </c>
      <c r="AG14" s="65" t="e">
        <f>LOOKUP(AD14,T$5:T$78,W$5:W$73)</f>
        <v>#N/A</v>
      </c>
    </row>
    <row r="15" spans="4:33" ht="13" thickBot="1">
      <c r="D15">
        <v>5</v>
      </c>
      <c r="E15" s="7"/>
      <c r="F15" s="7"/>
      <c r="G15" s="10"/>
      <c r="H15" s="11"/>
      <c r="I15" s="10"/>
      <c r="J15" s="10"/>
      <c r="K15" s="10"/>
      <c r="L15" s="14"/>
      <c r="M15" s="10"/>
      <c r="N15" s="13"/>
      <c r="O15" s="10"/>
      <c r="P15" s="10"/>
      <c r="Q15" s="10"/>
      <c r="T15">
        <v>11</v>
      </c>
      <c r="U15" s="28">
        <f>E43</f>
        <v>0</v>
      </c>
      <c r="V15" t="s">
        <v>77</v>
      </c>
      <c r="W15" s="29">
        <f>E45</f>
        <v>0</v>
      </c>
      <c r="Z15" s="34"/>
      <c r="AA15" s="40"/>
      <c r="AB15" s="40"/>
      <c r="AC15" s="38" t="s">
        <v>159</v>
      </c>
      <c r="AD15" s="48"/>
      <c r="AE15" s="53" t="e">
        <f>LOOKUP(AD15,T$5:T$78,U$5:U$73)</f>
        <v>#N/A</v>
      </c>
      <c r="AF15" s="37" t="s">
        <v>157</v>
      </c>
      <c r="AG15" s="65" t="e">
        <f>LOOKUP(AD15,T$5:T$78,W$5:W$73)</f>
        <v>#N/A</v>
      </c>
    </row>
    <row r="16" spans="4:33" ht="13" thickBot="1">
      <c r="G16" s="12"/>
      <c r="H16" s="13" t="s">
        <v>4</v>
      </c>
      <c r="I16" s="9" t="str">
        <f>IF(OR(H15="",H17=""),"",+IF(H15&gt;H17,G15,G17))</f>
        <v/>
      </c>
      <c r="J16" s="17"/>
      <c r="K16" s="10"/>
      <c r="L16" s="14"/>
      <c r="M16" s="10"/>
      <c r="N16" s="14"/>
      <c r="O16" s="10"/>
      <c r="P16" s="10"/>
      <c r="Q16" s="10"/>
      <c r="T16">
        <v>12</v>
      </c>
      <c r="U16" s="28">
        <f>E47</f>
        <v>0</v>
      </c>
      <c r="V16" t="s">
        <v>77</v>
      </c>
      <c r="W16" s="29">
        <f>E49</f>
        <v>0</v>
      </c>
      <c r="Z16" s="34"/>
      <c r="AA16" s="40"/>
      <c r="AB16" s="40"/>
      <c r="AC16" s="38" t="s">
        <v>159</v>
      </c>
      <c r="AD16" s="48"/>
      <c r="AE16" s="53" t="e">
        <f>LOOKUP(AD16,T$5:T$78,U$5:U$73)</f>
        <v>#N/A</v>
      </c>
      <c r="AF16" s="37" t="s">
        <v>157</v>
      </c>
      <c r="AG16" s="65" t="e">
        <f>LOOKUP(AD16,T$5:T$78,W$5:W$73)</f>
        <v>#N/A</v>
      </c>
    </row>
    <row r="17" spans="4:33" ht="13" thickBot="1">
      <c r="D17">
        <v>6</v>
      </c>
      <c r="E17" s="7"/>
      <c r="F17" s="7"/>
      <c r="G17" s="10"/>
      <c r="H17" s="16"/>
      <c r="I17" s="10"/>
      <c r="J17" s="14"/>
      <c r="K17" s="10"/>
      <c r="L17" s="14"/>
      <c r="M17" s="10"/>
      <c r="N17" s="14"/>
      <c r="O17" s="10"/>
      <c r="P17" s="10"/>
      <c r="Q17" s="10"/>
      <c r="T17">
        <v>13</v>
      </c>
      <c r="U17" s="28">
        <f>E51</f>
        <v>0</v>
      </c>
      <c r="V17" t="s">
        <v>77</v>
      </c>
      <c r="W17" s="29">
        <f>E53</f>
        <v>0</v>
      </c>
      <c r="Z17" s="34"/>
      <c r="AA17" s="40"/>
      <c r="AB17" s="40"/>
      <c r="AC17" s="38" t="s">
        <v>159</v>
      </c>
      <c r="AD17" s="48"/>
      <c r="AE17" s="53" t="e">
        <f>LOOKUP(AD17,T$5:T$78,U$5:U$73)</f>
        <v>#N/A</v>
      </c>
      <c r="AF17" s="37" t="s">
        <v>157</v>
      </c>
      <c r="AG17" s="65" t="e">
        <f>LOOKUP(AD17,T$5:T$78,W$5:W$73)</f>
        <v>#N/A</v>
      </c>
    </row>
    <row r="18" spans="4:33" ht="13" thickBot="1">
      <c r="G18" s="12"/>
      <c r="H18" s="10"/>
      <c r="I18" s="10"/>
      <c r="J18" s="14" t="s">
        <v>35</v>
      </c>
      <c r="K18" s="9" t="str">
        <f>IF(OR(J16="",J20=""),"",+IF(J16&gt;J20,I16,I20))</f>
        <v/>
      </c>
      <c r="L18" s="16"/>
      <c r="M18" s="10"/>
      <c r="N18" s="14"/>
      <c r="O18" s="10"/>
      <c r="P18" s="10"/>
      <c r="Q18" s="10"/>
      <c r="T18">
        <v>14</v>
      </c>
      <c r="U18" s="28">
        <f>E55</f>
        <v>0</v>
      </c>
      <c r="V18" t="s">
        <v>77</v>
      </c>
      <c r="W18" s="29">
        <f>E57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D19">
        <v>7</v>
      </c>
      <c r="E19" s="7"/>
      <c r="F19" s="7"/>
      <c r="G19" s="10"/>
      <c r="H19" s="11"/>
      <c r="I19" s="10"/>
      <c r="J19" s="14"/>
      <c r="K19" s="10"/>
      <c r="L19" s="10"/>
      <c r="M19" s="10"/>
      <c r="N19" s="14"/>
      <c r="O19" s="10"/>
      <c r="P19" s="10"/>
      <c r="Q19" s="10"/>
      <c r="T19">
        <v>15</v>
      </c>
      <c r="U19" s="28">
        <f>E59</f>
        <v>0</v>
      </c>
      <c r="V19" t="s">
        <v>77</v>
      </c>
      <c r="W19" s="29">
        <f>E61</f>
        <v>0</v>
      </c>
      <c r="Z19" s="34"/>
      <c r="AA19" s="40"/>
      <c r="AB19" s="40"/>
      <c r="AC19" s="38" t="s">
        <v>159</v>
      </c>
      <c r="AD19" s="48"/>
      <c r="AE19" s="53" t="e">
        <f>LOOKUP(AD19,T$5:T$78,U$5:U$73)</f>
        <v>#N/A</v>
      </c>
      <c r="AF19" s="37" t="s">
        <v>157</v>
      </c>
      <c r="AG19" s="65" t="e">
        <f>LOOKUP(AD19,T$5:T$78,W$5:W$73)</f>
        <v>#N/A</v>
      </c>
    </row>
    <row r="20" spans="4:33" ht="13" thickBot="1">
      <c r="G20" s="12"/>
      <c r="H20" s="13" t="s">
        <v>5</v>
      </c>
      <c r="I20" s="9" t="str">
        <f>IF(OR(H19="",H21=""),"",+IF(H19&gt;H21,G19,G21))</f>
        <v/>
      </c>
      <c r="J20" s="16"/>
      <c r="K20" s="10"/>
      <c r="L20" s="10"/>
      <c r="M20" s="10"/>
      <c r="N20" s="14"/>
      <c r="O20" s="10"/>
      <c r="P20" s="10"/>
      <c r="Q20" s="10"/>
      <c r="T20">
        <v>16</v>
      </c>
      <c r="U20" s="28">
        <f>E63</f>
        <v>0</v>
      </c>
      <c r="V20" t="s">
        <v>77</v>
      </c>
      <c r="W20" s="29">
        <f>E65</f>
        <v>0</v>
      </c>
      <c r="Z20" s="34"/>
      <c r="AA20" s="40"/>
      <c r="AB20" s="40"/>
      <c r="AC20" s="38" t="s">
        <v>159</v>
      </c>
      <c r="AD20" s="48"/>
      <c r="AE20" s="53" t="e">
        <f>LOOKUP(AD20,T$5:T$78,U$5:U$73)</f>
        <v>#N/A</v>
      </c>
      <c r="AF20" s="37" t="s">
        <v>157</v>
      </c>
      <c r="AG20" s="65" t="e">
        <f>LOOKUP(AD20,T$5:T$78,W$5:W$73)</f>
        <v>#N/A</v>
      </c>
    </row>
    <row r="21" spans="4:33" ht="13" thickBot="1">
      <c r="D21">
        <v>8</v>
      </c>
      <c r="E21" s="7"/>
      <c r="F21" s="7"/>
      <c r="G21" s="9"/>
      <c r="H21" s="16"/>
      <c r="I21" s="10"/>
      <c r="J21" s="10"/>
      <c r="K21" s="10"/>
      <c r="L21" s="10"/>
      <c r="M21" s="10"/>
      <c r="N21" s="14"/>
      <c r="O21" s="10"/>
      <c r="P21" s="10"/>
      <c r="Q21" s="10"/>
      <c r="T21">
        <v>17</v>
      </c>
      <c r="U21" s="28">
        <f>E67</f>
        <v>0</v>
      </c>
      <c r="V21" t="s">
        <v>77</v>
      </c>
      <c r="W21" s="29">
        <f>E69</f>
        <v>0</v>
      </c>
      <c r="Z21" s="34"/>
      <c r="AA21" s="40"/>
      <c r="AB21" s="40"/>
      <c r="AC21" s="38" t="s">
        <v>159</v>
      </c>
      <c r="AD21" s="48"/>
      <c r="AE21" s="53" t="e">
        <f>LOOKUP(AD21,T$5:T$78,U$5:U$73)</f>
        <v>#N/A</v>
      </c>
      <c r="AF21" s="37" t="s">
        <v>157</v>
      </c>
      <c r="AG21" s="65" t="e">
        <f>LOOKUP(AD21,T$5:T$78,W$5:W$73)</f>
        <v>#N/A</v>
      </c>
    </row>
    <row r="22" spans="4:33" ht="13" thickBot="1">
      <c r="G22" s="10"/>
      <c r="H22" s="10"/>
      <c r="I22" s="10"/>
      <c r="J22" s="10"/>
      <c r="K22" s="10"/>
      <c r="L22" s="10"/>
      <c r="M22" s="10"/>
      <c r="N22" s="14" t="s">
        <v>58</v>
      </c>
      <c r="O22" s="9" t="str">
        <f>IF(OR(N14="",N30=""),"",+IF(N14&gt;N30,M14,M30))</f>
        <v/>
      </c>
      <c r="P22" s="17"/>
      <c r="Q22" s="10"/>
      <c r="T22">
        <v>18</v>
      </c>
      <c r="U22" s="28">
        <f>E72</f>
        <v>0</v>
      </c>
      <c r="V22" t="s">
        <v>77</v>
      </c>
      <c r="W22" s="29">
        <f>E74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D23">
        <v>9</v>
      </c>
      <c r="E23" s="7"/>
      <c r="F23" s="7"/>
      <c r="G23" s="10"/>
      <c r="H23" s="11"/>
      <c r="I23" s="10"/>
      <c r="J23" s="10"/>
      <c r="K23" s="10"/>
      <c r="L23" s="10"/>
      <c r="M23" s="10"/>
      <c r="N23" s="14"/>
      <c r="O23" s="10"/>
      <c r="P23" s="14"/>
      <c r="Q23" s="10"/>
      <c r="T23">
        <v>19</v>
      </c>
      <c r="U23" s="28">
        <f>E76</f>
        <v>0</v>
      </c>
      <c r="V23" t="s">
        <v>77</v>
      </c>
      <c r="W23" s="29">
        <f>E78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G24" s="12"/>
      <c r="H24" s="13" t="s">
        <v>6</v>
      </c>
      <c r="I24" s="9" t="str">
        <f>IF(OR(H23="",H25=""),"",+IF(H23&gt;H25,G23,G25))</f>
        <v/>
      </c>
      <c r="J24" s="17"/>
      <c r="K24" s="10"/>
      <c r="L24" s="10"/>
      <c r="M24" s="10"/>
      <c r="N24" s="14"/>
      <c r="O24" s="10"/>
      <c r="P24" s="14"/>
      <c r="Q24" s="10"/>
      <c r="T24">
        <v>20</v>
      </c>
      <c r="U24" s="28">
        <f>E80</f>
        <v>0</v>
      </c>
      <c r="V24" t="s">
        <v>77</v>
      </c>
      <c r="W24" s="29">
        <f>E82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D25">
        <v>10</v>
      </c>
      <c r="E25" s="7"/>
      <c r="F25" s="7"/>
      <c r="G25" s="10"/>
      <c r="H25" s="16"/>
      <c r="I25" s="10"/>
      <c r="J25" s="14"/>
      <c r="K25" s="10"/>
      <c r="L25" s="10"/>
      <c r="M25" s="10"/>
      <c r="N25" s="14"/>
      <c r="O25" s="10"/>
      <c r="P25" s="14"/>
      <c r="Q25" s="10"/>
      <c r="T25">
        <v>21</v>
      </c>
      <c r="U25" s="28">
        <f>E84</f>
        <v>0</v>
      </c>
      <c r="V25" t="s">
        <v>77</v>
      </c>
      <c r="W25" s="29">
        <f>E86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G26" s="12"/>
      <c r="H26" s="10"/>
      <c r="I26" s="10"/>
      <c r="J26" s="14" t="s">
        <v>36</v>
      </c>
      <c r="K26" s="9" t="str">
        <f>IF(OR(J24="",J28=""),"",+IF(J24&gt;J28,I24,I28))</f>
        <v/>
      </c>
      <c r="L26" s="17"/>
      <c r="M26" s="10"/>
      <c r="N26" s="14"/>
      <c r="O26" s="10"/>
      <c r="P26" s="14"/>
      <c r="Q26" s="10"/>
      <c r="T26">
        <v>22</v>
      </c>
      <c r="U26" s="28">
        <f>E88</f>
        <v>0</v>
      </c>
      <c r="V26" t="s">
        <v>77</v>
      </c>
      <c r="W26" s="29">
        <f>E90</f>
        <v>0</v>
      </c>
      <c r="Z26" s="34"/>
      <c r="AA26" s="40"/>
      <c r="AB26" s="40"/>
      <c r="AC26" s="38" t="s">
        <v>159</v>
      </c>
      <c r="AD26" s="48"/>
      <c r="AE26" s="53" t="e">
        <f>LOOKUP(AD26,T$5:T$78,U$5:U$73)</f>
        <v>#N/A</v>
      </c>
      <c r="AF26" s="37" t="s">
        <v>157</v>
      </c>
      <c r="AG26" s="65" t="e">
        <f>LOOKUP(AD26,T$5:T$78,W$5:W$73)</f>
        <v>#N/A</v>
      </c>
    </row>
    <row r="27" spans="4:33" ht="13" thickBot="1">
      <c r="D27">
        <v>11</v>
      </c>
      <c r="E27" s="7"/>
      <c r="F27" s="7"/>
      <c r="G27" s="10"/>
      <c r="H27" s="11"/>
      <c r="I27" s="10"/>
      <c r="J27" s="14"/>
      <c r="K27" s="10"/>
      <c r="L27" s="13"/>
      <c r="M27" s="10"/>
      <c r="N27" s="14"/>
      <c r="O27" s="10"/>
      <c r="P27" s="14"/>
      <c r="Q27" s="10"/>
      <c r="T27">
        <v>23</v>
      </c>
      <c r="U27" s="28">
        <f>E92</f>
        <v>0</v>
      </c>
      <c r="V27" t="s">
        <v>77</v>
      </c>
      <c r="W27" s="29">
        <f>E94</f>
        <v>0</v>
      </c>
      <c r="Z27" s="34"/>
      <c r="AA27" s="40"/>
      <c r="AB27" s="40"/>
      <c r="AC27" s="38" t="s">
        <v>159</v>
      </c>
      <c r="AD27" s="48"/>
      <c r="AE27" s="53" t="e">
        <f>LOOKUP(AD27,T$5:T$78,U$5:U$73)</f>
        <v>#N/A</v>
      </c>
      <c r="AF27" s="37" t="s">
        <v>157</v>
      </c>
      <c r="AG27" s="65" t="e">
        <f>LOOKUP(AD27,T$5:T$78,W$5:W$73)</f>
        <v>#N/A</v>
      </c>
    </row>
    <row r="28" spans="4:33" ht="13" thickBot="1">
      <c r="G28" s="12"/>
      <c r="H28" s="13" t="s">
        <v>7</v>
      </c>
      <c r="I28" s="9" t="str">
        <f>IF(OR(H27="",H29=""),"",+IF(H27&gt;H29,G27,G29))</f>
        <v/>
      </c>
      <c r="J28" s="16"/>
      <c r="K28" s="10"/>
      <c r="L28" s="14"/>
      <c r="M28" s="10"/>
      <c r="N28" s="14"/>
      <c r="O28" s="10"/>
      <c r="P28" s="14"/>
      <c r="Q28" s="10"/>
      <c r="T28">
        <v>24</v>
      </c>
      <c r="U28" s="28">
        <f>E96</f>
        <v>0</v>
      </c>
      <c r="V28" t="s">
        <v>77</v>
      </c>
      <c r="W28" s="29">
        <f>E98</f>
        <v>0</v>
      </c>
      <c r="Z28" s="34"/>
      <c r="AA28" s="40"/>
      <c r="AB28" s="40"/>
      <c r="AC28" s="38" t="s">
        <v>159</v>
      </c>
      <c r="AD28" s="48"/>
      <c r="AE28" s="53" t="e">
        <f>LOOKUP(AD28,T$5:T$78,U$5:U$73)</f>
        <v>#N/A</v>
      </c>
      <c r="AF28" s="37" t="s">
        <v>157</v>
      </c>
      <c r="AG28" s="65" t="e">
        <f>LOOKUP(AD28,T$5:T$78,W$5:W$73)</f>
        <v>#N/A</v>
      </c>
    </row>
    <row r="29" spans="4:33" ht="13" thickBot="1">
      <c r="D29">
        <v>12</v>
      </c>
      <c r="E29" s="7"/>
      <c r="F29" s="7"/>
      <c r="G29" s="10"/>
      <c r="H29" s="16"/>
      <c r="I29" s="10"/>
      <c r="J29" s="10"/>
      <c r="K29" s="10"/>
      <c r="L29" s="14"/>
      <c r="M29" s="10"/>
      <c r="N29" s="14"/>
      <c r="O29" s="10"/>
      <c r="P29" s="14"/>
      <c r="Q29" s="10"/>
      <c r="T29">
        <v>25</v>
      </c>
      <c r="U29" s="28">
        <f>E100</f>
        <v>0</v>
      </c>
      <c r="V29" t="s">
        <v>77</v>
      </c>
      <c r="W29" s="29">
        <f>E102</f>
        <v>0</v>
      </c>
      <c r="Z29" s="34"/>
      <c r="AA29" s="40"/>
      <c r="AB29" s="40"/>
      <c r="AC29" s="38" t="s">
        <v>159</v>
      </c>
      <c r="AD29" s="48"/>
      <c r="AE29" s="53" t="e">
        <f>LOOKUP(AD29,T$5:T$78,U$5:U$73)</f>
        <v>#N/A</v>
      </c>
      <c r="AF29" s="37" t="s">
        <v>157</v>
      </c>
      <c r="AG29" s="65" t="e">
        <f>LOOKUP(AD29,T$5:T$78,W$5:W$73)</f>
        <v>#N/A</v>
      </c>
    </row>
    <row r="30" spans="4:33" ht="13" thickBot="1">
      <c r="G30" s="12"/>
      <c r="H30" s="10"/>
      <c r="I30" s="10"/>
      <c r="J30" s="10"/>
      <c r="K30" s="10"/>
      <c r="L30" s="14" t="s">
        <v>51</v>
      </c>
      <c r="M30" s="9" t="str">
        <f>IF(OR(L26="",L34=""),"",+IF(L26&gt;L34,K26,K34))</f>
        <v/>
      </c>
      <c r="N30" s="16"/>
      <c r="O30" s="10"/>
      <c r="P30" s="14"/>
      <c r="Q30" s="10"/>
      <c r="T30">
        <v>26</v>
      </c>
      <c r="U30" s="28">
        <f>E104</f>
        <v>0</v>
      </c>
      <c r="V30" t="s">
        <v>77</v>
      </c>
      <c r="W30" s="29" t="s">
        <v>78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D31">
        <v>13</v>
      </c>
      <c r="E31" s="7"/>
      <c r="F31" s="7"/>
      <c r="G31" s="10"/>
      <c r="H31" s="11"/>
      <c r="I31" s="10"/>
      <c r="J31" s="10"/>
      <c r="K31" s="10"/>
      <c r="L31" s="14"/>
      <c r="M31" s="10"/>
      <c r="N31" s="10"/>
      <c r="O31" s="10"/>
      <c r="P31" s="14"/>
      <c r="Q31" s="10"/>
      <c r="T31">
        <v>27</v>
      </c>
      <c r="U31" s="28">
        <f>E111</f>
        <v>0</v>
      </c>
      <c r="V31" t="s">
        <v>77</v>
      </c>
      <c r="W31" s="29">
        <f>E113</f>
        <v>0</v>
      </c>
      <c r="Z31" s="34"/>
      <c r="AA31" s="40"/>
      <c r="AB31" s="40"/>
      <c r="AC31" s="38" t="s">
        <v>159</v>
      </c>
      <c r="AD31" s="48"/>
      <c r="AE31" s="53" t="e">
        <f>LOOKUP(AD31,T$5:T$78,U$5:U$73)</f>
        <v>#N/A</v>
      </c>
      <c r="AF31" s="37" t="s">
        <v>157</v>
      </c>
      <c r="AG31" s="65" t="e">
        <f>LOOKUP(AD31,T$5:T$78,W$5:W$73)</f>
        <v>#N/A</v>
      </c>
    </row>
    <row r="32" spans="4:33" ht="13" thickBot="1">
      <c r="G32" s="12"/>
      <c r="H32" s="13" t="s">
        <v>8</v>
      </c>
      <c r="I32" s="9" t="str">
        <f>IF(OR(H31="",H33=""),"",+IF(H31&gt;H33,G31,G33))</f>
        <v/>
      </c>
      <c r="J32" s="17"/>
      <c r="K32" s="10"/>
      <c r="L32" s="14"/>
      <c r="M32" s="10"/>
      <c r="N32" s="10"/>
      <c r="O32" s="10"/>
      <c r="P32" s="14"/>
      <c r="Q32" s="10"/>
      <c r="T32">
        <v>28</v>
      </c>
      <c r="U32" s="28">
        <f>E115</f>
        <v>0</v>
      </c>
      <c r="V32" t="s">
        <v>77</v>
      </c>
      <c r="W32" s="29">
        <f>E117</f>
        <v>0</v>
      </c>
      <c r="Z32" s="34"/>
      <c r="AA32" s="40"/>
      <c r="AB32" s="40"/>
      <c r="AC32" s="38" t="s">
        <v>159</v>
      </c>
      <c r="AD32" s="48"/>
      <c r="AE32" s="53" t="e">
        <f>LOOKUP(AD32,T$5:T$78,U$5:U$73)</f>
        <v>#N/A</v>
      </c>
      <c r="AF32" s="37" t="s">
        <v>157</v>
      </c>
      <c r="AG32" s="65" t="e">
        <f>LOOKUP(AD32,T$5:T$78,W$5:W$73)</f>
        <v>#N/A</v>
      </c>
    </row>
    <row r="33" spans="4:33" ht="13" thickBot="1">
      <c r="D33">
        <v>14</v>
      </c>
      <c r="E33" s="7"/>
      <c r="F33" s="7"/>
      <c r="G33" s="10"/>
      <c r="H33" s="16"/>
      <c r="I33" s="10"/>
      <c r="J33" s="14"/>
      <c r="K33" s="10"/>
      <c r="L33" s="14"/>
      <c r="M33" s="10"/>
      <c r="N33" s="10"/>
      <c r="O33" s="10"/>
      <c r="P33" s="14"/>
      <c r="Q33" s="10"/>
      <c r="T33">
        <v>29</v>
      </c>
      <c r="U33" s="28">
        <f>E119</f>
        <v>0</v>
      </c>
      <c r="V33" t="s">
        <v>77</v>
      </c>
      <c r="W33" s="29">
        <f>E121</f>
        <v>0</v>
      </c>
      <c r="Z33" s="34"/>
      <c r="AA33" s="40"/>
      <c r="AB33" s="40"/>
      <c r="AC33" s="38" t="s">
        <v>159</v>
      </c>
      <c r="AD33" s="48"/>
      <c r="AE33" s="53" t="e">
        <f>LOOKUP(AD33,T$5:T$78,U$5:U$73)</f>
        <v>#N/A</v>
      </c>
      <c r="AF33" s="37" t="s">
        <v>157</v>
      </c>
      <c r="AG33" s="65" t="e">
        <f>LOOKUP(AD33,T$5:T$78,W$5:W$73)</f>
        <v>#N/A</v>
      </c>
    </row>
    <row r="34" spans="4:33" ht="13" thickBot="1">
      <c r="G34" s="12"/>
      <c r="H34" s="10"/>
      <c r="I34" s="10"/>
      <c r="J34" s="14" t="s">
        <v>37</v>
      </c>
      <c r="K34" s="9" t="str">
        <f>IF(OR(J32="",J36=""),"",+IF(J32&gt;J36,I32,I36))</f>
        <v/>
      </c>
      <c r="L34" s="16"/>
      <c r="M34" s="10"/>
      <c r="N34" s="10"/>
      <c r="O34" s="10"/>
      <c r="P34" s="14"/>
      <c r="Q34" s="10"/>
      <c r="T34">
        <v>30</v>
      </c>
      <c r="U34" s="28">
        <f>E123</f>
        <v>0</v>
      </c>
      <c r="V34" t="s">
        <v>77</v>
      </c>
      <c r="W34" s="29">
        <f>E125</f>
        <v>0</v>
      </c>
      <c r="Z34" s="34"/>
      <c r="AA34" s="40"/>
      <c r="AB34" s="40"/>
      <c r="AC34" s="38" t="s">
        <v>159</v>
      </c>
      <c r="AD34" s="48"/>
      <c r="AE34" s="53" t="e">
        <f>LOOKUP(AD34,T$5:T$78,U$5:U$73)</f>
        <v>#N/A</v>
      </c>
      <c r="AF34" s="37" t="s">
        <v>157</v>
      </c>
      <c r="AG34" s="65" t="e">
        <f>LOOKUP(AD34,T$5:T$78,W$5:W$73)</f>
        <v>#N/A</v>
      </c>
    </row>
    <row r="35" spans="4:33" ht="13" thickBot="1">
      <c r="D35">
        <v>15</v>
      </c>
      <c r="E35" s="7"/>
      <c r="F35" s="7"/>
      <c r="G35" s="10"/>
      <c r="H35" s="11"/>
      <c r="I35" s="10"/>
      <c r="J35" s="14"/>
      <c r="K35" s="10"/>
      <c r="L35" s="10"/>
      <c r="M35" s="10"/>
      <c r="N35" s="10"/>
      <c r="O35" s="10"/>
      <c r="P35" s="14"/>
      <c r="Q35" s="10"/>
      <c r="T35">
        <v>31</v>
      </c>
      <c r="U35" s="28">
        <f>E127</f>
        <v>0</v>
      </c>
      <c r="V35" t="s">
        <v>77</v>
      </c>
      <c r="W35" s="29">
        <f>E129</f>
        <v>0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G36" s="12"/>
      <c r="H36" s="13" t="s">
        <v>9</v>
      </c>
      <c r="I36" s="9" t="str">
        <f>IF(OR(H35="",H37=""),"",+IF(H35&gt;H37,G35,G37))</f>
        <v/>
      </c>
      <c r="J36" s="16"/>
      <c r="K36" s="10"/>
      <c r="L36" s="10"/>
      <c r="M36" s="10"/>
      <c r="N36" s="10"/>
      <c r="O36" s="10"/>
      <c r="P36" s="14"/>
      <c r="Q36" s="10"/>
      <c r="T36">
        <v>32</v>
      </c>
      <c r="U36" s="28">
        <f>E131</f>
        <v>0</v>
      </c>
      <c r="V36" t="s">
        <v>77</v>
      </c>
      <c r="W36" s="29">
        <f>E133</f>
        <v>0</v>
      </c>
      <c r="Z36" s="34"/>
      <c r="AA36" s="40"/>
      <c r="AB36" s="40"/>
      <c r="AC36" s="38" t="s">
        <v>159</v>
      </c>
      <c r="AD36" s="48"/>
      <c r="AE36" s="53" t="e">
        <f>LOOKUP(AD36,T$5:T$78,U$5:U$73)</f>
        <v>#N/A</v>
      </c>
      <c r="AF36" s="37" t="s">
        <v>157</v>
      </c>
      <c r="AG36" s="65" t="e">
        <f>LOOKUP(AD36,T$5:T$78,W$5:W$73)</f>
        <v>#N/A</v>
      </c>
    </row>
    <row r="37" spans="4:33" ht="13" thickBot="1">
      <c r="D37">
        <v>16</v>
      </c>
      <c r="E37" s="7"/>
      <c r="F37" s="7"/>
      <c r="G37" s="9"/>
      <c r="H37" s="16"/>
      <c r="I37" s="10"/>
      <c r="J37" s="10"/>
      <c r="K37" s="10"/>
      <c r="L37" s="10"/>
      <c r="M37" s="10"/>
      <c r="N37" s="10"/>
      <c r="O37" s="10"/>
      <c r="P37" s="14"/>
      <c r="Q37" s="10"/>
      <c r="T37">
        <v>33</v>
      </c>
      <c r="U37" s="28">
        <f>E135</f>
        <v>0</v>
      </c>
      <c r="V37" t="s">
        <v>77</v>
      </c>
      <c r="W37" s="29">
        <f>E137</f>
        <v>0</v>
      </c>
      <c r="Z37" s="34"/>
      <c r="AA37" s="40"/>
      <c r="AB37" s="40"/>
      <c r="AC37" s="38" t="s">
        <v>159</v>
      </c>
      <c r="AD37" s="48"/>
      <c r="AE37" s="53" t="e">
        <f>LOOKUP(AD37,T$5:T$78,U$5:U$73)</f>
        <v>#N/A</v>
      </c>
      <c r="AF37" s="37" t="s">
        <v>157</v>
      </c>
      <c r="AG37" s="65" t="e">
        <f>LOOKUP(AD37,T$5:T$78,W$5:W$73)</f>
        <v>#N/A</v>
      </c>
    </row>
    <row r="38" spans="4:33" ht="13" thickBot="1">
      <c r="G38" s="10"/>
      <c r="H38" s="10"/>
      <c r="I38" s="10"/>
      <c r="J38" s="10"/>
      <c r="K38" s="10"/>
      <c r="L38" s="10"/>
      <c r="M38" s="10"/>
      <c r="N38" s="10"/>
      <c r="O38" s="10"/>
      <c r="P38" s="14" t="s">
        <v>62</v>
      </c>
      <c r="Q38" s="9" t="str">
        <f>IF(OR(P22="",P54=""),"",+IF(P22&gt;P54,O22,O54))</f>
        <v/>
      </c>
      <c r="T38">
        <v>34</v>
      </c>
      <c r="U38" s="28" t="s">
        <v>160</v>
      </c>
      <c r="V38" t="s">
        <v>77</v>
      </c>
      <c r="W38" s="29" t="s">
        <v>161</v>
      </c>
      <c r="Z38" s="34"/>
      <c r="AA38" s="40"/>
      <c r="AB38" s="40"/>
      <c r="AC38" s="38" t="s">
        <v>159</v>
      </c>
      <c r="AD38" s="48"/>
      <c r="AE38" s="53" t="e">
        <f>LOOKUP(AD38,T$5:T$78,U$5:U$73)</f>
        <v>#N/A</v>
      </c>
      <c r="AF38" s="37" t="s">
        <v>157</v>
      </c>
      <c r="AG38" s="65" t="e">
        <f>LOOKUP(AD38,T$5:T$78,W$5:W$73)</f>
        <v>#N/A</v>
      </c>
    </row>
    <row r="39" spans="4:33" ht="13" thickBot="1">
      <c r="D39">
        <v>17</v>
      </c>
      <c r="E39" s="7"/>
      <c r="F39" s="7"/>
      <c r="G39" s="10"/>
      <c r="H39" s="11"/>
      <c r="I39" s="10"/>
      <c r="J39" s="10"/>
      <c r="K39" s="10"/>
      <c r="L39" s="10"/>
      <c r="M39" s="10"/>
      <c r="N39" s="10"/>
      <c r="O39" s="10"/>
      <c r="P39" s="14"/>
      <c r="Q39" s="13"/>
      <c r="T39">
        <v>35</v>
      </c>
      <c r="U39" s="28" t="s">
        <v>81</v>
      </c>
      <c r="V39" t="s">
        <v>77</v>
      </c>
      <c r="W39" s="29" t="s">
        <v>162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G40" s="12"/>
      <c r="H40" s="13" t="s">
        <v>10</v>
      </c>
      <c r="I40" s="9" t="str">
        <f>IF(OR(H39="",H41=""),"",+IF(H39&gt;H41,G39,G41))</f>
        <v/>
      </c>
      <c r="J40" s="17"/>
      <c r="K40" s="10"/>
      <c r="L40" s="10"/>
      <c r="M40" s="10"/>
      <c r="N40" s="10"/>
      <c r="O40" s="10"/>
      <c r="P40" s="14"/>
      <c r="Q40" s="14"/>
      <c r="T40">
        <v>36</v>
      </c>
      <c r="U40" s="28" t="s">
        <v>163</v>
      </c>
      <c r="V40" t="s">
        <v>77</v>
      </c>
      <c r="W40" s="29" t="s">
        <v>84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18</v>
      </c>
      <c r="E41" s="7"/>
      <c r="F41" s="7"/>
      <c r="G41" s="10"/>
      <c r="H41" s="16"/>
      <c r="I41" s="10"/>
      <c r="J41" s="14"/>
      <c r="K41" s="10"/>
      <c r="L41" s="10"/>
      <c r="M41" s="10"/>
      <c r="N41" s="10"/>
      <c r="O41" s="10"/>
      <c r="P41" s="14"/>
      <c r="Q41" s="14"/>
      <c r="T41">
        <v>37</v>
      </c>
      <c r="U41" s="28" t="s">
        <v>164</v>
      </c>
      <c r="V41" t="s">
        <v>77</v>
      </c>
      <c r="W41" s="29" t="s">
        <v>200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G42" s="12"/>
      <c r="H42" s="10"/>
      <c r="I42" s="10"/>
      <c r="J42" s="14" t="s">
        <v>38</v>
      </c>
      <c r="K42" s="9" t="str">
        <f>IF(OR(J40="",J44=""),"",+IF(J40&gt;J44,I40,I44))</f>
        <v/>
      </c>
      <c r="L42" s="17"/>
      <c r="M42" s="10"/>
      <c r="N42" s="10"/>
      <c r="O42" s="10"/>
      <c r="P42" s="14"/>
      <c r="Q42" s="14"/>
      <c r="T42">
        <v>38</v>
      </c>
      <c r="U42" s="28" t="s">
        <v>87</v>
      </c>
      <c r="V42" t="s">
        <v>77</v>
      </c>
      <c r="W42" s="29" t="s">
        <v>88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19</v>
      </c>
      <c r="E43" s="7"/>
      <c r="F43" s="7"/>
      <c r="G43" s="10"/>
      <c r="H43" s="11"/>
      <c r="I43" s="10"/>
      <c r="J43" s="14"/>
      <c r="K43" s="10"/>
      <c r="L43" s="13"/>
      <c r="M43" s="10"/>
      <c r="N43" s="10"/>
      <c r="O43" s="10"/>
      <c r="P43" s="14"/>
      <c r="Q43" s="14"/>
      <c r="T43">
        <v>39</v>
      </c>
      <c r="U43" s="28" t="s">
        <v>89</v>
      </c>
      <c r="V43" t="s">
        <v>77</v>
      </c>
      <c r="W43" s="29" t="s">
        <v>90</v>
      </c>
      <c r="Z43" s="34"/>
      <c r="AA43" s="40"/>
      <c r="AB43" s="40"/>
      <c r="AC43" s="38" t="s">
        <v>159</v>
      </c>
      <c r="AD43" s="48"/>
      <c r="AE43" s="53" t="e">
        <f>LOOKUP(AD43,T$5:T$78,U$5:U$73)</f>
        <v>#N/A</v>
      </c>
      <c r="AF43" s="37" t="s">
        <v>157</v>
      </c>
      <c r="AG43" s="65" t="e">
        <f>LOOKUP(AD43,T$5:T$78,W$5:W$73)</f>
        <v>#N/A</v>
      </c>
    </row>
    <row r="44" spans="4:33" ht="13" thickBot="1">
      <c r="G44" s="12"/>
      <c r="H44" s="13" t="s">
        <v>11</v>
      </c>
      <c r="I44" s="9" t="str">
        <f>IF(OR(H43="",H45=""),"",+IF(H43&gt;H45,G43,G45))</f>
        <v/>
      </c>
      <c r="J44" s="16"/>
      <c r="K44" s="10"/>
      <c r="L44" s="14"/>
      <c r="M44" s="10"/>
      <c r="N44" s="10"/>
      <c r="O44" s="10"/>
      <c r="P44" s="14"/>
      <c r="Q44" s="14"/>
      <c r="T44">
        <v>40</v>
      </c>
      <c r="U44" s="28" t="s">
        <v>91</v>
      </c>
      <c r="V44" t="s">
        <v>77</v>
      </c>
      <c r="W44" s="29" t="s">
        <v>92</v>
      </c>
      <c r="Z44" s="34"/>
      <c r="AA44" s="40"/>
      <c r="AB44" s="40"/>
      <c r="AC44" s="38" t="s">
        <v>159</v>
      </c>
      <c r="AD44" s="48"/>
      <c r="AE44" s="53" t="e">
        <f>LOOKUP(AD44,T$5:T$78,U$5:U$73)</f>
        <v>#N/A</v>
      </c>
      <c r="AF44" s="37" t="s">
        <v>157</v>
      </c>
      <c r="AG44" s="65" t="e">
        <f>LOOKUP(AD44,T$5:T$78,W$5:W$73)</f>
        <v>#N/A</v>
      </c>
    </row>
    <row r="45" spans="4:33" ht="13" thickBot="1">
      <c r="D45">
        <v>20</v>
      </c>
      <c r="E45" s="7"/>
      <c r="F45" s="7"/>
      <c r="G45" s="10"/>
      <c r="H45" s="16"/>
      <c r="I45" s="10"/>
      <c r="J45" s="10"/>
      <c r="K45" s="10"/>
      <c r="L45" s="14"/>
      <c r="M45" s="10"/>
      <c r="N45" s="10"/>
      <c r="O45" s="10"/>
      <c r="P45" s="14"/>
      <c r="Q45" s="14"/>
      <c r="T45">
        <v>41</v>
      </c>
      <c r="U45" s="28" t="s">
        <v>165</v>
      </c>
      <c r="V45" t="s">
        <v>77</v>
      </c>
      <c r="W45" s="29" t="s">
        <v>94</v>
      </c>
      <c r="Z45" s="34"/>
      <c r="AA45" s="40"/>
      <c r="AB45" s="40"/>
      <c r="AC45" s="38" t="s">
        <v>159</v>
      </c>
      <c r="AD45" s="48"/>
      <c r="AE45" s="53" t="e">
        <f>LOOKUP(AD45,T$5:T$78,U$5:U$73)</f>
        <v>#N/A</v>
      </c>
      <c r="AF45" s="37" t="s">
        <v>157</v>
      </c>
      <c r="AG45" s="65" t="e">
        <f>LOOKUP(AD45,T$5:T$78,W$5:W$73)</f>
        <v>#N/A</v>
      </c>
    </row>
    <row r="46" spans="4:33" ht="13" thickBot="1">
      <c r="G46" s="12"/>
      <c r="H46" s="10"/>
      <c r="I46" s="10"/>
      <c r="J46" s="10"/>
      <c r="K46" s="10"/>
      <c r="L46" s="14" t="s">
        <v>52</v>
      </c>
      <c r="M46" s="9" t="str">
        <f>IF(OR(L42="",L50=""),"",+IF(L42&gt;L50,K42,K50))</f>
        <v/>
      </c>
      <c r="N46" s="17"/>
      <c r="O46" s="10"/>
      <c r="P46" s="14"/>
      <c r="Q46" s="14"/>
      <c r="T46">
        <v>42</v>
      </c>
      <c r="U46" s="28" t="s">
        <v>95</v>
      </c>
      <c r="V46" t="s">
        <v>77</v>
      </c>
      <c r="W46" s="29" t="s">
        <v>96</v>
      </c>
      <c r="Z46" s="34"/>
      <c r="AA46" s="40"/>
      <c r="AB46" s="40"/>
      <c r="AC46" s="38" t="s">
        <v>159</v>
      </c>
      <c r="AD46" s="48"/>
      <c r="AE46" s="53" t="e">
        <f>LOOKUP(AD46,T$5:T$78,U$5:U$73)</f>
        <v>#N/A</v>
      </c>
      <c r="AF46" s="37" t="s">
        <v>157</v>
      </c>
      <c r="AG46" s="65" t="e">
        <f>LOOKUP(AD46,T$5:T$78,W$5:W$73)</f>
        <v>#N/A</v>
      </c>
    </row>
    <row r="47" spans="4:33" ht="13" thickBot="1">
      <c r="D47">
        <v>21</v>
      </c>
      <c r="E47" s="7"/>
      <c r="F47" s="7"/>
      <c r="G47" s="10"/>
      <c r="H47" s="11"/>
      <c r="I47" s="10"/>
      <c r="J47" s="10"/>
      <c r="K47" s="10"/>
      <c r="L47" s="14"/>
      <c r="M47" s="10"/>
      <c r="N47" s="13"/>
      <c r="O47" s="10"/>
      <c r="P47" s="14"/>
      <c r="Q47" s="14"/>
      <c r="T47">
        <v>43</v>
      </c>
      <c r="U47" s="28" t="s">
        <v>97</v>
      </c>
      <c r="V47" t="s">
        <v>77</v>
      </c>
      <c r="W47" s="29" t="s">
        <v>98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G48" s="12"/>
      <c r="H48" s="13" t="s">
        <v>12</v>
      </c>
      <c r="I48" s="9" t="str">
        <f>IF(OR(H47="",H49=""),"",+IF(H47&gt;H49,G47,G49))</f>
        <v/>
      </c>
      <c r="J48" s="17"/>
      <c r="K48" s="10"/>
      <c r="L48" s="14"/>
      <c r="M48" s="10"/>
      <c r="N48" s="14"/>
      <c r="O48" s="10"/>
      <c r="P48" s="14"/>
      <c r="Q48" s="14"/>
      <c r="T48">
        <v>44</v>
      </c>
      <c r="U48" s="28" t="s">
        <v>99</v>
      </c>
      <c r="V48" t="s">
        <v>77</v>
      </c>
      <c r="W48" s="29" t="s">
        <v>100</v>
      </c>
      <c r="Z48" s="34"/>
      <c r="AA48" s="40"/>
      <c r="AB48" s="40"/>
      <c r="AC48" s="38" t="s">
        <v>159</v>
      </c>
      <c r="AD48" s="48"/>
      <c r="AE48" s="53" t="e">
        <f>LOOKUP(AD48,T$5:T$78,U$5:U$73)</f>
        <v>#N/A</v>
      </c>
      <c r="AF48" s="37" t="s">
        <v>157</v>
      </c>
      <c r="AG48" s="65" t="e">
        <f>LOOKUP(AD48,T$5:T$78,W$5:W$73)</f>
        <v>#N/A</v>
      </c>
    </row>
    <row r="49" spans="4:33" ht="13" thickBot="1">
      <c r="D49">
        <v>22</v>
      </c>
      <c r="E49" s="7"/>
      <c r="F49" s="7"/>
      <c r="G49" s="10"/>
      <c r="H49" s="16"/>
      <c r="I49" s="10"/>
      <c r="J49" s="14"/>
      <c r="K49" s="10"/>
      <c r="L49" s="14"/>
      <c r="M49" s="10"/>
      <c r="N49" s="14"/>
      <c r="O49" s="10"/>
      <c r="P49" s="14"/>
      <c r="Q49" s="14"/>
      <c r="T49">
        <v>45</v>
      </c>
      <c r="U49" s="28" t="s">
        <v>101</v>
      </c>
      <c r="V49" t="s">
        <v>77</v>
      </c>
      <c r="W49" s="29" t="s">
        <v>102</v>
      </c>
      <c r="Z49" s="34"/>
      <c r="AA49" s="40"/>
      <c r="AB49" s="40"/>
      <c r="AC49" s="38" t="s">
        <v>159</v>
      </c>
      <c r="AD49" s="48"/>
      <c r="AE49" s="53" t="e">
        <f>LOOKUP(AD49,T$5:T$78,U$5:U$73)</f>
        <v>#N/A</v>
      </c>
      <c r="AF49" s="37" t="s">
        <v>157</v>
      </c>
      <c r="AG49" s="65" t="e">
        <f>LOOKUP(AD49,T$5:T$78,W$5:W$73)</f>
        <v>#N/A</v>
      </c>
    </row>
    <row r="50" spans="4:33" ht="13" thickBot="1">
      <c r="G50" s="12"/>
      <c r="H50" s="10"/>
      <c r="I50" s="10"/>
      <c r="J50" s="14" t="s">
        <v>39</v>
      </c>
      <c r="K50" s="9" t="str">
        <f>IF(OR(J48="",J52=""),"",+IF(J48&gt;J52,I48,I52))</f>
        <v/>
      </c>
      <c r="L50" s="16"/>
      <c r="M50" s="10"/>
      <c r="N50" s="14"/>
      <c r="O50" s="10"/>
      <c r="P50" s="14"/>
      <c r="Q50" s="14"/>
      <c r="T50">
        <v>46</v>
      </c>
      <c r="U50" s="28" t="s">
        <v>103</v>
      </c>
      <c r="V50" t="s">
        <v>77</v>
      </c>
      <c r="W50" s="29" t="s">
        <v>104</v>
      </c>
      <c r="Z50" s="34"/>
      <c r="AA50" s="40"/>
      <c r="AB50" s="40"/>
      <c r="AC50" s="38" t="s">
        <v>159</v>
      </c>
      <c r="AD50" s="48"/>
      <c r="AE50" s="53" t="e">
        <f>LOOKUP(AD50,T$5:T$78,U$5:U$73)</f>
        <v>#N/A</v>
      </c>
      <c r="AF50" s="37" t="s">
        <v>157</v>
      </c>
      <c r="AG50" s="65" t="e">
        <f>LOOKUP(AD50,T$5:T$78,W$5:W$73)</f>
        <v>#N/A</v>
      </c>
    </row>
    <row r="51" spans="4:33" ht="13" thickBot="1">
      <c r="D51">
        <v>23</v>
      </c>
      <c r="E51" s="7"/>
      <c r="F51" s="7"/>
      <c r="G51" s="10"/>
      <c r="H51" s="11"/>
      <c r="I51" s="10"/>
      <c r="J51" s="14"/>
      <c r="K51" s="10"/>
      <c r="L51" s="10"/>
      <c r="M51" s="10"/>
      <c r="N51" s="14"/>
      <c r="O51" s="10"/>
      <c r="P51" s="14"/>
      <c r="Q51" s="14"/>
      <c r="T51">
        <v>47</v>
      </c>
      <c r="U51" s="28" t="s">
        <v>105</v>
      </c>
      <c r="V51" t="s">
        <v>77</v>
      </c>
      <c r="W51" s="29" t="s">
        <v>106</v>
      </c>
      <c r="Z51" s="34"/>
      <c r="AA51" s="40"/>
      <c r="AB51" s="40"/>
      <c r="AC51" s="38" t="s">
        <v>159</v>
      </c>
      <c r="AD51" s="48"/>
      <c r="AE51" s="53" t="e">
        <f>LOOKUP(AD51,T$5:T$78,U$5:U$73)</f>
        <v>#N/A</v>
      </c>
      <c r="AF51" s="37" t="s">
        <v>157</v>
      </c>
      <c r="AG51" s="65" t="e">
        <f>LOOKUP(AD51,T$5:T$78,W$5:W$73)</f>
        <v>#N/A</v>
      </c>
    </row>
    <row r="52" spans="4:33" ht="13" thickBot="1">
      <c r="G52" s="12"/>
      <c r="H52" s="13" t="s">
        <v>13</v>
      </c>
      <c r="I52" s="9" t="str">
        <f>IF(OR(H51="",H53=""),"",+IF(H51&gt;H53,G51,G53))</f>
        <v/>
      </c>
      <c r="J52" s="16"/>
      <c r="K52" s="10"/>
      <c r="L52" s="10"/>
      <c r="M52" s="10"/>
      <c r="N52" s="14"/>
      <c r="O52" s="10"/>
      <c r="P52" s="14"/>
      <c r="Q52" s="14"/>
      <c r="T52">
        <v>48</v>
      </c>
      <c r="U52" s="28" t="s">
        <v>107</v>
      </c>
      <c r="V52" t="s">
        <v>77</v>
      </c>
      <c r="W52" s="29" t="s">
        <v>108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24</v>
      </c>
      <c r="E53" s="7"/>
      <c r="F53" s="7"/>
      <c r="G53" s="9"/>
      <c r="H53" s="16"/>
      <c r="I53" s="10"/>
      <c r="J53" s="10"/>
      <c r="K53" s="10"/>
      <c r="L53" s="10"/>
      <c r="M53" s="10"/>
      <c r="N53" s="14"/>
      <c r="O53" s="10"/>
      <c r="P53" s="14"/>
      <c r="Q53" s="14"/>
      <c r="T53">
        <v>49</v>
      </c>
      <c r="U53" s="28" t="s">
        <v>109</v>
      </c>
      <c r="V53" t="s">
        <v>77</v>
      </c>
      <c r="W53" s="29" t="s">
        <v>110</v>
      </c>
      <c r="Z53" s="34"/>
      <c r="AA53" s="40"/>
      <c r="AB53" s="40"/>
      <c r="AC53" s="38" t="s">
        <v>159</v>
      </c>
      <c r="AD53" s="48"/>
      <c r="AE53" s="53" t="e">
        <f>LOOKUP(AD53,T$5:T$78,U$5:U$73)</f>
        <v>#N/A</v>
      </c>
      <c r="AF53" s="37" t="s">
        <v>157</v>
      </c>
      <c r="AG53" s="65" t="e">
        <f>LOOKUP(AD53,T$5:T$78,W$5:W$73)</f>
        <v>#N/A</v>
      </c>
    </row>
    <row r="54" spans="4:33" ht="13" thickBot="1">
      <c r="G54" s="10"/>
      <c r="H54" s="10"/>
      <c r="I54" s="10"/>
      <c r="J54" s="10"/>
      <c r="K54" s="10"/>
      <c r="L54" s="10"/>
      <c r="M54" s="10"/>
      <c r="N54" s="14" t="s">
        <v>59</v>
      </c>
      <c r="O54" s="9" t="str">
        <f>IF(OR(N46="",N62=""),"",+IF(N46&gt;N62,M46,M62))</f>
        <v/>
      </c>
      <c r="P54" s="16"/>
      <c r="Q54" s="14"/>
      <c r="T54">
        <v>50</v>
      </c>
      <c r="U54" s="28" t="s">
        <v>111</v>
      </c>
      <c r="V54" t="s">
        <v>77</v>
      </c>
      <c r="W54" s="29" t="s">
        <v>112</v>
      </c>
      <c r="Z54" s="34"/>
      <c r="AA54" s="40"/>
      <c r="AB54" s="40"/>
      <c r="AC54" s="38" t="s">
        <v>159</v>
      </c>
      <c r="AD54" s="48"/>
      <c r="AE54" s="53" t="e">
        <f>LOOKUP(AD54,T$5:T$78,U$5:U$73)</f>
        <v>#N/A</v>
      </c>
      <c r="AF54" s="37" t="s">
        <v>157</v>
      </c>
      <c r="AG54" s="65" t="e">
        <f>LOOKUP(AD54,T$5:T$78,W$5:W$73)</f>
        <v>#N/A</v>
      </c>
    </row>
    <row r="55" spans="4:33" ht="13" thickBot="1">
      <c r="D55">
        <v>25</v>
      </c>
      <c r="E55" s="7"/>
      <c r="F55" s="7"/>
      <c r="G55" s="10"/>
      <c r="H55" s="11"/>
      <c r="I55" s="10"/>
      <c r="J55" s="10"/>
      <c r="K55" s="10"/>
      <c r="L55" s="10"/>
      <c r="M55" s="10"/>
      <c r="N55" s="14"/>
      <c r="O55" s="10"/>
      <c r="P55" s="10"/>
      <c r="Q55" s="14"/>
      <c r="T55">
        <v>51</v>
      </c>
      <c r="U55" s="28" t="s">
        <v>113</v>
      </c>
      <c r="V55" t="s">
        <v>77</v>
      </c>
      <c r="W55" s="29" t="s">
        <v>114</v>
      </c>
      <c r="Z55" s="34"/>
      <c r="AA55" s="40"/>
      <c r="AB55" s="40"/>
      <c r="AC55" s="38" t="s">
        <v>159</v>
      </c>
      <c r="AD55" s="48"/>
      <c r="AE55" s="53" t="e">
        <f>LOOKUP(AD55,T$5:T$78,U$5:U$73)</f>
        <v>#N/A</v>
      </c>
      <c r="AF55" s="37" t="s">
        <v>157</v>
      </c>
      <c r="AG55" s="65" t="e">
        <f>LOOKUP(AD55,T$5:T$78,W$5:W$73)</f>
        <v>#N/A</v>
      </c>
    </row>
    <row r="56" spans="4:33" ht="13" thickBot="1">
      <c r="G56" s="12"/>
      <c r="H56" s="13" t="s">
        <v>14</v>
      </c>
      <c r="I56" s="9" t="str">
        <f>IF(OR(H55="",H57=""),"",+IF(H55&gt;H57,G55,G57))</f>
        <v/>
      </c>
      <c r="J56" s="17"/>
      <c r="K56" s="10"/>
      <c r="L56" s="10"/>
      <c r="M56" s="10"/>
      <c r="N56" s="14"/>
      <c r="O56" s="10"/>
      <c r="P56" s="10"/>
      <c r="Q56" s="14"/>
      <c r="T56">
        <v>52</v>
      </c>
      <c r="U56" s="28" t="s">
        <v>115</v>
      </c>
      <c r="V56" t="s">
        <v>77</v>
      </c>
      <c r="W56" s="29" t="s">
        <v>116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26</v>
      </c>
      <c r="E57" s="7"/>
      <c r="F57" s="7"/>
      <c r="G57" s="10"/>
      <c r="H57" s="16"/>
      <c r="I57" s="10"/>
      <c r="J57" s="14"/>
      <c r="K57" s="10"/>
      <c r="L57" s="10"/>
      <c r="M57" s="10"/>
      <c r="N57" s="14"/>
      <c r="O57" s="10"/>
      <c r="P57" s="10"/>
      <c r="Q57" s="14"/>
      <c r="T57">
        <v>53</v>
      </c>
      <c r="U57" s="28" t="s">
        <v>117</v>
      </c>
      <c r="V57" t="s">
        <v>77</v>
      </c>
      <c r="W57" s="29" t="s">
        <v>118</v>
      </c>
    </row>
    <row r="58" spans="4:33" ht="13" thickBot="1">
      <c r="G58" s="12"/>
      <c r="H58" s="10"/>
      <c r="I58" s="10"/>
      <c r="J58" s="14" t="s">
        <v>40</v>
      </c>
      <c r="K58" s="9" t="str">
        <f>IF(OR(J56="",J60=""),"",+IF(J56&gt;J60,I56,I60))</f>
        <v/>
      </c>
      <c r="L58" s="17"/>
      <c r="M58" s="10"/>
      <c r="N58" s="14"/>
      <c r="O58" s="10"/>
      <c r="P58" s="10"/>
      <c r="Q58" s="14"/>
      <c r="T58">
        <v>54</v>
      </c>
      <c r="U58" s="28" t="s">
        <v>119</v>
      </c>
      <c r="V58" t="s">
        <v>77</v>
      </c>
      <c r="W58" s="29" t="s">
        <v>120</v>
      </c>
    </row>
    <row r="59" spans="4:33" ht="13" thickBot="1">
      <c r="D59">
        <v>27</v>
      </c>
      <c r="E59" s="7"/>
      <c r="F59" s="7"/>
      <c r="G59" s="10"/>
      <c r="H59" s="11"/>
      <c r="I59" s="10"/>
      <c r="J59" s="14"/>
      <c r="K59" s="10"/>
      <c r="L59" s="13"/>
      <c r="M59" s="10"/>
      <c r="N59" s="14"/>
      <c r="O59" s="10"/>
      <c r="P59" s="10"/>
      <c r="Q59" s="14"/>
      <c r="T59">
        <v>55</v>
      </c>
      <c r="U59" s="28" t="s">
        <v>121</v>
      </c>
      <c r="V59" t="s">
        <v>77</v>
      </c>
      <c r="W59" s="29" t="s">
        <v>122</v>
      </c>
    </row>
    <row r="60" spans="4:33" ht="13" thickBot="1">
      <c r="G60" s="12"/>
      <c r="H60" s="13" t="s">
        <v>15</v>
      </c>
      <c r="I60" s="9" t="str">
        <f>IF(OR(H59="",H61=""),"",+IF(H59&gt;H61,G59,G61))</f>
        <v/>
      </c>
      <c r="J60" s="16"/>
      <c r="K60" s="10"/>
      <c r="L60" s="14"/>
      <c r="M60" s="10"/>
      <c r="N60" s="14"/>
      <c r="O60" s="10"/>
      <c r="P60" s="10"/>
      <c r="Q60" s="14"/>
      <c r="T60">
        <v>56</v>
      </c>
      <c r="U60" s="28" t="s">
        <v>123</v>
      </c>
      <c r="V60" t="s">
        <v>77</v>
      </c>
      <c r="W60" s="29" t="s">
        <v>124</v>
      </c>
    </row>
    <row r="61" spans="4:33" ht="13" thickBot="1">
      <c r="D61">
        <v>28</v>
      </c>
      <c r="E61" s="7"/>
      <c r="F61" s="7"/>
      <c r="G61" s="10"/>
      <c r="H61" s="16"/>
      <c r="I61" s="10"/>
      <c r="J61" s="10"/>
      <c r="K61" s="10"/>
      <c r="L61" s="14"/>
      <c r="M61" s="10"/>
      <c r="N61" s="14"/>
      <c r="O61" s="10"/>
      <c r="P61" s="10"/>
      <c r="Q61" s="14"/>
      <c r="T61">
        <v>57</v>
      </c>
      <c r="U61" s="28" t="s">
        <v>125</v>
      </c>
      <c r="V61" t="s">
        <v>77</v>
      </c>
      <c r="W61" s="29" t="s">
        <v>126</v>
      </c>
    </row>
    <row r="62" spans="4:33" ht="13" thickBot="1">
      <c r="G62" s="12"/>
      <c r="H62" s="10"/>
      <c r="I62" s="10"/>
      <c r="J62" s="10"/>
      <c r="K62" s="10"/>
      <c r="L62" s="14" t="s">
        <v>53</v>
      </c>
      <c r="M62" s="9" t="str">
        <f>IF(OR(L58="",L66=""),"",+IF(L58&gt;L66,K58,K66))</f>
        <v/>
      </c>
      <c r="N62" s="16"/>
      <c r="O62" s="10"/>
      <c r="P62" s="10"/>
      <c r="Q62" s="14"/>
      <c r="T62">
        <v>58</v>
      </c>
      <c r="U62" s="28" t="s">
        <v>127</v>
      </c>
      <c r="V62" t="s">
        <v>77</v>
      </c>
      <c r="W62" s="29" t="s">
        <v>130</v>
      </c>
    </row>
    <row r="63" spans="4:33" ht="13" thickBot="1">
      <c r="D63">
        <v>29</v>
      </c>
      <c r="E63" s="7"/>
      <c r="F63" s="7"/>
      <c r="G63" s="10"/>
      <c r="H63" s="11"/>
      <c r="I63" s="10"/>
      <c r="J63" s="10"/>
      <c r="K63" s="10"/>
      <c r="L63" s="14"/>
      <c r="M63" s="10"/>
      <c r="N63" s="10"/>
      <c r="O63" s="10"/>
      <c r="P63" s="10"/>
      <c r="Q63" s="14"/>
      <c r="T63">
        <v>59</v>
      </c>
      <c r="U63" s="28" t="s">
        <v>128</v>
      </c>
      <c r="V63" t="s">
        <v>77</v>
      </c>
      <c r="W63" s="29" t="s">
        <v>129</v>
      </c>
    </row>
    <row r="64" spans="4:33" ht="13" thickBot="1">
      <c r="G64" s="12"/>
      <c r="H64" s="13" t="s">
        <v>16</v>
      </c>
      <c r="I64" s="9" t="str">
        <f>IF(OR(H63="",H65=""),"",+IF(H63&gt;H65,G63,G65))</f>
        <v/>
      </c>
      <c r="J64" s="17"/>
      <c r="K64" s="10"/>
      <c r="L64" s="14"/>
      <c r="M64" s="10"/>
      <c r="N64" s="10"/>
      <c r="O64" s="10"/>
      <c r="P64" s="10"/>
      <c r="Q64" s="14"/>
      <c r="T64">
        <v>60</v>
      </c>
      <c r="U64" s="28" t="s">
        <v>131</v>
      </c>
      <c r="V64" t="s">
        <v>77</v>
      </c>
      <c r="W64" s="29" t="s">
        <v>132</v>
      </c>
    </row>
    <row r="65" spans="4:23" ht="13" thickBot="1">
      <c r="D65">
        <v>30</v>
      </c>
      <c r="E65" s="7"/>
      <c r="F65" s="7"/>
      <c r="G65" s="10"/>
      <c r="H65" s="16"/>
      <c r="I65" s="10"/>
      <c r="J65" s="14"/>
      <c r="K65" s="10"/>
      <c r="L65" s="14"/>
      <c r="M65" s="10"/>
      <c r="N65" s="10"/>
      <c r="O65" s="10"/>
      <c r="P65" s="10"/>
      <c r="Q65" s="14"/>
      <c r="T65">
        <v>61</v>
      </c>
      <c r="U65" s="28" t="s">
        <v>133</v>
      </c>
      <c r="V65" t="s">
        <v>77</v>
      </c>
      <c r="W65" s="29" t="s">
        <v>134</v>
      </c>
    </row>
    <row r="66" spans="4:23" ht="13" thickBot="1">
      <c r="G66" s="12"/>
      <c r="H66" s="10"/>
      <c r="I66" s="10"/>
      <c r="J66" s="14" t="s">
        <v>41</v>
      </c>
      <c r="K66" s="9" t="str">
        <f>IF(OR(J64="",J68=""),"",+IF(J64&gt;J68,I64,I68))</f>
        <v/>
      </c>
      <c r="L66" s="16"/>
      <c r="M66" s="10"/>
      <c r="N66" s="10"/>
      <c r="O66" s="10"/>
      <c r="P66" s="10"/>
      <c r="Q66" s="14"/>
      <c r="T66">
        <v>62</v>
      </c>
      <c r="U66" s="28" t="s">
        <v>135</v>
      </c>
      <c r="V66" t="s">
        <v>77</v>
      </c>
      <c r="W66" s="29" t="s">
        <v>136</v>
      </c>
    </row>
    <row r="67" spans="4:23" ht="13" thickBot="1">
      <c r="D67">
        <v>31</v>
      </c>
      <c r="E67" s="7"/>
      <c r="F67" s="7"/>
      <c r="G67" s="22"/>
      <c r="H67" s="11"/>
      <c r="I67" s="10"/>
      <c r="J67" s="14"/>
      <c r="K67" s="10"/>
      <c r="L67" s="10"/>
      <c r="M67" s="10"/>
      <c r="N67" s="10"/>
      <c r="O67" s="10"/>
      <c r="P67" s="10"/>
      <c r="Q67" s="14"/>
      <c r="T67">
        <v>63</v>
      </c>
      <c r="U67" s="28" t="s">
        <v>137</v>
      </c>
      <c r="V67" t="s">
        <v>77</v>
      </c>
      <c r="W67" s="29" t="s">
        <v>138</v>
      </c>
    </row>
    <row r="68" spans="4:23" ht="13" thickBot="1">
      <c r="G68" s="12"/>
      <c r="H68" s="13" t="s">
        <v>17</v>
      </c>
      <c r="I68" s="9" t="str">
        <f>IF(OR(H67="",H69=""),"",+IF(H67&gt;H69,G67,G69))</f>
        <v/>
      </c>
      <c r="J68" s="16"/>
      <c r="K68" s="10"/>
      <c r="L68" s="10"/>
      <c r="M68" s="10"/>
      <c r="N68" s="10"/>
      <c r="O68" s="10"/>
      <c r="P68" s="10"/>
      <c r="Q68" s="14"/>
      <c r="T68">
        <v>64</v>
      </c>
      <c r="U68" s="28" t="s">
        <v>144</v>
      </c>
      <c r="V68" t="s">
        <v>77</v>
      </c>
      <c r="W68" s="29" t="s">
        <v>139</v>
      </c>
    </row>
    <row r="69" spans="4:23" ht="13" thickBot="1">
      <c r="D69">
        <v>32</v>
      </c>
      <c r="E69" s="7"/>
      <c r="F69" s="7"/>
      <c r="G69" s="9"/>
      <c r="H69" s="16"/>
      <c r="I69" s="10"/>
      <c r="J69" s="10"/>
      <c r="K69" s="10"/>
      <c r="L69" s="10"/>
      <c r="M69" s="10"/>
      <c r="N69" s="10"/>
      <c r="O69" s="10"/>
      <c r="P69" s="10"/>
      <c r="Q69" s="68" t="s">
        <v>64</v>
      </c>
      <c r="R69" s="27"/>
      <c r="W69" s="28"/>
    </row>
    <row r="70" spans="4:23">
      <c r="Q70" s="6"/>
    </row>
    <row r="71" spans="4:23">
      <c r="Q71" s="6"/>
    </row>
    <row r="72" spans="4:23" ht="13" thickBot="1">
      <c r="D72">
        <v>33</v>
      </c>
      <c r="E72" s="9"/>
      <c r="F72" s="9"/>
      <c r="G72" s="9"/>
      <c r="H72" s="11"/>
      <c r="I72" s="10"/>
      <c r="J72" s="10"/>
      <c r="K72" s="10"/>
      <c r="L72" s="10"/>
      <c r="M72" s="10"/>
      <c r="N72" s="10"/>
      <c r="O72" s="10"/>
      <c r="P72" s="10"/>
      <c r="Q72" s="14"/>
    </row>
    <row r="73" spans="4:23" ht="13" thickBot="1">
      <c r="E73" s="10"/>
      <c r="F73" s="10"/>
      <c r="G73" s="10"/>
      <c r="H73" s="13" t="s">
        <v>18</v>
      </c>
      <c r="I73" s="9" t="str">
        <f>IF(OR(H72="",H74=""),"",+IF(H72&gt;H74,E72,E74))</f>
        <v/>
      </c>
      <c r="J73" s="17"/>
      <c r="K73" s="10"/>
      <c r="L73" s="10"/>
      <c r="M73" s="10"/>
      <c r="N73" s="10"/>
      <c r="O73" s="10"/>
      <c r="P73" s="10"/>
      <c r="Q73" s="14"/>
    </row>
    <row r="74" spans="4:23" ht="13" thickBot="1">
      <c r="D74">
        <v>34</v>
      </c>
      <c r="E74" s="9"/>
      <c r="F74" s="9"/>
      <c r="G74" s="9"/>
      <c r="H74" s="16"/>
      <c r="I74" s="10"/>
      <c r="J74" s="14"/>
      <c r="K74" s="10"/>
      <c r="L74" s="10"/>
      <c r="M74" s="10"/>
      <c r="N74" s="10"/>
      <c r="O74" s="10"/>
      <c r="P74" s="10"/>
      <c r="Q74" s="14"/>
    </row>
    <row r="75" spans="4:23" ht="13" thickBot="1">
      <c r="E75" s="10"/>
      <c r="F75" s="10"/>
      <c r="G75" s="10"/>
      <c r="H75" s="10"/>
      <c r="I75" s="10"/>
      <c r="J75" s="14" t="s">
        <v>42</v>
      </c>
      <c r="K75" s="9" t="str">
        <f>IF(OR(J73="",J77=""),"",+IF(J73&gt;J77,I73,I77))</f>
        <v/>
      </c>
      <c r="L75" s="17"/>
      <c r="M75" s="10"/>
      <c r="N75" s="10"/>
      <c r="O75" s="10"/>
      <c r="P75" s="10"/>
      <c r="Q75" s="14"/>
    </row>
    <row r="76" spans="4:23" ht="13" thickBot="1">
      <c r="D76">
        <v>35</v>
      </c>
      <c r="E76" s="9"/>
      <c r="F76" s="9"/>
      <c r="G76" s="9"/>
      <c r="H76" s="11"/>
      <c r="I76" s="10"/>
      <c r="J76" s="14"/>
      <c r="K76" s="10"/>
      <c r="L76" s="13"/>
      <c r="M76" s="10"/>
      <c r="N76" s="10"/>
      <c r="O76" s="10"/>
      <c r="P76" s="10"/>
      <c r="Q76" s="14"/>
    </row>
    <row r="77" spans="4:23" ht="13" thickBot="1">
      <c r="E77" s="10"/>
      <c r="F77" s="10"/>
      <c r="G77" s="10"/>
      <c r="H77" s="13" t="s">
        <v>19</v>
      </c>
      <c r="I77" s="9" t="str">
        <f>IF(OR(H76="",H78=""),"",+IF(H76&gt;H78,E76,E78))</f>
        <v/>
      </c>
      <c r="J77" s="16"/>
      <c r="K77" s="10"/>
      <c r="L77" s="14"/>
      <c r="M77" s="10"/>
      <c r="N77" s="10"/>
      <c r="O77" s="10"/>
      <c r="P77" s="10"/>
      <c r="Q77" s="14"/>
    </row>
    <row r="78" spans="4:23" ht="13" thickBot="1">
      <c r="D78">
        <v>36</v>
      </c>
      <c r="E78" s="9"/>
      <c r="F78" s="9"/>
      <c r="G78" s="9"/>
      <c r="H78" s="16"/>
      <c r="I78" s="10"/>
      <c r="J78" s="10"/>
      <c r="K78" s="10"/>
      <c r="L78" s="14"/>
      <c r="M78" s="10"/>
      <c r="N78" s="10"/>
      <c r="O78" s="10"/>
      <c r="P78" s="10"/>
      <c r="Q78" s="14"/>
    </row>
    <row r="79" spans="4:23" ht="13" thickBot="1">
      <c r="E79" s="10"/>
      <c r="F79" s="10"/>
      <c r="G79" s="10"/>
      <c r="H79" s="10"/>
      <c r="I79" s="10"/>
      <c r="J79" s="10"/>
      <c r="K79" s="10"/>
      <c r="L79" s="14" t="s">
        <v>54</v>
      </c>
      <c r="M79" s="9" t="str">
        <f>IF(OR(L75="",L83=""),"",+IF(L75&gt;L83,K75,K83))</f>
        <v/>
      </c>
      <c r="N79" s="17"/>
      <c r="O79" s="10"/>
      <c r="P79" s="10"/>
      <c r="Q79" s="14"/>
    </row>
    <row r="80" spans="4:23" ht="13" thickBot="1">
      <c r="D80">
        <v>37</v>
      </c>
      <c r="E80" s="9"/>
      <c r="F80" s="9"/>
      <c r="G80" s="9"/>
      <c r="H80" s="11"/>
      <c r="I80" s="10"/>
      <c r="J80" s="10"/>
      <c r="K80" s="10"/>
      <c r="L80" s="14"/>
      <c r="M80" s="10"/>
      <c r="N80" s="13"/>
      <c r="O80" s="10"/>
      <c r="P80" s="10"/>
      <c r="Q80" s="14"/>
    </row>
    <row r="81" spans="4:17" ht="13" thickBot="1">
      <c r="E81" s="10"/>
      <c r="F81" s="10"/>
      <c r="G81" s="10"/>
      <c r="H81" s="13" t="s">
        <v>20</v>
      </c>
      <c r="I81" s="9" t="str">
        <f>IF(OR(H80="",H82=""),"",+IF(H80&gt;H82,E80,E82))</f>
        <v/>
      </c>
      <c r="J81" s="17"/>
      <c r="K81" s="10"/>
      <c r="L81" s="14"/>
      <c r="M81" s="10"/>
      <c r="N81" s="14"/>
      <c r="O81" s="10"/>
      <c r="P81" s="10"/>
      <c r="Q81" s="14"/>
    </row>
    <row r="82" spans="4:17" ht="13" thickBot="1">
      <c r="D82">
        <v>38</v>
      </c>
      <c r="E82" s="9"/>
      <c r="F82" s="9"/>
      <c r="G82" s="9"/>
      <c r="H82" s="16"/>
      <c r="I82" s="10"/>
      <c r="J82" s="14"/>
      <c r="K82" s="10"/>
      <c r="L82" s="14"/>
      <c r="M82" s="10"/>
      <c r="N82" s="14"/>
      <c r="O82" s="10"/>
      <c r="P82" s="10"/>
      <c r="Q82" s="14"/>
    </row>
    <row r="83" spans="4:17" ht="13" thickBot="1">
      <c r="E83" s="10"/>
      <c r="F83" s="10"/>
      <c r="G83" s="10"/>
      <c r="H83" s="10"/>
      <c r="I83" s="10"/>
      <c r="J83" s="14" t="s">
        <v>43</v>
      </c>
      <c r="K83" s="9" t="str">
        <f>IF(OR(J81="",J85=""),"",+IF(J81&gt;J85,I81,I85))</f>
        <v/>
      </c>
      <c r="L83" s="16"/>
      <c r="M83" s="10"/>
      <c r="N83" s="14"/>
      <c r="O83" s="10"/>
      <c r="P83" s="10"/>
      <c r="Q83" s="14"/>
    </row>
    <row r="84" spans="4:17" ht="13" thickBot="1">
      <c r="D84">
        <v>39</v>
      </c>
      <c r="E84" s="9"/>
      <c r="F84" s="9"/>
      <c r="G84" s="9"/>
      <c r="H84" s="11"/>
      <c r="I84" s="10"/>
      <c r="J84" s="14"/>
      <c r="K84" s="10"/>
      <c r="L84" s="10"/>
      <c r="M84" s="10"/>
      <c r="N84" s="14"/>
      <c r="O84" s="10"/>
      <c r="P84" s="10"/>
      <c r="Q84" s="14"/>
    </row>
    <row r="85" spans="4:17" ht="13" thickBot="1">
      <c r="E85" s="10"/>
      <c r="F85" s="10"/>
      <c r="G85" s="10"/>
      <c r="H85" s="13" t="s">
        <v>21</v>
      </c>
      <c r="I85" s="9" t="str">
        <f>IF(OR(H84="",H86=""),"",+IF(H84&gt;H86,E84,E86))</f>
        <v/>
      </c>
      <c r="J85" s="16"/>
      <c r="K85" s="10"/>
      <c r="L85" s="10"/>
      <c r="M85" s="10"/>
      <c r="N85" s="14"/>
      <c r="O85" s="10"/>
      <c r="P85" s="10"/>
      <c r="Q85" s="14"/>
    </row>
    <row r="86" spans="4:17" ht="13" thickBot="1">
      <c r="D86">
        <v>40</v>
      </c>
      <c r="E86" s="9"/>
      <c r="F86" s="9"/>
      <c r="G86" s="9"/>
      <c r="H86" s="16"/>
      <c r="I86" s="10"/>
      <c r="J86" s="10"/>
      <c r="K86" s="10"/>
      <c r="L86" s="10"/>
      <c r="M86" s="10"/>
      <c r="N86" s="14"/>
      <c r="O86" s="10"/>
      <c r="P86" s="10"/>
      <c r="Q86" s="14"/>
    </row>
    <row r="87" spans="4:17" ht="13" thickBot="1">
      <c r="E87" s="10"/>
      <c r="F87" s="10"/>
      <c r="G87" s="10"/>
      <c r="H87" s="10"/>
      <c r="I87" s="10"/>
      <c r="J87" s="10"/>
      <c r="K87" s="10"/>
      <c r="L87" s="10"/>
      <c r="M87" s="10"/>
      <c r="N87" s="14" t="s">
        <v>60</v>
      </c>
      <c r="O87" s="9" t="str">
        <f>IF(OR(N79="",N95=""),"",+IF(N79&gt;N95,M79,M95))</f>
        <v/>
      </c>
      <c r="P87" s="17"/>
      <c r="Q87" s="14"/>
    </row>
    <row r="88" spans="4:17" ht="13" thickBot="1">
      <c r="D88">
        <v>41</v>
      </c>
      <c r="E88" s="9"/>
      <c r="F88" s="9"/>
      <c r="G88" s="9"/>
      <c r="H88" s="11"/>
      <c r="I88" s="10"/>
      <c r="J88" s="10"/>
      <c r="K88" s="10"/>
      <c r="L88" s="10"/>
      <c r="M88" s="10"/>
      <c r="N88" s="14"/>
      <c r="O88" s="10"/>
      <c r="P88" s="14"/>
      <c r="Q88" s="14"/>
    </row>
    <row r="89" spans="4:17" ht="13" thickBot="1">
      <c r="E89" s="10"/>
      <c r="F89" s="10"/>
      <c r="G89" s="10"/>
      <c r="H89" s="13" t="s">
        <v>22</v>
      </c>
      <c r="I89" s="9" t="str">
        <f>IF(OR(H88="",H90=""),"",+IF(H88&gt;H90,E88,E90))</f>
        <v/>
      </c>
      <c r="J89" s="17"/>
      <c r="K89" s="10"/>
      <c r="L89" s="10"/>
      <c r="M89" s="10"/>
      <c r="N89" s="14"/>
      <c r="O89" s="10"/>
      <c r="P89" s="14"/>
      <c r="Q89" s="14"/>
    </row>
    <row r="90" spans="4:17" ht="13" thickBot="1">
      <c r="D90">
        <v>42</v>
      </c>
      <c r="E90" s="9"/>
      <c r="F90" s="9"/>
      <c r="G90" s="9"/>
      <c r="H90" s="16"/>
      <c r="I90" s="10"/>
      <c r="J90" s="14"/>
      <c r="K90" s="10"/>
      <c r="L90" s="10"/>
      <c r="M90" s="10"/>
      <c r="N90" s="14"/>
      <c r="O90" s="10"/>
      <c r="P90" s="14"/>
      <c r="Q90" s="14"/>
    </row>
    <row r="91" spans="4:17" ht="13" thickBot="1">
      <c r="E91" s="10"/>
      <c r="F91" s="10"/>
      <c r="G91" s="10"/>
      <c r="H91" s="10"/>
      <c r="I91" s="10"/>
      <c r="J91" s="14" t="s">
        <v>44</v>
      </c>
      <c r="K91" s="9" t="str">
        <f>IF(OR(J89="",J93=""),"",+IF(J89&gt;J93,I89,I93))</f>
        <v/>
      </c>
      <c r="L91" s="17"/>
      <c r="M91" s="10"/>
      <c r="N91" s="14"/>
      <c r="O91" s="10"/>
      <c r="P91" s="14"/>
      <c r="Q91" s="14"/>
    </row>
    <row r="92" spans="4:17" ht="13" thickBot="1">
      <c r="D92">
        <v>43</v>
      </c>
      <c r="E92" s="9"/>
      <c r="F92" s="9"/>
      <c r="G92" s="9"/>
      <c r="H92" s="11"/>
      <c r="I92" s="10"/>
      <c r="J92" s="14"/>
      <c r="K92" s="10"/>
      <c r="L92" s="13"/>
      <c r="M92" s="10"/>
      <c r="N92" s="14"/>
      <c r="O92" s="10"/>
      <c r="P92" s="14"/>
      <c r="Q92" s="14"/>
    </row>
    <row r="93" spans="4:17" ht="13" thickBot="1">
      <c r="E93" s="10"/>
      <c r="F93" s="10"/>
      <c r="G93" s="10"/>
      <c r="H93" s="13" t="s">
        <v>23</v>
      </c>
      <c r="I93" s="9" t="str">
        <f>IF(OR(H92="",H94=""),"",+IF(H92&gt;H94,E92,E94))</f>
        <v/>
      </c>
      <c r="J93" s="16"/>
      <c r="K93" s="10"/>
      <c r="L93" s="14"/>
      <c r="M93" s="10"/>
      <c r="N93" s="14"/>
      <c r="O93" s="10"/>
      <c r="P93" s="14"/>
      <c r="Q93" s="14"/>
    </row>
    <row r="94" spans="4:17" ht="13" thickBot="1">
      <c r="D94">
        <v>44</v>
      </c>
      <c r="E94" s="9"/>
      <c r="F94" s="9"/>
      <c r="G94" s="9"/>
      <c r="H94" s="16"/>
      <c r="I94" s="10"/>
      <c r="J94" s="10"/>
      <c r="K94" s="10"/>
      <c r="L94" s="14"/>
      <c r="M94" s="10"/>
      <c r="N94" s="14"/>
      <c r="O94" s="10"/>
      <c r="P94" s="14"/>
      <c r="Q94" s="14"/>
    </row>
    <row r="95" spans="4:17" ht="13" thickBot="1">
      <c r="E95" s="10"/>
      <c r="F95" s="10"/>
      <c r="G95" s="10"/>
      <c r="H95" s="10"/>
      <c r="I95" s="10"/>
      <c r="J95" s="10"/>
      <c r="K95" s="10"/>
      <c r="L95" s="14" t="s">
        <v>55</v>
      </c>
      <c r="M95" s="9" t="str">
        <f>IF(OR(L91="",L99=""),"",+IF(L91&gt;L99,K91,K99))</f>
        <v/>
      </c>
      <c r="N95" s="16"/>
      <c r="O95" s="10"/>
      <c r="P95" s="14"/>
      <c r="Q95" s="14"/>
    </row>
    <row r="96" spans="4:17" ht="13" thickBot="1">
      <c r="D96">
        <v>45</v>
      </c>
      <c r="E96" s="9"/>
      <c r="F96" s="9"/>
      <c r="G96" s="9"/>
      <c r="H96" s="11"/>
      <c r="I96" s="10"/>
      <c r="J96" s="10"/>
      <c r="K96" s="10"/>
      <c r="L96" s="14"/>
      <c r="M96" s="10"/>
      <c r="N96" s="10"/>
      <c r="O96" s="10"/>
      <c r="P96" s="14"/>
      <c r="Q96" s="14"/>
    </row>
    <row r="97" spans="4:17" ht="13" thickBot="1">
      <c r="E97" s="10"/>
      <c r="F97" s="10"/>
      <c r="G97" s="10"/>
      <c r="H97" s="13" t="s">
        <v>24</v>
      </c>
      <c r="I97" s="9" t="str">
        <f>IF(OR(H96="",H98=""),"",+IF(H96&gt;H98,E96,E98))</f>
        <v/>
      </c>
      <c r="J97" s="17"/>
      <c r="K97" s="10"/>
      <c r="L97" s="14"/>
      <c r="M97" s="10"/>
      <c r="N97" s="10"/>
      <c r="O97" s="10"/>
      <c r="P97" s="14"/>
      <c r="Q97" s="14"/>
    </row>
    <row r="98" spans="4:17" ht="13" thickBot="1">
      <c r="D98">
        <v>46</v>
      </c>
      <c r="E98" s="9"/>
      <c r="F98" s="9"/>
      <c r="G98" s="9"/>
      <c r="H98" s="16"/>
      <c r="I98" s="10"/>
      <c r="J98" s="14"/>
      <c r="K98" s="10"/>
      <c r="L98" s="14"/>
      <c r="M98" s="10"/>
      <c r="N98" s="10"/>
      <c r="O98" s="10"/>
      <c r="P98" s="14"/>
      <c r="Q98" s="14"/>
    </row>
    <row r="99" spans="4:17" ht="13" thickBot="1">
      <c r="E99" s="10"/>
      <c r="F99" s="10"/>
      <c r="G99" s="10"/>
      <c r="H99" s="10"/>
      <c r="I99" s="10"/>
      <c r="J99" s="14" t="s">
        <v>45</v>
      </c>
      <c r="K99" s="9" t="str">
        <f>IF(OR(J97="",J101=""),"",+IF(J97&gt;J101,I97,I101))</f>
        <v/>
      </c>
      <c r="L99" s="16"/>
      <c r="M99" s="10"/>
      <c r="N99" s="10"/>
      <c r="O99" s="10"/>
      <c r="P99" s="14"/>
      <c r="Q99" s="14"/>
    </row>
    <row r="100" spans="4:17" ht="13" thickBot="1">
      <c r="D100">
        <v>47</v>
      </c>
      <c r="E100" s="9"/>
      <c r="F100" s="9"/>
      <c r="G100" s="9"/>
      <c r="H100" s="11"/>
      <c r="I100" s="10"/>
      <c r="J100" s="14"/>
      <c r="K100" s="10"/>
      <c r="L100" s="10"/>
      <c r="M100" s="10"/>
      <c r="N100" s="10"/>
      <c r="O100" s="10"/>
      <c r="P100" s="14"/>
      <c r="Q100" s="14"/>
    </row>
    <row r="101" spans="4:17" ht="13" thickBot="1">
      <c r="E101" s="10"/>
      <c r="F101" s="10"/>
      <c r="G101" s="10"/>
      <c r="H101" s="13" t="s">
        <v>25</v>
      </c>
      <c r="I101" s="9" t="str">
        <f>IF(OR(H100="",H102=""),"",+IF(H100&gt;H102,E100,E102))</f>
        <v/>
      </c>
      <c r="J101" s="16"/>
      <c r="K101" s="10"/>
      <c r="L101" s="10"/>
      <c r="M101" s="10"/>
      <c r="N101" s="10"/>
      <c r="O101" s="10"/>
      <c r="P101" s="14"/>
      <c r="Q101" s="14"/>
    </row>
    <row r="102" spans="4:17" ht="13" thickBot="1">
      <c r="D102">
        <v>48</v>
      </c>
      <c r="E102" s="9"/>
      <c r="F102" s="9"/>
      <c r="G102" s="9"/>
      <c r="H102" s="16"/>
      <c r="I102" s="10"/>
      <c r="J102" s="10"/>
      <c r="K102" s="10"/>
      <c r="L102" s="10"/>
      <c r="M102" s="10"/>
      <c r="N102" s="10"/>
      <c r="O102" s="10"/>
      <c r="P102" s="14"/>
      <c r="Q102" s="14"/>
    </row>
    <row r="103" spans="4:17" ht="13" thickBot="1"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4" t="s">
        <v>63</v>
      </c>
      <c r="Q103" s="67" t="str">
        <f>IF(OR(P87="",P122=""),"",+IF(P87&gt;P122,O87,O122))</f>
        <v/>
      </c>
    </row>
    <row r="104" spans="4:17" ht="13" thickBot="1">
      <c r="D104">
        <v>49</v>
      </c>
      <c r="E104" s="9"/>
      <c r="F104" s="9"/>
      <c r="G104" s="9"/>
      <c r="H104" s="11"/>
      <c r="I104" s="10"/>
      <c r="J104" s="10"/>
      <c r="K104" s="10"/>
      <c r="L104" s="10"/>
      <c r="M104" s="10"/>
      <c r="N104" s="10"/>
      <c r="O104" s="10"/>
      <c r="P104" s="14"/>
      <c r="Q104" s="10"/>
    </row>
    <row r="105" spans="4:17">
      <c r="E105" s="12"/>
      <c r="F105" s="10"/>
      <c r="G105" s="10"/>
      <c r="H105" s="13"/>
      <c r="I105" s="10"/>
      <c r="J105" s="10"/>
      <c r="K105" s="10"/>
      <c r="L105" s="10"/>
      <c r="M105" s="10"/>
      <c r="N105" s="10"/>
      <c r="O105" s="10"/>
      <c r="P105" s="14"/>
      <c r="Q105" s="10"/>
    </row>
    <row r="106" spans="4:17" ht="13" thickBot="1">
      <c r="E106" s="10"/>
      <c r="F106" s="10"/>
      <c r="G106" s="10"/>
      <c r="H106" s="14" t="s">
        <v>26</v>
      </c>
      <c r="I106" s="9" t="str">
        <f>IF(OR(H104="",H108=""),"",+IF(H104&gt;H108,E104,G108))</f>
        <v/>
      </c>
      <c r="J106" s="11"/>
      <c r="K106" s="10"/>
      <c r="L106" s="10"/>
      <c r="M106" s="10"/>
      <c r="N106" s="10"/>
      <c r="O106" s="10"/>
      <c r="P106" s="14"/>
      <c r="Q106" s="10"/>
    </row>
    <row r="107" spans="4:17" ht="13" thickBot="1">
      <c r="D107">
        <v>50</v>
      </c>
      <c r="E107" s="10"/>
      <c r="F107" s="11"/>
      <c r="G107" s="10"/>
      <c r="H107" s="14"/>
      <c r="I107" s="10"/>
      <c r="J107" s="13"/>
      <c r="K107" s="10"/>
      <c r="L107" s="10"/>
      <c r="M107" s="10"/>
      <c r="N107" s="10"/>
      <c r="O107" s="10"/>
      <c r="P107" s="14"/>
      <c r="Q107" s="10"/>
    </row>
    <row r="108" spans="4:17" ht="13" thickBot="1">
      <c r="E108" s="12"/>
      <c r="F108" s="13" t="s">
        <v>1</v>
      </c>
      <c r="G108" s="9"/>
      <c r="H108" s="16"/>
      <c r="I108" s="10"/>
      <c r="J108" s="14"/>
      <c r="K108" s="10"/>
      <c r="L108" s="10"/>
      <c r="M108" s="10"/>
      <c r="N108" s="10"/>
      <c r="O108" s="10"/>
      <c r="P108" s="14"/>
      <c r="Q108" s="10"/>
    </row>
    <row r="109" spans="4:17" ht="13" thickBot="1">
      <c r="D109">
        <v>51</v>
      </c>
      <c r="E109" s="10"/>
      <c r="F109" s="16"/>
      <c r="G109" s="10"/>
      <c r="H109" s="10"/>
      <c r="I109" s="10"/>
      <c r="J109" s="14" t="s">
        <v>46</v>
      </c>
      <c r="K109" s="9" t="str">
        <f>IF(OR(J106="",J112=""),"",+IF(J106&gt;J112,I106,I112))</f>
        <v/>
      </c>
      <c r="L109" s="17"/>
      <c r="M109" s="10"/>
      <c r="N109" s="10"/>
      <c r="O109" s="10"/>
      <c r="P109" s="14"/>
      <c r="Q109" s="10"/>
    </row>
    <row r="110" spans="4:17">
      <c r="E110" s="12"/>
      <c r="F110" s="10"/>
      <c r="G110" s="10"/>
      <c r="H110" s="10"/>
      <c r="I110" s="10"/>
      <c r="J110" s="14"/>
      <c r="K110" s="10"/>
      <c r="L110" s="10"/>
      <c r="M110" s="19"/>
      <c r="N110" s="10"/>
      <c r="O110" s="10"/>
      <c r="P110" s="14"/>
      <c r="Q110" s="10"/>
    </row>
    <row r="111" spans="4:17" ht="13" thickBot="1">
      <c r="D111">
        <v>52</v>
      </c>
      <c r="E111" s="9"/>
      <c r="F111" s="9"/>
      <c r="G111" s="9"/>
      <c r="H111" s="11"/>
      <c r="I111" s="10"/>
      <c r="J111" s="14"/>
      <c r="K111" s="10"/>
      <c r="L111" s="10"/>
      <c r="M111" s="19"/>
      <c r="N111" s="10"/>
      <c r="O111" s="10"/>
      <c r="P111" s="14"/>
      <c r="Q111" s="10"/>
    </row>
    <row r="112" spans="4:17" ht="13" thickBot="1">
      <c r="E112" s="10"/>
      <c r="F112" s="10"/>
      <c r="G112" s="10"/>
      <c r="H112" s="13" t="s">
        <v>27</v>
      </c>
      <c r="I112" s="9" t="str">
        <f>IF(OR(H111="",H113=""),"",+IF(H111&gt;H113,E111,E113))</f>
        <v/>
      </c>
      <c r="J112" s="16"/>
      <c r="K112" s="10"/>
      <c r="L112" s="10"/>
      <c r="M112" s="19"/>
      <c r="N112" s="10"/>
      <c r="O112" s="10"/>
      <c r="P112" s="14"/>
      <c r="Q112" s="10"/>
    </row>
    <row r="113" spans="4:17" ht="13" thickBot="1">
      <c r="D113">
        <v>53</v>
      </c>
      <c r="E113" s="9"/>
      <c r="F113" s="9"/>
      <c r="G113" s="9"/>
      <c r="H113" s="16"/>
      <c r="I113" s="10"/>
      <c r="J113" s="10"/>
      <c r="K113" s="10"/>
      <c r="L113" s="10"/>
      <c r="M113" s="19"/>
      <c r="N113" s="10"/>
      <c r="O113" s="10"/>
      <c r="P113" s="14"/>
      <c r="Q113" s="10"/>
    </row>
    <row r="114" spans="4:17" ht="13" thickBot="1">
      <c r="E114" s="10"/>
      <c r="F114" s="10"/>
      <c r="G114" s="10"/>
      <c r="H114" s="10"/>
      <c r="I114" s="10"/>
      <c r="J114" s="10"/>
      <c r="K114" s="10"/>
      <c r="L114" s="14" t="s">
        <v>56</v>
      </c>
      <c r="M114" s="9" t="str">
        <f>IF(OR(L109="",L118=""),"",+IF(L109&gt;L118,K109,K118))</f>
        <v/>
      </c>
      <c r="N114" s="17"/>
      <c r="O114" s="10"/>
      <c r="P114" s="14"/>
      <c r="Q114" s="10"/>
    </row>
    <row r="115" spans="4:17" ht="13" thickBot="1">
      <c r="D115">
        <v>54</v>
      </c>
      <c r="E115" s="9"/>
      <c r="F115" s="9"/>
      <c r="G115" s="9"/>
      <c r="H115" s="11"/>
      <c r="I115" s="10"/>
      <c r="J115" s="10"/>
      <c r="K115" s="10"/>
      <c r="L115" s="10"/>
      <c r="M115" s="19"/>
      <c r="N115" s="13"/>
      <c r="O115" s="10"/>
      <c r="P115" s="14"/>
      <c r="Q115" s="10"/>
    </row>
    <row r="116" spans="4:17" ht="13" thickBot="1">
      <c r="E116" s="10"/>
      <c r="F116" s="10"/>
      <c r="G116" s="12"/>
      <c r="H116" s="13" t="s">
        <v>28</v>
      </c>
      <c r="I116" s="9" t="str">
        <f>IF(OR(H115="",H117=""),"",+IF(H115&gt;H117,E115,E117))</f>
        <v/>
      </c>
      <c r="J116" s="17"/>
      <c r="K116" s="10"/>
      <c r="L116" s="10"/>
      <c r="M116" s="19"/>
      <c r="N116" s="14"/>
      <c r="O116" s="10"/>
      <c r="P116" s="14"/>
      <c r="Q116" s="10"/>
    </row>
    <row r="117" spans="4:17" ht="13" thickBot="1">
      <c r="D117">
        <v>55</v>
      </c>
      <c r="E117" s="9"/>
      <c r="F117" s="9"/>
      <c r="G117" s="9"/>
      <c r="H117" s="16"/>
      <c r="I117" s="10"/>
      <c r="J117" s="14"/>
      <c r="K117" s="10"/>
      <c r="L117" s="10"/>
      <c r="M117" s="19"/>
      <c r="N117" s="14"/>
      <c r="O117" s="10"/>
      <c r="P117" s="14"/>
      <c r="Q117" s="10"/>
    </row>
    <row r="118" spans="4:17" ht="13" thickBot="1">
      <c r="E118" s="10"/>
      <c r="F118" s="10"/>
      <c r="G118" s="12"/>
      <c r="H118" s="10"/>
      <c r="I118" s="10"/>
      <c r="J118" s="14" t="s">
        <v>47</v>
      </c>
      <c r="K118" s="9" t="str">
        <f>IF(OR(J116="",J120=""),"",+IF(J116&gt;J120,I116,I120))</f>
        <v/>
      </c>
      <c r="L118" s="16"/>
      <c r="M118" s="19"/>
      <c r="N118" s="14"/>
      <c r="O118" s="10"/>
      <c r="P118" s="14"/>
      <c r="Q118" s="10"/>
    </row>
    <row r="119" spans="4:17" ht="13" thickBot="1">
      <c r="D119">
        <v>56</v>
      </c>
      <c r="E119" s="9"/>
      <c r="F119" s="9"/>
      <c r="G119" s="9"/>
      <c r="H119" s="11"/>
      <c r="I119" s="10"/>
      <c r="J119" s="14"/>
      <c r="K119" s="10"/>
      <c r="L119" s="10"/>
      <c r="M119" s="10"/>
      <c r="N119" s="14"/>
      <c r="O119" s="10"/>
      <c r="P119" s="14"/>
      <c r="Q119" s="10"/>
    </row>
    <row r="120" spans="4:17" ht="13" thickBot="1">
      <c r="E120" s="10"/>
      <c r="F120" s="10"/>
      <c r="G120" s="12"/>
      <c r="H120" s="13" t="s">
        <v>29</v>
      </c>
      <c r="I120" s="9" t="str">
        <f>IF(OR(H119="",H121=""),"",+IF(H119&gt;H121,E119,E121))</f>
        <v/>
      </c>
      <c r="J120" s="16"/>
      <c r="K120" s="10"/>
      <c r="L120" s="10"/>
      <c r="M120" s="10"/>
      <c r="N120" s="14"/>
      <c r="O120" s="10"/>
      <c r="P120" s="14"/>
      <c r="Q120" s="10"/>
    </row>
    <row r="121" spans="4:17" ht="13" thickBot="1">
      <c r="D121">
        <v>57</v>
      </c>
      <c r="E121" s="9"/>
      <c r="F121" s="9"/>
      <c r="G121" s="9"/>
      <c r="H121" s="16"/>
      <c r="I121" s="10"/>
      <c r="J121" s="10"/>
      <c r="K121" s="10"/>
      <c r="L121" s="10"/>
      <c r="M121" s="10"/>
      <c r="N121" s="14"/>
      <c r="O121" s="10"/>
      <c r="P121" s="14"/>
      <c r="Q121" s="10"/>
    </row>
    <row r="122" spans="4:17" ht="13" thickBot="1">
      <c r="E122" s="10"/>
      <c r="F122" s="10"/>
      <c r="G122" s="10"/>
      <c r="H122" s="10"/>
      <c r="I122" s="10"/>
      <c r="J122" s="10"/>
      <c r="K122" s="10"/>
      <c r="L122" s="10"/>
      <c r="M122" s="10"/>
      <c r="N122" s="14" t="s">
        <v>61</v>
      </c>
      <c r="O122" s="9" t="str">
        <f>IF(OR(N114="",N130=""),"",+IF(N114&gt;N130,M114,M130))</f>
        <v/>
      </c>
      <c r="P122" s="16"/>
      <c r="Q122" s="10"/>
    </row>
    <row r="123" spans="4:17" ht="13" thickBot="1">
      <c r="D123">
        <v>58</v>
      </c>
      <c r="E123" s="9"/>
      <c r="F123" s="9"/>
      <c r="G123" s="9"/>
      <c r="H123" s="11"/>
      <c r="I123" s="10"/>
      <c r="J123" s="10"/>
      <c r="K123" s="10"/>
      <c r="L123" s="10"/>
      <c r="M123" s="10"/>
      <c r="N123" s="14"/>
      <c r="O123" s="10"/>
      <c r="P123" s="10"/>
      <c r="Q123" s="10"/>
    </row>
    <row r="124" spans="4:17" ht="13" thickBot="1">
      <c r="E124" s="10"/>
      <c r="F124" s="10"/>
      <c r="G124" s="10"/>
      <c r="H124" s="13" t="s">
        <v>30</v>
      </c>
      <c r="I124" s="9" t="str">
        <f>IF(OR(H123="",H125=""),"",+IF(H123&gt;H125,E123,E125))</f>
        <v/>
      </c>
      <c r="J124" s="17"/>
      <c r="K124" s="10"/>
      <c r="L124" s="10"/>
      <c r="M124" s="10"/>
      <c r="N124" s="14"/>
      <c r="O124" s="10"/>
      <c r="P124" s="10"/>
      <c r="Q124" s="10"/>
    </row>
    <row r="125" spans="4:17" ht="13" thickBot="1">
      <c r="D125">
        <v>59</v>
      </c>
      <c r="E125" s="9"/>
      <c r="F125" s="9"/>
      <c r="G125" s="9"/>
      <c r="H125" s="16"/>
      <c r="I125" s="10"/>
      <c r="J125" s="14"/>
      <c r="K125" s="10"/>
      <c r="L125" s="10"/>
      <c r="M125" s="10"/>
      <c r="N125" s="14"/>
      <c r="O125" s="10"/>
      <c r="P125" s="10"/>
      <c r="Q125" s="10"/>
    </row>
    <row r="126" spans="4:17" ht="13" thickBot="1">
      <c r="E126" s="10"/>
      <c r="F126" s="10"/>
      <c r="G126" s="10"/>
      <c r="H126" s="10"/>
      <c r="I126" s="10"/>
      <c r="J126" s="14" t="s">
        <v>48</v>
      </c>
      <c r="K126" s="9" t="str">
        <f>IF(OR(J124="",J128=""),"",+IF(J124&gt;J128,I124,I128))</f>
        <v/>
      </c>
      <c r="L126" s="17"/>
      <c r="M126" s="10"/>
      <c r="N126" s="14"/>
      <c r="O126" s="10"/>
      <c r="P126" s="10"/>
      <c r="Q126" s="10"/>
    </row>
    <row r="127" spans="4:17" ht="13" thickBot="1">
      <c r="D127">
        <v>60</v>
      </c>
      <c r="E127" s="9"/>
      <c r="F127" s="9"/>
      <c r="G127" s="9"/>
      <c r="H127" s="11"/>
      <c r="I127" s="10"/>
      <c r="J127" s="14"/>
      <c r="K127" s="10"/>
      <c r="L127" s="13"/>
      <c r="M127" s="10"/>
      <c r="N127" s="14"/>
      <c r="O127" s="10"/>
      <c r="P127" s="10"/>
      <c r="Q127" s="10"/>
    </row>
    <row r="128" spans="4:17" ht="13" thickBot="1">
      <c r="E128" s="10"/>
      <c r="F128" s="10"/>
      <c r="G128" s="10"/>
      <c r="H128" s="13" t="s">
        <v>31</v>
      </c>
      <c r="I128" s="9" t="str">
        <f>IF(OR(H127="",H129=""),"",+IF(H127&gt;H129,E127,E129))</f>
        <v/>
      </c>
      <c r="J128" s="16"/>
      <c r="K128" s="10"/>
      <c r="L128" s="14"/>
      <c r="M128" s="10"/>
      <c r="N128" s="14"/>
      <c r="O128" s="10"/>
      <c r="P128" s="10"/>
      <c r="Q128" s="10"/>
    </row>
    <row r="129" spans="4:17" ht="13" thickBot="1">
      <c r="D129">
        <v>61</v>
      </c>
      <c r="E129" s="9"/>
      <c r="F129" s="9"/>
      <c r="G129" s="9"/>
      <c r="H129" s="16"/>
      <c r="I129" s="10"/>
      <c r="J129" s="10"/>
      <c r="K129" s="10"/>
      <c r="L129" s="14"/>
      <c r="M129" s="10"/>
      <c r="N129" s="14"/>
      <c r="O129" s="10"/>
      <c r="P129" s="10"/>
      <c r="Q129" s="10"/>
    </row>
    <row r="130" spans="4:17" ht="13" thickBot="1">
      <c r="E130" s="10"/>
      <c r="F130" s="10"/>
      <c r="G130" s="10"/>
      <c r="H130" s="10"/>
      <c r="I130" s="10"/>
      <c r="J130" s="10"/>
      <c r="K130" s="10"/>
      <c r="L130" s="14" t="s">
        <v>57</v>
      </c>
      <c r="M130" s="9" t="str">
        <f>IF(OR(L126="",L134=""),"",+IF(L126&gt;L134,K126,K134))</f>
        <v/>
      </c>
      <c r="N130" s="16"/>
      <c r="O130" s="10"/>
      <c r="P130" s="10"/>
      <c r="Q130" s="10"/>
    </row>
    <row r="131" spans="4:17" ht="13" thickBot="1">
      <c r="D131">
        <v>62</v>
      </c>
      <c r="E131" s="9"/>
      <c r="F131" s="9"/>
      <c r="G131" s="9"/>
      <c r="H131" s="11"/>
      <c r="I131" s="10"/>
      <c r="J131" s="10"/>
      <c r="K131" s="10"/>
      <c r="L131" s="14"/>
      <c r="M131" s="10"/>
      <c r="N131" s="10"/>
      <c r="O131" s="10"/>
      <c r="P131" s="10"/>
      <c r="Q131" s="10"/>
    </row>
    <row r="132" spans="4:17" ht="13" thickBot="1">
      <c r="E132" s="10"/>
      <c r="F132" s="10"/>
      <c r="G132" s="10"/>
      <c r="H132" s="13" t="s">
        <v>32</v>
      </c>
      <c r="I132" s="9" t="str">
        <f>IF(OR(H131="",H133=""),"",+IF(H131&gt;H133,E131,E133))</f>
        <v/>
      </c>
      <c r="J132" s="17"/>
      <c r="K132" s="10"/>
      <c r="L132" s="14"/>
      <c r="M132" s="10"/>
      <c r="N132" s="10"/>
      <c r="O132" s="10"/>
      <c r="P132" s="10"/>
      <c r="Q132" s="10"/>
    </row>
    <row r="133" spans="4:17" ht="13" thickBot="1">
      <c r="D133">
        <v>63</v>
      </c>
      <c r="E133" s="9"/>
      <c r="F133" s="9"/>
      <c r="G133" s="9"/>
      <c r="H133" s="16"/>
      <c r="I133" s="10"/>
      <c r="J133" s="14"/>
      <c r="K133" s="10"/>
      <c r="L133" s="14"/>
      <c r="M133" s="10"/>
      <c r="N133" s="10"/>
      <c r="O133" s="10"/>
      <c r="P133" s="10"/>
      <c r="Q133" s="10"/>
    </row>
    <row r="134" spans="4:17" ht="13" thickBot="1">
      <c r="E134" s="10"/>
      <c r="F134" s="10"/>
      <c r="G134" s="10"/>
      <c r="H134" s="10"/>
      <c r="I134" s="10"/>
      <c r="J134" s="14" t="s">
        <v>49</v>
      </c>
      <c r="K134" s="9" t="str">
        <f>IF(OR(J132="",J136=""),"",+IF(J132&gt;J136,I132,I136))</f>
        <v/>
      </c>
      <c r="L134" s="16"/>
      <c r="M134" s="10"/>
      <c r="N134" s="10"/>
      <c r="O134" s="10"/>
      <c r="P134" s="10"/>
      <c r="Q134" s="10"/>
    </row>
    <row r="135" spans="4:17" ht="13" thickBot="1">
      <c r="D135">
        <v>64</v>
      </c>
      <c r="E135" s="9"/>
      <c r="F135" s="9"/>
      <c r="G135" s="9"/>
      <c r="H135" s="11"/>
      <c r="I135" s="10"/>
      <c r="J135" s="14"/>
      <c r="K135" s="10"/>
      <c r="L135" s="10"/>
      <c r="M135" s="10"/>
      <c r="N135" s="10"/>
      <c r="O135" s="10"/>
      <c r="P135" s="10"/>
      <c r="Q135" s="10"/>
    </row>
    <row r="136" spans="4:17" ht="13" thickBot="1">
      <c r="E136" s="10"/>
      <c r="F136" s="10"/>
      <c r="G136" s="10"/>
      <c r="H136" s="13" t="s">
        <v>33</v>
      </c>
      <c r="I136" s="9" t="str">
        <f>IF(OR(H135="",H137=""),"",+IF(H135&gt;H137,E135,E137))</f>
        <v/>
      </c>
      <c r="J136" s="16"/>
      <c r="K136" s="10"/>
      <c r="L136" s="10"/>
      <c r="M136" s="10"/>
      <c r="N136" s="10"/>
      <c r="O136" s="10"/>
      <c r="P136" s="10"/>
      <c r="Q136" s="10"/>
    </row>
    <row r="137" spans="4:17" ht="13" thickBot="1">
      <c r="D137">
        <v>65</v>
      </c>
      <c r="E137" s="9"/>
      <c r="F137" s="9"/>
      <c r="G137" s="9"/>
      <c r="H137" s="16"/>
      <c r="I137" s="10"/>
      <c r="J137" s="10"/>
      <c r="K137" s="10"/>
      <c r="L137" s="10"/>
      <c r="M137" s="10"/>
      <c r="N137" s="10"/>
      <c r="O137" s="10"/>
      <c r="P137" s="10"/>
      <c r="Q137" s="10"/>
    </row>
    <row r="147" spans="18:18">
      <c r="R147" s="23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150" verticalDpi="15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60"/>
  <dimension ref="D4:AG134"/>
  <sheetViews>
    <sheetView showGridLines="0" topLeftCell="A32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3.52734375" customWidth="1"/>
    <col min="14" max="14" width="4.52734375" customWidth="1"/>
    <col min="15" max="15" width="16.87890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E7</f>
        <v>0</v>
      </c>
      <c r="V5" t="s">
        <v>77</v>
      </c>
      <c r="W5" s="29">
        <f>E9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E11</f>
        <v>0</v>
      </c>
      <c r="V6" t="s">
        <v>77</v>
      </c>
      <c r="W6" s="29">
        <f>E13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11"/>
      <c r="G7" s="10"/>
      <c r="H7" s="10"/>
      <c r="I7" s="10"/>
      <c r="J7" s="10"/>
      <c r="K7" s="10"/>
      <c r="L7" s="10"/>
      <c r="M7" s="10"/>
      <c r="N7" s="10"/>
      <c r="O7" s="10"/>
      <c r="T7">
        <v>3</v>
      </c>
      <c r="U7" s="28">
        <f>E15</f>
        <v>0</v>
      </c>
      <c r="V7" t="s">
        <v>77</v>
      </c>
      <c r="W7" s="29">
        <f>E17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 ht="13" thickBot="1">
      <c r="E8" s="12"/>
      <c r="F8" s="13" t="s">
        <v>1</v>
      </c>
      <c r="G8" s="9" t="str">
        <f>IF(OR(F7="",F9=""),"",+IF(F7&gt;F9,E7,E9))</f>
        <v/>
      </c>
      <c r="H8" s="17"/>
      <c r="I8" s="10"/>
      <c r="J8" s="10"/>
      <c r="K8" s="10"/>
      <c r="L8" s="10"/>
      <c r="M8" s="10"/>
      <c r="N8" s="10"/>
      <c r="O8" s="10"/>
      <c r="T8">
        <v>4</v>
      </c>
      <c r="U8" s="28">
        <f>E19</f>
        <v>0</v>
      </c>
      <c r="V8" t="s">
        <v>77</v>
      </c>
      <c r="W8" s="29">
        <f>E21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D9">
        <v>2</v>
      </c>
      <c r="E9" s="10"/>
      <c r="F9" s="16"/>
      <c r="G9" s="10"/>
      <c r="H9" s="14"/>
      <c r="I9" s="10"/>
      <c r="J9" s="10"/>
      <c r="K9" s="10"/>
      <c r="L9" s="10"/>
      <c r="M9" s="10"/>
      <c r="N9" s="10"/>
      <c r="O9" s="10"/>
      <c r="T9">
        <v>5</v>
      </c>
      <c r="U9" s="28">
        <f>E23</f>
        <v>0</v>
      </c>
      <c r="V9" t="s">
        <v>77</v>
      </c>
      <c r="W9" s="29">
        <f>E25</f>
        <v>0</v>
      </c>
      <c r="Z9" s="34"/>
      <c r="AA9" s="40"/>
      <c r="AB9" s="40"/>
      <c r="AC9" s="38" t="s">
        <v>159</v>
      </c>
      <c r="AD9" s="48"/>
      <c r="AE9" s="53" t="e">
        <f>LOOKUP(AD9,T$5:T$78,U$5:U$72)</f>
        <v>#N/A</v>
      </c>
      <c r="AF9" s="37" t="s">
        <v>157</v>
      </c>
      <c r="AG9" s="65" t="e">
        <f>LOOKUP(AD9,T$5:T$78,W$5:W$72)</f>
        <v>#N/A</v>
      </c>
    </row>
    <row r="10" spans="4:33" ht="13" thickBot="1">
      <c r="E10" s="12"/>
      <c r="F10" s="10"/>
      <c r="G10" s="10"/>
      <c r="H10" s="14" t="s">
        <v>33</v>
      </c>
      <c r="I10" s="9" t="str">
        <f>IF(OR(H8="",H12=""),"",+IF(H8&gt;H12,G8,G12))</f>
        <v/>
      </c>
      <c r="J10" s="17"/>
      <c r="K10" s="10"/>
      <c r="L10" s="10"/>
      <c r="M10" s="10"/>
      <c r="N10" s="10"/>
      <c r="O10" s="10"/>
      <c r="T10">
        <v>6</v>
      </c>
      <c r="U10" s="28">
        <f>E27</f>
        <v>0</v>
      </c>
      <c r="V10" t="s">
        <v>77</v>
      </c>
      <c r="W10" s="29">
        <f>E29</f>
        <v>0</v>
      </c>
      <c r="Z10" s="34"/>
      <c r="AA10" s="40"/>
      <c r="AB10" s="40"/>
      <c r="AC10" s="38" t="s">
        <v>159</v>
      </c>
      <c r="AD10" s="48"/>
      <c r="AE10" s="53" t="e">
        <f>LOOKUP(AD10,T$5:T$78,U$5:U$72)</f>
        <v>#N/A</v>
      </c>
      <c r="AF10" s="37" t="s">
        <v>157</v>
      </c>
      <c r="AG10" s="65" t="e">
        <f>LOOKUP(AD10,T$5:T$78,W$5:W$72)</f>
        <v>#N/A</v>
      </c>
    </row>
    <row r="11" spans="4:33" ht="13" thickBot="1">
      <c r="D11">
        <v>3</v>
      </c>
      <c r="E11" s="10"/>
      <c r="F11" s="11"/>
      <c r="G11" s="10"/>
      <c r="H11" s="14"/>
      <c r="I11" s="10"/>
      <c r="J11" s="13"/>
      <c r="K11" s="10"/>
      <c r="L11" s="10"/>
      <c r="M11" s="10"/>
      <c r="N11" s="10"/>
      <c r="O11" s="10"/>
      <c r="T11">
        <v>7</v>
      </c>
      <c r="U11" s="28">
        <f>E31</f>
        <v>0</v>
      </c>
      <c r="V11" t="s">
        <v>77</v>
      </c>
      <c r="W11" s="29">
        <f>E33</f>
        <v>0</v>
      </c>
      <c r="Z11" s="34"/>
      <c r="AA11" s="40"/>
      <c r="AB11" s="40"/>
      <c r="AC11" s="38" t="s">
        <v>159</v>
      </c>
      <c r="AD11" s="48"/>
      <c r="AE11" s="53" t="e">
        <f>LOOKUP(AD11,T$5:T$78,U$5:U$72)</f>
        <v>#N/A</v>
      </c>
      <c r="AF11" s="37" t="s">
        <v>157</v>
      </c>
      <c r="AG11" s="65" t="e">
        <f>LOOKUP(AD11,T$5:T$78,W$5:W$72)</f>
        <v>#N/A</v>
      </c>
    </row>
    <row r="12" spans="4:33" ht="13" thickBot="1">
      <c r="E12" s="12"/>
      <c r="F12" s="13" t="s">
        <v>2</v>
      </c>
      <c r="G12" s="9" t="str">
        <f>IF(OR(F11="",F13=""),"",+IF(F11&gt;F13,E11,E13))</f>
        <v/>
      </c>
      <c r="H12" s="16"/>
      <c r="I12" s="10"/>
      <c r="J12" s="14"/>
      <c r="K12" s="10"/>
      <c r="L12" s="10"/>
      <c r="M12" s="10"/>
      <c r="N12" s="10"/>
      <c r="O12" s="10"/>
      <c r="T12">
        <v>8</v>
      </c>
      <c r="U12" s="28">
        <f>E35</f>
        <v>0</v>
      </c>
      <c r="V12" t="s">
        <v>77</v>
      </c>
      <c r="W12" s="29">
        <f>E37</f>
        <v>0</v>
      </c>
      <c r="Z12" s="34"/>
      <c r="AA12" s="40"/>
      <c r="AB12" s="40"/>
      <c r="AC12" s="38" t="s">
        <v>159</v>
      </c>
      <c r="AD12" s="48"/>
      <c r="AE12" s="53" t="e">
        <f>LOOKUP(AD12,T$5:T$78,U$5:U$72)</f>
        <v>#N/A</v>
      </c>
      <c r="AF12" s="37" t="s">
        <v>157</v>
      </c>
      <c r="AG12" s="65" t="e">
        <f>LOOKUP(AD12,T$5:T$78,W$5:W$72)</f>
        <v>#N/A</v>
      </c>
    </row>
    <row r="13" spans="4:33" ht="13" thickBot="1">
      <c r="D13">
        <v>4</v>
      </c>
      <c r="E13" s="10"/>
      <c r="F13" s="16"/>
      <c r="G13" s="10"/>
      <c r="H13" s="10"/>
      <c r="I13" s="10"/>
      <c r="J13" s="14"/>
      <c r="K13" s="10"/>
      <c r="L13" s="10"/>
      <c r="M13" s="10"/>
      <c r="N13" s="10"/>
      <c r="O13" s="10"/>
      <c r="T13">
        <v>9</v>
      </c>
      <c r="U13" s="28">
        <f>E39</f>
        <v>0</v>
      </c>
      <c r="V13" t="s">
        <v>77</v>
      </c>
      <c r="W13" s="29">
        <f>E41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E14" s="12"/>
      <c r="F14" s="10"/>
      <c r="G14" s="10"/>
      <c r="H14" s="10"/>
      <c r="I14" s="10"/>
      <c r="J14" s="14" t="s">
        <v>49</v>
      </c>
      <c r="K14" s="9" t="str">
        <f>IF(OR(J10="",J18=""),"",+IF(J10&gt;J18,I10,I18))</f>
        <v/>
      </c>
      <c r="L14" s="17"/>
      <c r="M14" s="10"/>
      <c r="N14" s="10"/>
      <c r="O14" s="10"/>
      <c r="T14">
        <v>10</v>
      </c>
      <c r="U14" s="28">
        <f>E43</f>
        <v>0</v>
      </c>
      <c r="V14" t="s">
        <v>77</v>
      </c>
      <c r="W14" s="29">
        <f>E45</f>
        <v>0</v>
      </c>
      <c r="Z14" s="34"/>
      <c r="AA14" s="40"/>
      <c r="AB14" s="40"/>
      <c r="AC14" s="38" t="s">
        <v>159</v>
      </c>
      <c r="AD14" s="48"/>
      <c r="AE14" s="53" t="e">
        <f>LOOKUP(AD14,T$5:T$78,U$5:U$72)</f>
        <v>#N/A</v>
      </c>
      <c r="AF14" s="37" t="s">
        <v>157</v>
      </c>
      <c r="AG14" s="65" t="e">
        <f>LOOKUP(AD14,T$5:T$78,W$5:W$72)</f>
        <v>#N/A</v>
      </c>
    </row>
    <row r="15" spans="4:33" ht="13" thickBot="1">
      <c r="D15">
        <v>5</v>
      </c>
      <c r="E15" s="10"/>
      <c r="F15" s="11"/>
      <c r="G15" s="10"/>
      <c r="H15" s="10"/>
      <c r="I15" s="10"/>
      <c r="J15" s="14"/>
      <c r="K15" s="10"/>
      <c r="L15" s="13"/>
      <c r="M15" s="10"/>
      <c r="N15" s="10"/>
      <c r="O15" s="10"/>
      <c r="T15">
        <v>11</v>
      </c>
      <c r="U15" s="28">
        <f>E47</f>
        <v>0</v>
      </c>
      <c r="V15" t="s">
        <v>77</v>
      </c>
      <c r="W15" s="29">
        <f>E49</f>
        <v>0</v>
      </c>
      <c r="Z15" s="34"/>
      <c r="AA15" s="40"/>
      <c r="AB15" s="40"/>
      <c r="AC15" s="38" t="s">
        <v>159</v>
      </c>
      <c r="AD15" s="48"/>
      <c r="AE15" s="53" t="e">
        <f>LOOKUP(AD15,T$5:T$78,U$5:U$72)</f>
        <v>#N/A</v>
      </c>
      <c r="AF15" s="37" t="s">
        <v>157</v>
      </c>
      <c r="AG15" s="65" t="e">
        <f>LOOKUP(AD15,T$5:T$78,W$5:W$72)</f>
        <v>#N/A</v>
      </c>
    </row>
    <row r="16" spans="4:33" ht="13" thickBot="1">
      <c r="E16" s="12"/>
      <c r="F16" s="13" t="s">
        <v>3</v>
      </c>
      <c r="G16" s="9" t="str">
        <f>IF(OR(F15="",F17=""),"",+IF(F15&gt;F17,E15,E17))</f>
        <v/>
      </c>
      <c r="H16" s="17"/>
      <c r="I16" s="10"/>
      <c r="J16" s="14"/>
      <c r="K16" s="10"/>
      <c r="L16" s="14"/>
      <c r="M16" s="10"/>
      <c r="N16" s="10"/>
      <c r="O16" s="10"/>
      <c r="T16">
        <v>12</v>
      </c>
      <c r="U16" s="28">
        <f>E51</f>
        <v>0</v>
      </c>
      <c r="V16" t="s">
        <v>77</v>
      </c>
      <c r="W16" s="29">
        <f>E53</f>
        <v>0</v>
      </c>
      <c r="Z16" s="34"/>
      <c r="AA16" s="40"/>
      <c r="AB16" s="40"/>
      <c r="AC16" s="38" t="s">
        <v>159</v>
      </c>
      <c r="AD16" s="48"/>
      <c r="AE16" s="53" t="e">
        <f>LOOKUP(AD16,T$5:T$78,U$5:U$72)</f>
        <v>#N/A</v>
      </c>
      <c r="AF16" s="37" t="s">
        <v>157</v>
      </c>
      <c r="AG16" s="65" t="e">
        <f>LOOKUP(AD16,T$5:T$78,W$5:W$72)</f>
        <v>#N/A</v>
      </c>
    </row>
    <row r="17" spans="4:33" ht="13" thickBot="1">
      <c r="D17">
        <v>6</v>
      </c>
      <c r="E17" s="10"/>
      <c r="F17" s="16"/>
      <c r="G17" s="10"/>
      <c r="H17" s="14"/>
      <c r="I17" s="10"/>
      <c r="J17" s="14"/>
      <c r="K17" s="10"/>
      <c r="L17" s="14"/>
      <c r="M17" s="10"/>
      <c r="N17" s="10"/>
      <c r="O17" s="10"/>
      <c r="T17">
        <v>13</v>
      </c>
      <c r="U17" s="28">
        <f>E55</f>
        <v>0</v>
      </c>
      <c r="V17" t="s">
        <v>77</v>
      </c>
      <c r="W17" s="29">
        <f>E57</f>
        <v>0</v>
      </c>
      <c r="Z17" s="34"/>
      <c r="AA17" s="40"/>
      <c r="AB17" s="40"/>
      <c r="AC17" s="38" t="s">
        <v>159</v>
      </c>
      <c r="AD17" s="48"/>
      <c r="AE17" s="53" t="e">
        <f>LOOKUP(AD17,T$5:T$78,U$5:U$72)</f>
        <v>#N/A</v>
      </c>
      <c r="AF17" s="37" t="s">
        <v>157</v>
      </c>
      <c r="AG17" s="65" t="e">
        <f>LOOKUP(AD17,T$5:T$78,W$5:W$72)</f>
        <v>#N/A</v>
      </c>
    </row>
    <row r="18" spans="4:33" ht="13" thickBot="1">
      <c r="E18" s="12"/>
      <c r="F18" s="10"/>
      <c r="G18" s="10"/>
      <c r="H18" s="14" t="s">
        <v>34</v>
      </c>
      <c r="I18" s="9" t="str">
        <f>IF(OR(H16="",H20=""),"",+IF(H16&gt;H20,G16,G20))</f>
        <v/>
      </c>
      <c r="J18" s="16"/>
      <c r="K18" s="10"/>
      <c r="L18" s="14"/>
      <c r="M18" s="10"/>
      <c r="N18" s="10"/>
      <c r="O18" s="10"/>
      <c r="T18">
        <v>14</v>
      </c>
      <c r="U18" s="28">
        <f>E59</f>
        <v>0</v>
      </c>
      <c r="V18" t="s">
        <v>77</v>
      </c>
      <c r="W18" s="29">
        <f>E61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D19">
        <v>7</v>
      </c>
      <c r="E19" s="10"/>
      <c r="F19" s="11"/>
      <c r="G19" s="10"/>
      <c r="H19" s="14"/>
      <c r="I19" s="10"/>
      <c r="J19" s="10"/>
      <c r="K19" s="10"/>
      <c r="L19" s="14"/>
      <c r="M19" s="10"/>
      <c r="N19" s="10"/>
      <c r="O19" s="10"/>
      <c r="T19">
        <v>15</v>
      </c>
      <c r="U19" s="28">
        <f>E63</f>
        <v>0</v>
      </c>
      <c r="V19" t="s">
        <v>77</v>
      </c>
      <c r="W19" s="29">
        <f>E65</f>
        <v>0</v>
      </c>
      <c r="Z19" s="34"/>
      <c r="AA19" s="40"/>
      <c r="AB19" s="40"/>
      <c r="AC19" s="38" t="s">
        <v>159</v>
      </c>
      <c r="AD19" s="48"/>
      <c r="AE19" s="53" t="e">
        <f>LOOKUP(AD19,T$5:T$78,U$5:U$72)</f>
        <v>#N/A</v>
      </c>
      <c r="AF19" s="37" t="s">
        <v>157</v>
      </c>
      <c r="AG19" s="65" t="e">
        <f>LOOKUP(AD19,T$5:T$78,W$5:W$72)</f>
        <v>#N/A</v>
      </c>
    </row>
    <row r="20" spans="4:33" ht="13" thickBot="1">
      <c r="E20" s="12"/>
      <c r="F20" s="13" t="s">
        <v>4</v>
      </c>
      <c r="G20" s="9" t="str">
        <f>IF(OR(F19="",F21=""),"",+IF(F19&gt;F21,E19,E21))</f>
        <v/>
      </c>
      <c r="H20" s="16"/>
      <c r="I20" s="10"/>
      <c r="J20" s="10"/>
      <c r="K20" s="10"/>
      <c r="L20" s="14"/>
      <c r="M20" s="10"/>
      <c r="N20" s="10"/>
      <c r="O20" s="10"/>
      <c r="T20">
        <v>16</v>
      </c>
      <c r="U20" s="28">
        <f>E67</f>
        <v>0</v>
      </c>
      <c r="V20" t="s">
        <v>77</v>
      </c>
      <c r="W20" s="29">
        <f>E69</f>
        <v>0</v>
      </c>
      <c r="Z20" s="34"/>
      <c r="AA20" s="40"/>
      <c r="AB20" s="40"/>
      <c r="AC20" s="38" t="s">
        <v>159</v>
      </c>
      <c r="AD20" s="48"/>
      <c r="AE20" s="53" t="e">
        <f>LOOKUP(AD20,T$5:T$78,U$5:U$72)</f>
        <v>#N/A</v>
      </c>
      <c r="AF20" s="37" t="s">
        <v>157</v>
      </c>
      <c r="AG20" s="65" t="e">
        <f>LOOKUP(AD20,T$5:T$78,W$5:W$72)</f>
        <v>#N/A</v>
      </c>
    </row>
    <row r="21" spans="4:33" ht="13" thickBot="1">
      <c r="D21">
        <v>8</v>
      </c>
      <c r="E21" s="9"/>
      <c r="F21" s="16"/>
      <c r="G21" s="10"/>
      <c r="H21" s="10"/>
      <c r="I21" s="10"/>
      <c r="J21" s="10"/>
      <c r="K21" s="10"/>
      <c r="L21" s="14"/>
      <c r="M21" s="10"/>
      <c r="N21" s="10"/>
      <c r="O21" s="10"/>
      <c r="T21">
        <v>17</v>
      </c>
      <c r="U21" s="28">
        <f>E72</f>
        <v>0</v>
      </c>
      <c r="V21" t="s">
        <v>77</v>
      </c>
      <c r="W21" s="29">
        <f>70</f>
        <v>70</v>
      </c>
      <c r="Z21" s="34"/>
      <c r="AA21" s="40"/>
      <c r="AB21" s="40"/>
      <c r="AC21" s="38" t="s">
        <v>159</v>
      </c>
      <c r="AD21" s="48"/>
      <c r="AE21" s="53" t="e">
        <f>LOOKUP(AD21,T$5:T$78,U$5:U$72)</f>
        <v>#N/A</v>
      </c>
      <c r="AF21" s="37" t="s">
        <v>157</v>
      </c>
      <c r="AG21" s="65" t="e">
        <f>LOOKUP(AD21,T$5:T$78,W$5:W$72)</f>
        <v>#N/A</v>
      </c>
    </row>
    <row r="22" spans="4:33" ht="13" thickBot="1">
      <c r="E22" s="10"/>
      <c r="F22" s="10"/>
      <c r="G22" s="10"/>
      <c r="H22" s="10"/>
      <c r="I22" s="10"/>
      <c r="J22" s="10"/>
      <c r="K22" s="10"/>
      <c r="L22" s="14" t="s">
        <v>57</v>
      </c>
      <c r="M22" s="9" t="str">
        <f>IF(OR(L14="",L30=""),"",+IF(L14&gt;L30,K14,K30))</f>
        <v/>
      </c>
      <c r="N22" s="17"/>
      <c r="O22" s="10"/>
      <c r="T22">
        <v>18</v>
      </c>
      <c r="U22" s="28">
        <f>E76</f>
        <v>0</v>
      </c>
      <c r="V22" t="s">
        <v>77</v>
      </c>
      <c r="W22" s="29">
        <f>E78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D23">
        <v>9</v>
      </c>
      <c r="E23" s="10"/>
      <c r="F23" s="11"/>
      <c r="G23" s="10"/>
      <c r="H23" s="10"/>
      <c r="I23" s="10"/>
      <c r="J23" s="10"/>
      <c r="K23" s="10"/>
      <c r="L23" s="14"/>
      <c r="M23" s="10"/>
      <c r="N23" s="14"/>
      <c r="O23" s="10"/>
      <c r="T23">
        <v>19</v>
      </c>
      <c r="U23" s="28">
        <f>E80</f>
        <v>0</v>
      </c>
      <c r="V23" t="s">
        <v>77</v>
      </c>
      <c r="W23" s="29">
        <f>E82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E24" s="12"/>
      <c r="F24" s="13" t="s">
        <v>5</v>
      </c>
      <c r="G24" s="9" t="str">
        <f>IF(OR(F23="",F25=""),"",+IF(F23&gt;F25,E23,E25))</f>
        <v/>
      </c>
      <c r="H24" s="17"/>
      <c r="I24" s="10"/>
      <c r="J24" s="10"/>
      <c r="K24" s="10"/>
      <c r="L24" s="14"/>
      <c r="M24" s="10"/>
      <c r="N24" s="14"/>
      <c r="O24" s="10"/>
      <c r="T24">
        <v>20</v>
      </c>
      <c r="U24" s="28">
        <f>E84</f>
        <v>0</v>
      </c>
      <c r="V24" t="s">
        <v>77</v>
      </c>
      <c r="W24" s="29">
        <f>E86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D25">
        <v>10</v>
      </c>
      <c r="E25" s="10"/>
      <c r="F25" s="16"/>
      <c r="G25" s="10"/>
      <c r="H25" s="14"/>
      <c r="I25" s="10"/>
      <c r="J25" s="10"/>
      <c r="K25" s="10"/>
      <c r="L25" s="14"/>
      <c r="M25" s="10"/>
      <c r="N25" s="14"/>
      <c r="O25" s="10"/>
      <c r="T25">
        <v>21</v>
      </c>
      <c r="U25" s="28">
        <f>E88</f>
        <v>0</v>
      </c>
      <c r="V25" t="s">
        <v>77</v>
      </c>
      <c r="W25" s="29">
        <f>E90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E26" s="12"/>
      <c r="F26" s="10"/>
      <c r="G26" s="10"/>
      <c r="H26" s="14" t="s">
        <v>35</v>
      </c>
      <c r="I26" s="9" t="str">
        <f>IF(OR(H24="",H28=""),"",+IF(H24&gt;H28,G24,G28))</f>
        <v/>
      </c>
      <c r="J26" s="17"/>
      <c r="K26" s="10"/>
      <c r="L26" s="14"/>
      <c r="M26" s="10"/>
      <c r="N26" s="14"/>
      <c r="O26" s="10"/>
      <c r="T26">
        <v>22</v>
      </c>
      <c r="U26" s="28">
        <f>E92</f>
        <v>0</v>
      </c>
      <c r="V26" t="s">
        <v>77</v>
      </c>
      <c r="W26" s="29">
        <f>E94</f>
        <v>0</v>
      </c>
      <c r="Z26" s="34"/>
      <c r="AA26" s="40"/>
      <c r="AB26" s="40"/>
      <c r="AC26" s="38" t="s">
        <v>159</v>
      </c>
      <c r="AD26" s="48"/>
      <c r="AE26" s="53" t="e">
        <f>LOOKUP(AD26,T$5:T$78,U$5:U$72)</f>
        <v>#N/A</v>
      </c>
      <c r="AF26" s="37" t="s">
        <v>157</v>
      </c>
      <c r="AG26" s="65" t="e">
        <f>LOOKUP(AD26,T$5:T$78,W$5:W$72)</f>
        <v>#N/A</v>
      </c>
    </row>
    <row r="27" spans="4:33" ht="13" thickBot="1">
      <c r="D27">
        <v>11</v>
      </c>
      <c r="E27" s="10"/>
      <c r="F27" s="11"/>
      <c r="G27" s="10"/>
      <c r="H27" s="14"/>
      <c r="I27" s="10"/>
      <c r="J27" s="13"/>
      <c r="K27" s="10"/>
      <c r="L27" s="14"/>
      <c r="M27" s="10"/>
      <c r="N27" s="14"/>
      <c r="O27" s="10"/>
      <c r="T27">
        <v>23</v>
      </c>
      <c r="U27" s="28">
        <f>E96</f>
        <v>0</v>
      </c>
      <c r="V27" t="s">
        <v>77</v>
      </c>
      <c r="W27" s="29">
        <f>E98</f>
        <v>0</v>
      </c>
      <c r="Z27" s="34"/>
      <c r="AA27" s="40"/>
      <c r="AB27" s="40"/>
      <c r="AC27" s="38" t="s">
        <v>159</v>
      </c>
      <c r="AD27" s="48"/>
      <c r="AE27" s="53" t="e">
        <f>LOOKUP(AD27,T$5:T$78,U$5:U$72)</f>
        <v>#N/A</v>
      </c>
      <c r="AF27" s="37" t="s">
        <v>157</v>
      </c>
      <c r="AG27" s="65" t="e">
        <f>LOOKUP(AD27,T$5:T$78,W$5:W$72)</f>
        <v>#N/A</v>
      </c>
    </row>
    <row r="28" spans="4:33" ht="13" thickBot="1">
      <c r="E28" s="12"/>
      <c r="F28" s="13" t="s">
        <v>6</v>
      </c>
      <c r="G28" s="9" t="str">
        <f>IF(OR(F27="",F29=""),"",+IF(F27&gt;F29,E27,E29))</f>
        <v/>
      </c>
      <c r="H28" s="16"/>
      <c r="I28" s="10"/>
      <c r="J28" s="14"/>
      <c r="K28" s="10"/>
      <c r="L28" s="14"/>
      <c r="M28" s="10"/>
      <c r="N28" s="14"/>
      <c r="O28" s="10"/>
      <c r="T28">
        <v>24</v>
      </c>
      <c r="U28" s="28">
        <f>E100</f>
        <v>0</v>
      </c>
      <c r="V28" t="s">
        <v>77</v>
      </c>
      <c r="W28" s="29">
        <f>E102</f>
        <v>0</v>
      </c>
      <c r="Z28" s="34"/>
      <c r="AA28" s="40"/>
      <c r="AB28" s="40"/>
      <c r="AC28" s="38" t="s">
        <v>159</v>
      </c>
      <c r="AD28" s="48"/>
      <c r="AE28" s="53" t="e">
        <f>LOOKUP(AD28,T$5:T$78,U$5:U$72)</f>
        <v>#N/A</v>
      </c>
      <c r="AF28" s="37" t="s">
        <v>157</v>
      </c>
      <c r="AG28" s="65" t="e">
        <f>LOOKUP(AD28,T$5:T$78,W$5:W$72)</f>
        <v>#N/A</v>
      </c>
    </row>
    <row r="29" spans="4:33" ht="13" thickBot="1">
      <c r="D29">
        <v>12</v>
      </c>
      <c r="E29" s="10"/>
      <c r="F29" s="16"/>
      <c r="G29" s="10"/>
      <c r="H29" s="10"/>
      <c r="I29" s="10"/>
      <c r="J29" s="14"/>
      <c r="K29" s="10"/>
      <c r="L29" s="14"/>
      <c r="M29" s="10"/>
      <c r="N29" s="14"/>
      <c r="O29" s="10"/>
      <c r="T29">
        <v>25</v>
      </c>
      <c r="U29" s="28">
        <f>E104</f>
        <v>0</v>
      </c>
      <c r="V29" t="s">
        <v>77</v>
      </c>
      <c r="W29" s="29">
        <f>E106</f>
        <v>0</v>
      </c>
      <c r="Z29" s="34"/>
      <c r="AA29" s="40"/>
      <c r="AB29" s="40"/>
      <c r="AC29" s="38" t="s">
        <v>159</v>
      </c>
      <c r="AD29" s="48"/>
      <c r="AE29" s="53" t="e">
        <f>LOOKUP(AD29,T$5:T$78,U$5:U$72)</f>
        <v>#N/A</v>
      </c>
      <c r="AF29" s="37" t="s">
        <v>157</v>
      </c>
      <c r="AG29" s="65" t="e">
        <f>LOOKUP(AD29,T$5:T$78,W$5:W$72)</f>
        <v>#N/A</v>
      </c>
    </row>
    <row r="30" spans="4:33" ht="13" thickBot="1">
      <c r="E30" s="12"/>
      <c r="F30" s="10"/>
      <c r="G30" s="10"/>
      <c r="H30" s="10"/>
      <c r="I30" s="10"/>
      <c r="J30" s="14" t="s">
        <v>50</v>
      </c>
      <c r="K30" s="9" t="str">
        <f>IF(OR(J26="",J34=""),"",+IF(J26&gt;J34,I26,I34))</f>
        <v/>
      </c>
      <c r="L30" s="16"/>
      <c r="M30" s="10"/>
      <c r="N30" s="14"/>
      <c r="O30" s="10"/>
      <c r="T30">
        <v>26</v>
      </c>
      <c r="U30" s="28">
        <f>E108</f>
        <v>0</v>
      </c>
      <c r="V30" t="s">
        <v>77</v>
      </c>
      <c r="W30" s="29">
        <f>E110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D31">
        <v>13</v>
      </c>
      <c r="E31" s="10"/>
      <c r="F31" s="11"/>
      <c r="G31" s="10"/>
      <c r="H31" s="10"/>
      <c r="I31" s="10"/>
      <c r="J31" s="14"/>
      <c r="K31" s="10"/>
      <c r="L31" s="10"/>
      <c r="M31" s="10"/>
      <c r="N31" s="14"/>
      <c r="O31" s="10"/>
      <c r="T31">
        <v>27</v>
      </c>
      <c r="U31" s="28">
        <f>E112</f>
        <v>0</v>
      </c>
      <c r="V31" t="s">
        <v>77</v>
      </c>
      <c r="W31" s="29">
        <f>E114</f>
        <v>0</v>
      </c>
      <c r="Z31" s="34"/>
      <c r="AA31" s="40"/>
      <c r="AB31" s="40"/>
      <c r="AC31" s="38" t="s">
        <v>159</v>
      </c>
      <c r="AD31" s="48"/>
      <c r="AE31" s="53" t="e">
        <f>LOOKUP(AD31,T$5:T$78,U$5:U$72)</f>
        <v>#N/A</v>
      </c>
      <c r="AF31" s="37" t="s">
        <v>157</v>
      </c>
      <c r="AG31" s="65" t="e">
        <f>LOOKUP(AD31,T$5:T$78,W$5:W$72)</f>
        <v>#N/A</v>
      </c>
    </row>
    <row r="32" spans="4:33" ht="13" thickBot="1">
      <c r="E32" s="12"/>
      <c r="F32" s="13" t="s">
        <v>7</v>
      </c>
      <c r="G32" s="9" t="str">
        <f>IF(OR(F31="",F33=""),"",+IF(F31&gt;F33,E31,E33))</f>
        <v/>
      </c>
      <c r="H32" s="17"/>
      <c r="I32" s="10"/>
      <c r="J32" s="14"/>
      <c r="K32" s="10"/>
      <c r="L32" s="10"/>
      <c r="M32" s="10"/>
      <c r="N32" s="14"/>
      <c r="O32" s="10"/>
      <c r="T32">
        <v>28</v>
      </c>
      <c r="U32" s="28">
        <f>E116</f>
        <v>0</v>
      </c>
      <c r="V32" t="s">
        <v>77</v>
      </c>
      <c r="W32" s="29">
        <f>E118</f>
        <v>0</v>
      </c>
      <c r="Z32" s="34"/>
      <c r="AA32" s="40"/>
      <c r="AB32" s="40"/>
      <c r="AC32" s="38" t="s">
        <v>159</v>
      </c>
      <c r="AD32" s="48"/>
      <c r="AE32" s="53" t="e">
        <f>LOOKUP(AD32,T$5:T$78,U$5:U$72)</f>
        <v>#N/A</v>
      </c>
      <c r="AF32" s="37" t="s">
        <v>157</v>
      </c>
      <c r="AG32" s="65" t="e">
        <f>LOOKUP(AD32,T$5:T$78,W$5:W$72)</f>
        <v>#N/A</v>
      </c>
    </row>
    <row r="33" spans="4:33" ht="13" thickBot="1">
      <c r="D33">
        <v>14</v>
      </c>
      <c r="E33" s="10"/>
      <c r="F33" s="16"/>
      <c r="G33" s="10"/>
      <c r="H33" s="14"/>
      <c r="I33" s="10"/>
      <c r="J33" s="14"/>
      <c r="K33" s="10"/>
      <c r="L33" s="10"/>
      <c r="M33" s="10"/>
      <c r="N33" s="14"/>
      <c r="O33" s="10"/>
      <c r="T33">
        <v>29</v>
      </c>
      <c r="U33" s="28">
        <f>E120</f>
        <v>0</v>
      </c>
      <c r="V33" t="s">
        <v>77</v>
      </c>
      <c r="W33" s="29">
        <f>E122</f>
        <v>0</v>
      </c>
      <c r="Z33" s="34"/>
      <c r="AA33" s="40"/>
      <c r="AB33" s="40"/>
      <c r="AC33" s="38" t="s">
        <v>159</v>
      </c>
      <c r="AD33" s="48"/>
      <c r="AE33" s="53" t="e">
        <f>LOOKUP(AD33,T$5:T$78,U$5:U$72)</f>
        <v>#N/A</v>
      </c>
      <c r="AF33" s="37" t="s">
        <v>157</v>
      </c>
      <c r="AG33" s="65" t="e">
        <f>LOOKUP(AD33,T$5:T$78,W$5:W$72)</f>
        <v>#N/A</v>
      </c>
    </row>
    <row r="34" spans="4:33" ht="13" thickBot="1">
      <c r="E34" s="12"/>
      <c r="F34" s="10"/>
      <c r="G34" s="10"/>
      <c r="H34" s="14" t="s">
        <v>36</v>
      </c>
      <c r="I34" s="9" t="str">
        <f>IF(OR(H32="",H36=""),"",+IF(H32&gt;H36,G32,G36))</f>
        <v/>
      </c>
      <c r="J34" s="16"/>
      <c r="K34" s="10"/>
      <c r="L34" s="10"/>
      <c r="M34" s="10"/>
      <c r="N34" s="14"/>
      <c r="O34" s="10"/>
      <c r="T34">
        <v>30</v>
      </c>
      <c r="U34" s="28">
        <f>E124</f>
        <v>0</v>
      </c>
      <c r="V34" t="s">
        <v>77</v>
      </c>
      <c r="W34" s="29">
        <f>E126</f>
        <v>0</v>
      </c>
      <c r="Z34" s="34"/>
      <c r="AA34" s="40"/>
      <c r="AB34" s="40"/>
      <c r="AC34" s="38" t="s">
        <v>159</v>
      </c>
      <c r="AD34" s="48"/>
      <c r="AE34" s="53" t="e">
        <f>LOOKUP(AD34,T$5:T$78,U$5:U$72)</f>
        <v>#N/A</v>
      </c>
      <c r="AF34" s="37" t="s">
        <v>157</v>
      </c>
      <c r="AG34" s="65" t="e">
        <f>LOOKUP(AD34,T$5:T$78,W$5:W$72)</f>
        <v>#N/A</v>
      </c>
    </row>
    <row r="35" spans="4:33" ht="13" thickBot="1">
      <c r="D35">
        <v>15</v>
      </c>
      <c r="E35" s="10"/>
      <c r="F35" s="11"/>
      <c r="G35" s="10"/>
      <c r="H35" s="14"/>
      <c r="I35" s="10"/>
      <c r="J35" s="10"/>
      <c r="K35" s="10"/>
      <c r="L35" s="10"/>
      <c r="M35" s="10"/>
      <c r="N35" s="14"/>
      <c r="O35" s="10"/>
      <c r="T35">
        <v>31</v>
      </c>
      <c r="U35" s="28">
        <f>E128</f>
        <v>0</v>
      </c>
      <c r="V35" t="s">
        <v>77</v>
      </c>
      <c r="W35" s="29">
        <f>E130</f>
        <v>0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E36" s="12"/>
      <c r="F36" s="13" t="s">
        <v>8</v>
      </c>
      <c r="G36" s="9" t="str">
        <f>IF(OR(F35="",F37=""),"",+IF(F35&gt;F37,E35,E37))</f>
        <v/>
      </c>
      <c r="H36" s="16"/>
      <c r="I36" s="10"/>
      <c r="J36" s="10"/>
      <c r="K36" s="10"/>
      <c r="L36" s="10"/>
      <c r="M36" s="10"/>
      <c r="N36" s="14"/>
      <c r="O36" s="10"/>
      <c r="T36">
        <v>32</v>
      </c>
      <c r="U36" s="28">
        <f>E132</f>
        <v>0</v>
      </c>
      <c r="V36" t="s">
        <v>77</v>
      </c>
      <c r="W36" s="29">
        <f>E134</f>
        <v>0</v>
      </c>
      <c r="Z36" s="34"/>
      <c r="AA36" s="40"/>
      <c r="AB36" s="40"/>
      <c r="AC36" s="38" t="s">
        <v>159</v>
      </c>
      <c r="AD36" s="48"/>
      <c r="AE36" s="53" t="e">
        <f>LOOKUP(AD36,T$5:T$78,U$5:U$72)</f>
        <v>#N/A</v>
      </c>
      <c r="AF36" s="37" t="s">
        <v>157</v>
      </c>
      <c r="AG36" s="65" t="e">
        <f>LOOKUP(AD36,T$5:T$78,W$5:W$72)</f>
        <v>#N/A</v>
      </c>
    </row>
    <row r="37" spans="4:33" ht="13" thickBot="1">
      <c r="D37">
        <v>16</v>
      </c>
      <c r="E37" s="9"/>
      <c r="F37" s="16"/>
      <c r="G37" s="10"/>
      <c r="H37" s="10"/>
      <c r="I37" s="10"/>
      <c r="J37" s="10"/>
      <c r="K37" s="10"/>
      <c r="L37" s="10"/>
      <c r="M37" s="10"/>
      <c r="N37" s="14"/>
      <c r="O37" s="10"/>
      <c r="T37">
        <v>33</v>
      </c>
      <c r="U37" s="28" t="s">
        <v>78</v>
      </c>
      <c r="V37" t="s">
        <v>77</v>
      </c>
      <c r="W37" s="29" t="s">
        <v>160</v>
      </c>
      <c r="Z37" s="34"/>
      <c r="AA37" s="40"/>
      <c r="AB37" s="40"/>
      <c r="AC37" s="38" t="s">
        <v>159</v>
      </c>
      <c r="AD37" s="48"/>
      <c r="AE37" s="53" t="e">
        <f>LOOKUP(AD37,T$5:T$78,U$5:U$72)</f>
        <v>#N/A</v>
      </c>
      <c r="AF37" s="37" t="s">
        <v>157</v>
      </c>
      <c r="AG37" s="65" t="e">
        <f>LOOKUP(AD37,T$5:T$78,W$5:W$72)</f>
        <v>#N/A</v>
      </c>
    </row>
    <row r="38" spans="4:33" ht="13" thickBot="1">
      <c r="E38" s="10"/>
      <c r="F38" s="10"/>
      <c r="G38" s="10"/>
      <c r="H38" s="10"/>
      <c r="I38" s="10"/>
      <c r="J38" s="10"/>
      <c r="K38" s="10"/>
      <c r="L38" s="10"/>
      <c r="M38" s="10"/>
      <c r="N38" s="14" t="s">
        <v>61</v>
      </c>
      <c r="O38" s="9" t="str">
        <f>IF(OR(N22="",N54=""),"",+IF(N22&gt;N54,M22,M54))</f>
        <v/>
      </c>
      <c r="T38">
        <v>34</v>
      </c>
      <c r="U38" s="28" t="s">
        <v>161</v>
      </c>
      <c r="V38" t="s">
        <v>77</v>
      </c>
      <c r="W38" s="29" t="s">
        <v>81</v>
      </c>
      <c r="Z38" s="34"/>
      <c r="AA38" s="40"/>
      <c r="AB38" s="40"/>
      <c r="AC38" s="38" t="s">
        <v>159</v>
      </c>
      <c r="AD38" s="48"/>
      <c r="AE38" s="53" t="e">
        <f>LOOKUP(AD38,T$5:T$78,U$5:U$72)</f>
        <v>#N/A</v>
      </c>
      <c r="AF38" s="37" t="s">
        <v>157</v>
      </c>
      <c r="AG38" s="65" t="e">
        <f>LOOKUP(AD38,T$5:T$78,W$5:W$72)</f>
        <v>#N/A</v>
      </c>
    </row>
    <row r="39" spans="4:33" ht="13" thickBot="1">
      <c r="D39">
        <v>17</v>
      </c>
      <c r="E39" s="10"/>
      <c r="F39" s="11"/>
      <c r="G39" s="10"/>
      <c r="H39" s="10"/>
      <c r="I39" s="10"/>
      <c r="J39" s="10"/>
      <c r="K39" s="10"/>
      <c r="L39" s="10"/>
      <c r="M39" s="10"/>
      <c r="N39" s="14"/>
      <c r="O39" s="13"/>
      <c r="T39">
        <v>35</v>
      </c>
      <c r="U39" s="28" t="s">
        <v>162</v>
      </c>
      <c r="V39" t="s">
        <v>77</v>
      </c>
      <c r="W39" s="29" t="s">
        <v>163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E40" s="12"/>
      <c r="F40" s="13" t="s">
        <v>9</v>
      </c>
      <c r="G40" s="9" t="str">
        <f>IF(OR(F39="",F41=""),"",+IF(F39&gt;F41,E39,E41))</f>
        <v/>
      </c>
      <c r="H40" s="17"/>
      <c r="I40" s="10"/>
      <c r="J40" s="10"/>
      <c r="K40" s="10"/>
      <c r="L40" s="10"/>
      <c r="M40" s="10"/>
      <c r="N40" s="14"/>
      <c r="O40" s="14"/>
      <c r="T40">
        <v>36</v>
      </c>
      <c r="U40" s="28" t="s">
        <v>84</v>
      </c>
      <c r="V40" t="s">
        <v>77</v>
      </c>
      <c r="W40" s="29" t="s">
        <v>164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18</v>
      </c>
      <c r="E41" s="10"/>
      <c r="F41" s="16"/>
      <c r="G41" s="10"/>
      <c r="H41" s="14"/>
      <c r="I41" s="10"/>
      <c r="J41" s="10"/>
      <c r="K41" s="10"/>
      <c r="L41" s="10"/>
      <c r="M41" s="10"/>
      <c r="N41" s="14"/>
      <c r="O41" s="14"/>
      <c r="T41">
        <v>37</v>
      </c>
      <c r="U41" s="28" t="s">
        <v>86</v>
      </c>
      <c r="V41" t="s">
        <v>77</v>
      </c>
      <c r="W41" s="29" t="s">
        <v>87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2"/>
      <c r="F42" s="10"/>
      <c r="G42" s="10"/>
      <c r="H42" s="14" t="s">
        <v>37</v>
      </c>
      <c r="I42" s="9" t="str">
        <f>IF(OR(H40="",H44=""),"",+IF(H40&gt;H44,G40,G44))</f>
        <v/>
      </c>
      <c r="J42" s="17"/>
      <c r="K42" s="10"/>
      <c r="L42" s="10"/>
      <c r="M42" s="10"/>
      <c r="N42" s="14"/>
      <c r="O42" s="14"/>
      <c r="T42">
        <v>38</v>
      </c>
      <c r="U42" s="28" t="s">
        <v>88</v>
      </c>
      <c r="V42" t="s">
        <v>77</v>
      </c>
      <c r="W42" s="29" t="s">
        <v>89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19</v>
      </c>
      <c r="E43" s="10"/>
      <c r="F43" s="11"/>
      <c r="G43" s="10"/>
      <c r="H43" s="14"/>
      <c r="I43" s="10"/>
      <c r="J43" s="13"/>
      <c r="K43" s="10"/>
      <c r="L43" s="10"/>
      <c r="M43" s="10"/>
      <c r="N43" s="14"/>
      <c r="O43" s="14"/>
      <c r="T43">
        <v>39</v>
      </c>
      <c r="U43" s="28" t="s">
        <v>90</v>
      </c>
      <c r="V43" t="s">
        <v>77</v>
      </c>
      <c r="W43" s="29" t="s">
        <v>91</v>
      </c>
      <c r="Z43" s="34"/>
      <c r="AA43" s="40"/>
      <c r="AB43" s="40"/>
      <c r="AC43" s="38" t="s">
        <v>159</v>
      </c>
      <c r="AD43" s="48"/>
      <c r="AE43" s="53" t="e">
        <f>LOOKUP(AD43,T$5:T$78,U$5:U$72)</f>
        <v>#N/A</v>
      </c>
      <c r="AF43" s="37" t="s">
        <v>157</v>
      </c>
      <c r="AG43" s="65" t="e">
        <f>LOOKUP(AD43,T$5:T$78,W$5:W$72)</f>
        <v>#N/A</v>
      </c>
    </row>
    <row r="44" spans="4:33" ht="13" thickBot="1">
      <c r="E44" s="12"/>
      <c r="F44" s="13" t="s">
        <v>10</v>
      </c>
      <c r="G44" s="9" t="str">
        <f>IF(OR(F43="",F45=""),"",+IF(F43&gt;F45,E43,E45))</f>
        <v/>
      </c>
      <c r="H44" s="16"/>
      <c r="I44" s="10"/>
      <c r="J44" s="14"/>
      <c r="K44" s="10"/>
      <c r="L44" s="10"/>
      <c r="M44" s="10"/>
      <c r="N44" s="14"/>
      <c r="O44" s="14"/>
      <c r="T44">
        <v>40</v>
      </c>
      <c r="U44" s="28" t="s">
        <v>92</v>
      </c>
      <c r="V44" t="s">
        <v>77</v>
      </c>
      <c r="W44" s="29" t="s">
        <v>165</v>
      </c>
      <c r="Z44" s="34"/>
      <c r="AA44" s="40"/>
      <c r="AB44" s="40"/>
      <c r="AC44" s="38" t="s">
        <v>159</v>
      </c>
      <c r="AD44" s="48"/>
      <c r="AE44" s="53" t="e">
        <f>LOOKUP(AD44,T$5:T$78,U$5:U$72)</f>
        <v>#N/A</v>
      </c>
      <c r="AF44" s="37" t="s">
        <v>157</v>
      </c>
      <c r="AG44" s="65" t="e">
        <f>LOOKUP(AD44,T$5:T$78,W$5:W$72)</f>
        <v>#N/A</v>
      </c>
    </row>
    <row r="45" spans="4:33" ht="13" thickBot="1">
      <c r="D45">
        <v>20</v>
      </c>
      <c r="E45" s="10"/>
      <c r="F45" s="16"/>
      <c r="G45" s="10"/>
      <c r="H45" s="10"/>
      <c r="I45" s="10"/>
      <c r="J45" s="14"/>
      <c r="K45" s="10"/>
      <c r="L45" s="10"/>
      <c r="M45" s="10"/>
      <c r="N45" s="14"/>
      <c r="O45" s="14"/>
      <c r="T45">
        <v>41</v>
      </c>
      <c r="U45" s="28" t="s">
        <v>94</v>
      </c>
      <c r="V45" t="s">
        <v>77</v>
      </c>
      <c r="W45" s="29" t="s">
        <v>95</v>
      </c>
      <c r="Z45" s="34"/>
      <c r="AA45" s="40"/>
      <c r="AB45" s="40"/>
      <c r="AC45" s="38" t="s">
        <v>159</v>
      </c>
      <c r="AD45" s="48"/>
      <c r="AE45" s="53" t="e">
        <f>LOOKUP(AD45,T$5:T$78,U$5:U$72)</f>
        <v>#N/A</v>
      </c>
      <c r="AF45" s="37" t="s">
        <v>157</v>
      </c>
      <c r="AG45" s="65" t="e">
        <f>LOOKUP(AD45,T$5:T$78,W$5:W$72)</f>
        <v>#N/A</v>
      </c>
    </row>
    <row r="46" spans="4:33" ht="13" thickBot="1">
      <c r="E46" s="12"/>
      <c r="F46" s="10"/>
      <c r="G46" s="10"/>
      <c r="H46" s="10"/>
      <c r="I46" s="10"/>
      <c r="J46" s="14" t="s">
        <v>51</v>
      </c>
      <c r="K46" s="9" t="str">
        <f>IF(OR(J42="",J50=""),"",+IF(J42&gt;J50,I42,I50))</f>
        <v/>
      </c>
      <c r="L46" s="17"/>
      <c r="M46" s="10"/>
      <c r="N46" s="14"/>
      <c r="O46" s="14"/>
      <c r="T46">
        <v>42</v>
      </c>
      <c r="U46" s="28" t="s">
        <v>96</v>
      </c>
      <c r="V46" t="s">
        <v>77</v>
      </c>
      <c r="W46" s="29" t="s">
        <v>97</v>
      </c>
      <c r="Z46" s="34"/>
      <c r="AA46" s="40"/>
      <c r="AB46" s="40"/>
      <c r="AC46" s="38" t="s">
        <v>159</v>
      </c>
      <c r="AD46" s="48"/>
      <c r="AE46" s="53" t="e">
        <f>LOOKUP(AD46,T$5:T$78,U$5:U$72)</f>
        <v>#N/A</v>
      </c>
      <c r="AF46" s="37" t="s">
        <v>157</v>
      </c>
      <c r="AG46" s="65" t="e">
        <f>LOOKUP(AD46,T$5:T$78,W$5:W$72)</f>
        <v>#N/A</v>
      </c>
    </row>
    <row r="47" spans="4:33" ht="13" thickBot="1">
      <c r="D47">
        <v>21</v>
      </c>
      <c r="E47" s="10"/>
      <c r="F47" s="11"/>
      <c r="G47" s="10"/>
      <c r="H47" s="10"/>
      <c r="I47" s="10"/>
      <c r="J47" s="14"/>
      <c r="K47" s="10"/>
      <c r="L47" s="13"/>
      <c r="M47" s="10"/>
      <c r="N47" s="14"/>
      <c r="O47" s="14"/>
      <c r="T47">
        <v>43</v>
      </c>
      <c r="U47" s="28" t="s">
        <v>98</v>
      </c>
      <c r="V47" t="s">
        <v>77</v>
      </c>
      <c r="W47" s="29" t="s">
        <v>99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3" t="s">
        <v>11</v>
      </c>
      <c r="G48" s="9" t="str">
        <f>IF(OR(F47="",F49=""),"",+IF(F47&gt;F49,E47,E49))</f>
        <v/>
      </c>
      <c r="H48" s="17"/>
      <c r="I48" s="10"/>
      <c r="J48" s="14"/>
      <c r="K48" s="10"/>
      <c r="L48" s="14"/>
      <c r="M48" s="10"/>
      <c r="N48" s="14"/>
      <c r="O48" s="14"/>
      <c r="T48">
        <v>44</v>
      </c>
      <c r="U48" s="28" t="s">
        <v>100</v>
      </c>
      <c r="V48" t="s">
        <v>77</v>
      </c>
      <c r="W48" s="29" t="s">
        <v>101</v>
      </c>
      <c r="Z48" s="34"/>
      <c r="AA48" s="40"/>
      <c r="AB48" s="40"/>
      <c r="AC48" s="38" t="s">
        <v>159</v>
      </c>
      <c r="AD48" s="48"/>
      <c r="AE48" s="53" t="e">
        <f>LOOKUP(AD48,T$5:T$78,U$5:U$72)</f>
        <v>#N/A</v>
      </c>
      <c r="AF48" s="37" t="s">
        <v>157</v>
      </c>
      <c r="AG48" s="65" t="e">
        <f>LOOKUP(AD48,T$5:T$78,W$5:W$72)</f>
        <v>#N/A</v>
      </c>
    </row>
    <row r="49" spans="4:33" ht="13" thickBot="1">
      <c r="D49">
        <v>22</v>
      </c>
      <c r="E49" s="10"/>
      <c r="F49" s="16"/>
      <c r="G49" s="10"/>
      <c r="H49" s="14"/>
      <c r="I49" s="10"/>
      <c r="J49" s="14"/>
      <c r="K49" s="10"/>
      <c r="L49" s="14"/>
      <c r="M49" s="10"/>
      <c r="N49" s="14"/>
      <c r="O49" s="14"/>
      <c r="T49">
        <v>45</v>
      </c>
      <c r="U49" s="28" t="s">
        <v>102</v>
      </c>
      <c r="V49" t="s">
        <v>77</v>
      </c>
      <c r="W49" s="29" t="s">
        <v>103</v>
      </c>
      <c r="Z49" s="34"/>
      <c r="AA49" s="40"/>
      <c r="AB49" s="40"/>
      <c r="AC49" s="38" t="s">
        <v>159</v>
      </c>
      <c r="AD49" s="48"/>
      <c r="AE49" s="53" t="e">
        <f>LOOKUP(AD49,T$5:T$78,U$5:U$72)</f>
        <v>#N/A</v>
      </c>
      <c r="AF49" s="37" t="s">
        <v>157</v>
      </c>
      <c r="AG49" s="65" t="e">
        <f>LOOKUP(AD49,T$5:T$78,W$5:W$72)</f>
        <v>#N/A</v>
      </c>
    </row>
    <row r="50" spans="4:33" ht="13" thickBot="1">
      <c r="E50" s="12"/>
      <c r="F50" s="10"/>
      <c r="G50" s="10"/>
      <c r="H50" s="14" t="s">
        <v>38</v>
      </c>
      <c r="I50" s="9" t="str">
        <f>IF(OR(H48="",H52=""),"",+IF(H48&gt;H52,G48,G52))</f>
        <v/>
      </c>
      <c r="J50" s="16"/>
      <c r="K50" s="10"/>
      <c r="L50" s="14"/>
      <c r="M50" s="10"/>
      <c r="N50" s="14"/>
      <c r="O50" s="14"/>
      <c r="T50">
        <v>46</v>
      </c>
      <c r="U50" s="28" t="s">
        <v>104</v>
      </c>
      <c r="V50" t="s">
        <v>77</v>
      </c>
      <c r="W50" s="29" t="s">
        <v>105</v>
      </c>
      <c r="Z50" s="34"/>
      <c r="AA50" s="40"/>
      <c r="AB50" s="40"/>
      <c r="AC50" s="38" t="s">
        <v>159</v>
      </c>
      <c r="AD50" s="48"/>
      <c r="AE50" s="53" t="e">
        <f>LOOKUP(AD50,T$5:T$78,U$5:U$72)</f>
        <v>#N/A</v>
      </c>
      <c r="AF50" s="37" t="s">
        <v>157</v>
      </c>
      <c r="AG50" s="65" t="e">
        <f>LOOKUP(AD50,T$5:T$78,W$5:W$72)</f>
        <v>#N/A</v>
      </c>
    </row>
    <row r="51" spans="4:33" ht="13" thickBot="1">
      <c r="D51">
        <v>23</v>
      </c>
      <c r="E51" s="10"/>
      <c r="F51" s="11"/>
      <c r="G51" s="10"/>
      <c r="H51" s="14"/>
      <c r="I51" s="10"/>
      <c r="J51" s="10"/>
      <c r="K51" s="10"/>
      <c r="L51" s="14"/>
      <c r="M51" s="10"/>
      <c r="N51" s="14"/>
      <c r="O51" s="14"/>
      <c r="T51">
        <v>47</v>
      </c>
      <c r="U51" s="28" t="s">
        <v>106</v>
      </c>
      <c r="V51" t="s">
        <v>77</v>
      </c>
      <c r="W51" s="29" t="s">
        <v>107</v>
      </c>
      <c r="Z51" s="34"/>
      <c r="AA51" s="40"/>
      <c r="AB51" s="40"/>
      <c r="AC51" s="38" t="s">
        <v>159</v>
      </c>
      <c r="AD51" s="48"/>
      <c r="AE51" s="53" t="e">
        <f>LOOKUP(AD51,T$5:T$78,U$5:U$72)</f>
        <v>#N/A</v>
      </c>
      <c r="AF51" s="37" t="s">
        <v>157</v>
      </c>
      <c r="AG51" s="65" t="e">
        <f>LOOKUP(AD51,T$5:T$78,W$5:W$72)</f>
        <v>#N/A</v>
      </c>
    </row>
    <row r="52" spans="4:33" ht="13" thickBot="1">
      <c r="E52" s="12"/>
      <c r="F52" s="13" t="s">
        <v>12</v>
      </c>
      <c r="G52" s="9" t="str">
        <f>IF(OR(F51="",F53=""),"",+IF(F51&gt;F53,E51,E53))</f>
        <v/>
      </c>
      <c r="H52" s="16"/>
      <c r="I52" s="10"/>
      <c r="J52" s="10"/>
      <c r="K52" s="10"/>
      <c r="L52" s="14"/>
      <c r="M52" s="10"/>
      <c r="N52" s="14"/>
      <c r="O52" s="14"/>
      <c r="T52">
        <v>48</v>
      </c>
      <c r="U52" s="28" t="s">
        <v>108</v>
      </c>
      <c r="V52" t="s">
        <v>77</v>
      </c>
      <c r="W52" s="29" t="s">
        <v>109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24</v>
      </c>
      <c r="E53" s="9"/>
      <c r="F53" s="16"/>
      <c r="G53" s="10"/>
      <c r="H53" s="10"/>
      <c r="I53" s="10"/>
      <c r="J53" s="10"/>
      <c r="K53" s="10"/>
      <c r="L53" s="14"/>
      <c r="M53" s="10"/>
      <c r="N53" s="14"/>
      <c r="O53" s="14"/>
      <c r="T53">
        <v>49</v>
      </c>
      <c r="U53" s="28" t="s">
        <v>110</v>
      </c>
      <c r="V53" t="s">
        <v>77</v>
      </c>
      <c r="W53" s="29" t="s">
        <v>111</v>
      </c>
      <c r="Z53" s="34"/>
      <c r="AA53" s="40"/>
      <c r="AB53" s="40"/>
      <c r="AC53" s="38" t="s">
        <v>159</v>
      </c>
      <c r="AD53" s="48"/>
      <c r="AE53" s="53" t="e">
        <f>LOOKUP(AD53,T$5:T$78,U$5:U$72)</f>
        <v>#N/A</v>
      </c>
      <c r="AF53" s="37" t="s">
        <v>157</v>
      </c>
      <c r="AG53" s="65" t="e">
        <f>LOOKUP(AD53,T$5:T$78,W$5:W$72)</f>
        <v>#N/A</v>
      </c>
    </row>
    <row r="54" spans="4:33" ht="13" thickBot="1">
      <c r="E54" s="10"/>
      <c r="F54" s="10"/>
      <c r="G54" s="10"/>
      <c r="H54" s="10"/>
      <c r="I54" s="10"/>
      <c r="J54" s="10"/>
      <c r="K54" s="10"/>
      <c r="L54" s="14" t="s">
        <v>58</v>
      </c>
      <c r="M54" s="9" t="str">
        <f>IF(OR(L46="",L62=""),"",+IF(L46&gt;L62,K46,K62))</f>
        <v/>
      </c>
      <c r="N54" s="16"/>
      <c r="O54" s="14"/>
      <c r="T54">
        <v>50</v>
      </c>
      <c r="U54" s="28" t="s">
        <v>112</v>
      </c>
      <c r="V54" t="s">
        <v>77</v>
      </c>
      <c r="W54" s="29" t="s">
        <v>113</v>
      </c>
      <c r="Z54" s="34"/>
      <c r="AA54" s="40"/>
      <c r="AB54" s="40"/>
      <c r="AC54" s="38" t="s">
        <v>159</v>
      </c>
      <c r="AD54" s="48"/>
      <c r="AE54" s="53" t="e">
        <f>LOOKUP(AD54,T$5:T$78,U$5:U$72)</f>
        <v>#N/A</v>
      </c>
      <c r="AF54" s="37" t="s">
        <v>157</v>
      </c>
      <c r="AG54" s="65" t="e">
        <f>LOOKUP(AD54,T$5:T$78,W$5:W$72)</f>
        <v>#N/A</v>
      </c>
    </row>
    <row r="55" spans="4:33" ht="13" thickBot="1">
      <c r="D55">
        <v>25</v>
      </c>
      <c r="E55" s="10"/>
      <c r="F55" s="11"/>
      <c r="G55" s="10"/>
      <c r="H55" s="10"/>
      <c r="I55" s="10"/>
      <c r="J55" s="10"/>
      <c r="K55" s="10"/>
      <c r="L55" s="14"/>
      <c r="M55" s="10"/>
      <c r="N55" s="10"/>
      <c r="O55" s="14"/>
      <c r="T55">
        <v>51</v>
      </c>
      <c r="U55" s="28" t="s">
        <v>114</v>
      </c>
      <c r="V55" t="s">
        <v>77</v>
      </c>
      <c r="W55" s="29" t="s">
        <v>115</v>
      </c>
      <c r="Z55" s="34"/>
      <c r="AA55" s="40"/>
      <c r="AB55" s="40"/>
      <c r="AC55" s="38" t="s">
        <v>159</v>
      </c>
      <c r="AD55" s="48"/>
      <c r="AE55" s="53" t="e">
        <f>LOOKUP(AD55,T$5:T$78,U$5:U$72)</f>
        <v>#N/A</v>
      </c>
      <c r="AF55" s="37" t="s">
        <v>157</v>
      </c>
      <c r="AG55" s="65" t="e">
        <f>LOOKUP(AD55,T$5:T$78,W$5:W$72)</f>
        <v>#N/A</v>
      </c>
    </row>
    <row r="56" spans="4:33" ht="13" thickBot="1">
      <c r="E56" s="12"/>
      <c r="F56" s="13" t="s">
        <v>13</v>
      </c>
      <c r="G56" s="9" t="str">
        <f>IF(OR(F55="",F57=""),"",+IF(F55&gt;F57,E55,E57))</f>
        <v/>
      </c>
      <c r="H56" s="17"/>
      <c r="I56" s="10"/>
      <c r="J56" s="10"/>
      <c r="K56" s="10"/>
      <c r="L56" s="14"/>
      <c r="M56" s="10"/>
      <c r="N56" s="10"/>
      <c r="O56" s="14"/>
      <c r="T56">
        <v>52</v>
      </c>
      <c r="U56" s="28" t="s">
        <v>116</v>
      </c>
      <c r="V56" t="s">
        <v>77</v>
      </c>
      <c r="W56" s="29" t="s">
        <v>117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26</v>
      </c>
      <c r="E57" s="10"/>
      <c r="F57" s="16"/>
      <c r="G57" s="10"/>
      <c r="H57" s="14"/>
      <c r="I57" s="10"/>
      <c r="J57" s="10"/>
      <c r="K57" s="10"/>
      <c r="L57" s="14"/>
      <c r="M57" s="10"/>
      <c r="N57" s="10"/>
      <c r="O57" s="14"/>
      <c r="T57">
        <v>53</v>
      </c>
      <c r="U57" s="28" t="s">
        <v>118</v>
      </c>
      <c r="V57" t="s">
        <v>77</v>
      </c>
      <c r="W57" s="29" t="s">
        <v>119</v>
      </c>
    </row>
    <row r="58" spans="4:33" ht="13" thickBot="1">
      <c r="E58" s="12"/>
      <c r="F58" s="10"/>
      <c r="G58" s="10"/>
      <c r="H58" s="14" t="s">
        <v>39</v>
      </c>
      <c r="I58" s="9" t="str">
        <f>IF(OR(H56="",H60=""),"",+IF(H56&gt;H60,G56,G60))</f>
        <v/>
      </c>
      <c r="J58" s="17"/>
      <c r="K58" s="10"/>
      <c r="L58" s="14"/>
      <c r="M58" s="10"/>
      <c r="N58" s="10"/>
      <c r="O58" s="14"/>
      <c r="T58">
        <v>54</v>
      </c>
      <c r="U58" s="28" t="s">
        <v>120</v>
      </c>
      <c r="V58" t="s">
        <v>77</v>
      </c>
      <c r="W58" s="29" t="s">
        <v>121</v>
      </c>
    </row>
    <row r="59" spans="4:33" ht="13" thickBot="1">
      <c r="D59">
        <v>27</v>
      </c>
      <c r="E59" s="10"/>
      <c r="F59" s="11"/>
      <c r="G59" s="10"/>
      <c r="H59" s="14"/>
      <c r="I59" s="10"/>
      <c r="J59" s="13"/>
      <c r="K59" s="10"/>
      <c r="L59" s="14"/>
      <c r="M59" s="10"/>
      <c r="N59" s="10"/>
      <c r="O59" s="14"/>
      <c r="T59">
        <v>55</v>
      </c>
      <c r="U59" s="28" t="s">
        <v>122</v>
      </c>
      <c r="V59" t="s">
        <v>77</v>
      </c>
      <c r="W59" s="29" t="s">
        <v>123</v>
      </c>
    </row>
    <row r="60" spans="4:33" ht="13" thickBot="1">
      <c r="E60" s="12"/>
      <c r="F60" s="13" t="s">
        <v>14</v>
      </c>
      <c r="G60" s="9" t="str">
        <f>IF(OR(F59="",F61=""),"",+IF(F59&gt;F61,E59,E61))</f>
        <v/>
      </c>
      <c r="H60" s="16"/>
      <c r="I60" s="10"/>
      <c r="J60" s="14"/>
      <c r="K60" s="10"/>
      <c r="L60" s="14"/>
      <c r="M60" s="10"/>
      <c r="N60" s="10"/>
      <c r="O60" s="14"/>
      <c r="T60">
        <v>56</v>
      </c>
      <c r="U60" s="28" t="s">
        <v>124</v>
      </c>
      <c r="V60" t="s">
        <v>77</v>
      </c>
      <c r="W60" s="29" t="s">
        <v>125</v>
      </c>
    </row>
    <row r="61" spans="4:33" ht="13" thickBot="1">
      <c r="D61">
        <v>28</v>
      </c>
      <c r="E61" s="10"/>
      <c r="F61" s="16"/>
      <c r="G61" s="10"/>
      <c r="H61" s="10"/>
      <c r="I61" s="10"/>
      <c r="J61" s="14"/>
      <c r="K61" s="10"/>
      <c r="L61" s="14"/>
      <c r="M61" s="10"/>
      <c r="N61" s="10"/>
      <c r="O61" s="14"/>
      <c r="T61">
        <v>57</v>
      </c>
      <c r="U61" s="28" t="s">
        <v>126</v>
      </c>
      <c r="V61" t="s">
        <v>77</v>
      </c>
      <c r="W61" s="29" t="s">
        <v>127</v>
      </c>
    </row>
    <row r="62" spans="4:33" ht="13" thickBot="1">
      <c r="E62" s="12"/>
      <c r="F62" s="10"/>
      <c r="G62" s="10"/>
      <c r="H62" s="10"/>
      <c r="I62" s="10"/>
      <c r="J62" s="14" t="s">
        <v>52</v>
      </c>
      <c r="K62" s="9" t="str">
        <f>IF(OR(J58="",J66=""),"",+IF(J58&gt;J66,I58,I66))</f>
        <v/>
      </c>
      <c r="L62" s="16"/>
      <c r="M62" s="10"/>
      <c r="N62" s="10"/>
      <c r="O62" s="14"/>
      <c r="T62">
        <v>58</v>
      </c>
      <c r="U62" s="28" t="s">
        <v>130</v>
      </c>
      <c r="V62" t="s">
        <v>77</v>
      </c>
      <c r="W62" s="29" t="s">
        <v>128</v>
      </c>
    </row>
    <row r="63" spans="4:33" ht="13" thickBot="1">
      <c r="D63">
        <v>29</v>
      </c>
      <c r="E63" s="10"/>
      <c r="F63" s="11"/>
      <c r="G63" s="10"/>
      <c r="H63" s="10"/>
      <c r="I63" s="10"/>
      <c r="J63" s="14"/>
      <c r="K63" s="10"/>
      <c r="L63" s="10"/>
      <c r="M63" s="10"/>
      <c r="N63" s="10"/>
      <c r="O63" s="14"/>
      <c r="T63">
        <v>59</v>
      </c>
      <c r="U63" s="28" t="s">
        <v>129</v>
      </c>
      <c r="V63" t="s">
        <v>77</v>
      </c>
      <c r="W63" s="29" t="s">
        <v>131</v>
      </c>
    </row>
    <row r="64" spans="4:33" ht="13" thickBot="1">
      <c r="E64" s="12"/>
      <c r="F64" s="13" t="s">
        <v>15</v>
      </c>
      <c r="G64" s="9" t="str">
        <f>IF(OR(F63="",F65=""),"",+IF(F63&gt;F65,E63,E65))</f>
        <v/>
      </c>
      <c r="H64" s="17"/>
      <c r="I64" s="10"/>
      <c r="J64" s="14"/>
      <c r="K64" s="10"/>
      <c r="L64" s="10"/>
      <c r="M64" s="10"/>
      <c r="N64" s="10"/>
      <c r="O64" s="14"/>
      <c r="T64">
        <v>60</v>
      </c>
      <c r="U64" s="28" t="s">
        <v>132</v>
      </c>
      <c r="V64" t="s">
        <v>77</v>
      </c>
      <c r="W64" s="29" t="s">
        <v>133</v>
      </c>
    </row>
    <row r="65" spans="4:23" ht="13" thickBot="1">
      <c r="D65">
        <v>30</v>
      </c>
      <c r="E65" s="10"/>
      <c r="F65" s="16"/>
      <c r="G65" s="10"/>
      <c r="H65" s="14"/>
      <c r="I65" s="10"/>
      <c r="J65" s="14"/>
      <c r="K65" s="10"/>
      <c r="L65" s="10"/>
      <c r="M65" s="10"/>
      <c r="N65" s="10"/>
      <c r="O65" s="14"/>
      <c r="T65">
        <v>61</v>
      </c>
      <c r="U65" s="28" t="s">
        <v>134</v>
      </c>
      <c r="V65" t="s">
        <v>77</v>
      </c>
      <c r="W65" s="29" t="s">
        <v>135</v>
      </c>
    </row>
    <row r="66" spans="4:23" ht="13" thickBot="1">
      <c r="E66" s="12"/>
      <c r="F66" s="10"/>
      <c r="G66" s="10"/>
      <c r="H66" s="14" t="s">
        <v>40</v>
      </c>
      <c r="I66" s="9" t="str">
        <f>IF(OR(H64="",H68=""),"",+IF(H64&gt;H68,G64,G68))</f>
        <v/>
      </c>
      <c r="J66" s="16"/>
      <c r="K66" s="10"/>
      <c r="L66" s="10"/>
      <c r="M66" s="10"/>
      <c r="N66" s="10"/>
      <c r="O66" s="14"/>
      <c r="T66">
        <v>62</v>
      </c>
      <c r="U66" s="28" t="s">
        <v>136</v>
      </c>
      <c r="V66" t="s">
        <v>77</v>
      </c>
      <c r="W66" s="29" t="s">
        <v>137</v>
      </c>
    </row>
    <row r="67" spans="4:23" ht="13" thickBot="1">
      <c r="D67">
        <v>31</v>
      </c>
      <c r="E67" s="22"/>
      <c r="F67" s="11"/>
      <c r="G67" s="10"/>
      <c r="H67" s="14"/>
      <c r="I67" s="10"/>
      <c r="J67" s="10"/>
      <c r="K67" s="10"/>
      <c r="L67" s="10"/>
      <c r="M67" s="10"/>
      <c r="N67" s="10"/>
      <c r="O67" s="14"/>
      <c r="T67">
        <v>63</v>
      </c>
      <c r="U67" s="28" t="s">
        <v>138</v>
      </c>
      <c r="V67" t="s">
        <v>77</v>
      </c>
      <c r="W67" s="29" t="s">
        <v>144</v>
      </c>
    </row>
    <row r="68" spans="4:23" ht="13" thickBot="1">
      <c r="E68" s="12"/>
      <c r="F68" s="13" t="s">
        <v>16</v>
      </c>
      <c r="G68" s="9" t="str">
        <f>IF(OR(F67="",F69=""),"",+IF(F67&gt;F69,E67,E69))</f>
        <v/>
      </c>
      <c r="H68" s="16"/>
      <c r="I68" s="10"/>
      <c r="J68" s="10"/>
      <c r="K68" s="10"/>
      <c r="L68" s="10"/>
      <c r="M68" s="10"/>
      <c r="N68" s="10"/>
      <c r="O68" s="14"/>
    </row>
    <row r="69" spans="4:23" ht="13" thickBot="1">
      <c r="D69">
        <v>32</v>
      </c>
      <c r="E69" s="9"/>
      <c r="F69" s="16"/>
      <c r="G69" s="10"/>
      <c r="H69" s="10"/>
      <c r="I69" s="10"/>
      <c r="J69" s="10"/>
      <c r="K69" s="10"/>
      <c r="L69" s="10"/>
      <c r="M69" s="10"/>
      <c r="N69" s="10"/>
      <c r="O69" s="14"/>
    </row>
    <row r="70" spans="4:23">
      <c r="O70" s="6"/>
    </row>
    <row r="71" spans="4:23" ht="13" thickBot="1">
      <c r="O71" s="68" t="s">
        <v>63</v>
      </c>
      <c r="P71" s="27"/>
      <c r="Q71" s="7"/>
    </row>
    <row r="72" spans="4:23" ht="13" thickBot="1">
      <c r="D72">
        <v>33</v>
      </c>
      <c r="E72" s="10"/>
      <c r="F72" s="11"/>
      <c r="G72" s="10"/>
      <c r="H72" s="10"/>
      <c r="I72" s="10"/>
      <c r="J72" s="10"/>
      <c r="K72" s="10"/>
      <c r="L72" s="10"/>
      <c r="M72" s="10"/>
      <c r="N72" s="10"/>
      <c r="O72" s="14"/>
    </row>
    <row r="73" spans="4:23" ht="13" thickBot="1">
      <c r="E73" s="12"/>
      <c r="F73" s="13" t="s">
        <v>17</v>
      </c>
      <c r="G73" s="9" t="str">
        <f>IF(OR(F72="",F74=""),"",+IF(F72&gt;F74,E72,E74))</f>
        <v/>
      </c>
      <c r="H73" s="17"/>
      <c r="I73" s="10"/>
      <c r="J73" s="10"/>
      <c r="K73" s="10"/>
      <c r="L73" s="10"/>
      <c r="M73" s="10"/>
      <c r="N73" s="10"/>
      <c r="O73" s="14"/>
    </row>
    <row r="74" spans="4:23" ht="13" thickBot="1">
      <c r="D74">
        <v>34</v>
      </c>
      <c r="E74" s="24"/>
      <c r="F74" s="16"/>
      <c r="G74" s="10"/>
      <c r="H74" s="14"/>
      <c r="I74" s="10"/>
      <c r="J74" s="10"/>
      <c r="K74" s="10"/>
      <c r="L74" s="10"/>
      <c r="M74" s="10"/>
      <c r="N74" s="10"/>
      <c r="O74" s="14"/>
    </row>
    <row r="75" spans="4:23" ht="13" thickBot="1">
      <c r="E75" s="12"/>
      <c r="F75" s="10"/>
      <c r="G75" s="10"/>
      <c r="H75" s="14" t="s">
        <v>41</v>
      </c>
      <c r="I75" s="9" t="str">
        <f>IF(OR(H73="",H77=""),"",+IF(H73&gt;H77,G73,G77))</f>
        <v/>
      </c>
      <c r="J75" s="17"/>
      <c r="K75" s="10"/>
      <c r="L75" s="10"/>
      <c r="M75" s="10"/>
      <c r="N75" s="10"/>
      <c r="O75" s="14"/>
    </row>
    <row r="76" spans="4:23" ht="13" thickBot="1">
      <c r="D76">
        <v>35</v>
      </c>
      <c r="E76" s="10"/>
      <c r="F76" s="11"/>
      <c r="G76" s="10"/>
      <c r="H76" s="14"/>
      <c r="I76" s="10"/>
      <c r="J76" s="13"/>
      <c r="K76" s="10"/>
      <c r="L76" s="10"/>
      <c r="M76" s="10"/>
      <c r="N76" s="10"/>
      <c r="O76" s="14"/>
    </row>
    <row r="77" spans="4:23" ht="13" thickBot="1">
      <c r="E77" s="12"/>
      <c r="F77" s="13" t="s">
        <v>18</v>
      </c>
      <c r="G77" s="9" t="str">
        <f>IF(OR(F76="",F78=""),"",+IF(F76&gt;F78,E76,E78))</f>
        <v/>
      </c>
      <c r="H77" s="16"/>
      <c r="I77" s="10"/>
      <c r="J77" s="14"/>
      <c r="K77" s="10"/>
      <c r="L77" s="10"/>
      <c r="M77" s="10"/>
      <c r="N77" s="10"/>
      <c r="O77" s="14"/>
    </row>
    <row r="78" spans="4:23" ht="13" thickBot="1">
      <c r="D78">
        <v>36</v>
      </c>
      <c r="E78" s="10"/>
      <c r="F78" s="16"/>
      <c r="G78" s="10"/>
      <c r="H78" s="10"/>
      <c r="I78" s="10"/>
      <c r="J78" s="14"/>
      <c r="K78" s="10"/>
      <c r="L78" s="10"/>
      <c r="M78" s="10"/>
      <c r="N78" s="10"/>
      <c r="O78" s="14"/>
    </row>
    <row r="79" spans="4:23" ht="13" thickBot="1">
      <c r="E79" s="12"/>
      <c r="F79" s="10"/>
      <c r="G79" s="10"/>
      <c r="H79" s="10"/>
      <c r="I79" s="10"/>
      <c r="J79" s="14" t="s">
        <v>53</v>
      </c>
      <c r="K79" s="9" t="str">
        <f>IF(OR(J75="",J83=""),"",+IF(J75&gt;J83,I75,I83))</f>
        <v/>
      </c>
      <c r="L79" s="17"/>
      <c r="M79" s="10"/>
      <c r="N79" s="10"/>
      <c r="O79" s="14"/>
    </row>
    <row r="80" spans="4:23" ht="13" thickBot="1">
      <c r="D80">
        <v>37</v>
      </c>
      <c r="E80" s="10"/>
      <c r="F80" s="11"/>
      <c r="G80" s="10"/>
      <c r="H80" s="10"/>
      <c r="I80" s="10"/>
      <c r="J80" s="14"/>
      <c r="K80" s="10"/>
      <c r="L80" s="13"/>
      <c r="M80" s="10"/>
      <c r="N80" s="10"/>
      <c r="O80" s="14"/>
    </row>
    <row r="81" spans="4:15" ht="13" thickBot="1">
      <c r="E81" s="12"/>
      <c r="F81" s="13" t="s">
        <v>19</v>
      </c>
      <c r="G81" s="9" t="str">
        <f>IF(OR(F80="",F82=""),"",+IF(F80&gt;F82,E80,E82))</f>
        <v/>
      </c>
      <c r="H81" s="17"/>
      <c r="I81" s="10"/>
      <c r="J81" s="14"/>
      <c r="K81" s="10"/>
      <c r="L81" s="14"/>
      <c r="M81" s="10"/>
      <c r="N81" s="10"/>
      <c r="O81" s="14"/>
    </row>
    <row r="82" spans="4:15" ht="13" thickBot="1">
      <c r="D82">
        <v>38</v>
      </c>
      <c r="E82" s="10"/>
      <c r="F82" s="16"/>
      <c r="G82" s="10"/>
      <c r="H82" s="14"/>
      <c r="I82" s="10"/>
      <c r="J82" s="14"/>
      <c r="K82" s="10"/>
      <c r="L82" s="14"/>
      <c r="M82" s="10"/>
      <c r="N82" s="10"/>
      <c r="O82" s="14"/>
    </row>
    <row r="83" spans="4:15" ht="13" thickBot="1">
      <c r="E83" s="12"/>
      <c r="F83" s="10"/>
      <c r="G83" s="10"/>
      <c r="H83" s="14" t="s">
        <v>42</v>
      </c>
      <c r="I83" s="9" t="str">
        <f>IF(OR(H81="",H85=""),"",+IF(H81&gt;H85,G81,G85))</f>
        <v/>
      </c>
      <c r="J83" s="16"/>
      <c r="K83" s="10"/>
      <c r="L83" s="14"/>
      <c r="M83" s="10"/>
      <c r="N83" s="10"/>
      <c r="O83" s="14"/>
    </row>
    <row r="84" spans="4:15" ht="13" thickBot="1">
      <c r="D84">
        <v>39</v>
      </c>
      <c r="E84" s="10"/>
      <c r="F84" s="11"/>
      <c r="G84" s="10"/>
      <c r="H84" s="14"/>
      <c r="I84" s="10"/>
      <c r="J84" s="10"/>
      <c r="K84" s="10"/>
      <c r="L84" s="14"/>
      <c r="M84" s="10"/>
      <c r="N84" s="10"/>
      <c r="O84" s="14"/>
    </row>
    <row r="85" spans="4:15" ht="13" thickBot="1">
      <c r="E85" s="12"/>
      <c r="F85" s="13" t="s">
        <v>20</v>
      </c>
      <c r="G85" s="9" t="str">
        <f>IF(OR(F84="",F86=""),"",+IF(F84&gt;F86,E84,E86))</f>
        <v/>
      </c>
      <c r="H85" s="16"/>
      <c r="I85" s="10"/>
      <c r="J85" s="10"/>
      <c r="K85" s="10"/>
      <c r="L85" s="14"/>
      <c r="M85" s="10"/>
      <c r="N85" s="10"/>
      <c r="O85" s="14"/>
    </row>
    <row r="86" spans="4:15" ht="13" thickBot="1">
      <c r="D86">
        <v>40</v>
      </c>
      <c r="E86" s="9"/>
      <c r="F86" s="16"/>
      <c r="G86" s="10"/>
      <c r="H86" s="10"/>
      <c r="I86" s="10"/>
      <c r="J86" s="10"/>
      <c r="K86" s="10"/>
      <c r="L86" s="14"/>
      <c r="M86" s="10"/>
      <c r="N86" s="10"/>
      <c r="O86" s="14"/>
    </row>
    <row r="87" spans="4:15" ht="13" thickBot="1">
      <c r="E87" s="10"/>
      <c r="F87" s="10"/>
      <c r="G87" s="10"/>
      <c r="H87" s="10"/>
      <c r="I87" s="10"/>
      <c r="J87" s="10"/>
      <c r="K87" s="10"/>
      <c r="L87" s="14" t="s">
        <v>59</v>
      </c>
      <c r="M87" s="9" t="str">
        <f>IF(OR(L79="",L95=""),"",+IF(L79&gt;L95,K79,K95))</f>
        <v/>
      </c>
      <c r="N87" s="17"/>
      <c r="O87" s="14"/>
    </row>
    <row r="88" spans="4:15" ht="13" thickBot="1">
      <c r="D88">
        <v>41</v>
      </c>
      <c r="E88" s="10"/>
      <c r="F88" s="11"/>
      <c r="G88" s="10"/>
      <c r="H88" s="10"/>
      <c r="I88" s="10"/>
      <c r="J88" s="10"/>
      <c r="K88" s="10"/>
      <c r="L88" s="14"/>
      <c r="M88" s="10"/>
      <c r="N88" s="14"/>
      <c r="O88" s="14"/>
    </row>
    <row r="89" spans="4:15" ht="13" thickBot="1">
      <c r="E89" s="12"/>
      <c r="F89" s="13" t="s">
        <v>21</v>
      </c>
      <c r="G89" s="9" t="str">
        <f>IF(OR(F88="",F90=""),"",+IF(F88&gt;F90,E88,E90))</f>
        <v/>
      </c>
      <c r="H89" s="17"/>
      <c r="I89" s="10"/>
      <c r="J89" s="10"/>
      <c r="K89" s="10"/>
      <c r="L89" s="14"/>
      <c r="M89" s="10"/>
      <c r="N89" s="14"/>
      <c r="O89" s="14"/>
    </row>
    <row r="90" spans="4:15" ht="13" thickBot="1">
      <c r="D90">
        <v>42</v>
      </c>
      <c r="E90" s="10"/>
      <c r="F90" s="16"/>
      <c r="G90" s="10"/>
      <c r="H90" s="14"/>
      <c r="I90" s="10"/>
      <c r="J90" s="10"/>
      <c r="K90" s="10"/>
      <c r="L90" s="14"/>
      <c r="M90" s="10"/>
      <c r="N90" s="14"/>
      <c r="O90" s="14"/>
    </row>
    <row r="91" spans="4:15" ht="13" thickBot="1">
      <c r="E91" s="12"/>
      <c r="F91" s="10"/>
      <c r="G91" s="10"/>
      <c r="H91" s="14" t="s">
        <v>43</v>
      </c>
      <c r="I91" s="9" t="str">
        <f>IF(OR(H89="",H93=""),"",+IF(H89&gt;H93,G89,G93))</f>
        <v/>
      </c>
      <c r="J91" s="17"/>
      <c r="K91" s="10"/>
      <c r="L91" s="14"/>
      <c r="M91" s="10"/>
      <c r="N91" s="14"/>
      <c r="O91" s="14"/>
    </row>
    <row r="92" spans="4:15" ht="13" thickBot="1">
      <c r="D92">
        <v>43</v>
      </c>
      <c r="E92" s="10"/>
      <c r="F92" s="11"/>
      <c r="G92" s="10"/>
      <c r="H92" s="14"/>
      <c r="I92" s="10"/>
      <c r="J92" s="13"/>
      <c r="K92" s="10"/>
      <c r="L92" s="14"/>
      <c r="M92" s="10"/>
      <c r="N92" s="14"/>
      <c r="O92" s="14"/>
    </row>
    <row r="93" spans="4:15" ht="13" thickBot="1">
      <c r="E93" s="12"/>
      <c r="F93" s="13" t="s">
        <v>22</v>
      </c>
      <c r="G93" s="9" t="str">
        <f>IF(OR(F92="",F94=""),"",+IF(F92&gt;F94,E92,E94))</f>
        <v/>
      </c>
      <c r="H93" s="16"/>
      <c r="I93" s="10"/>
      <c r="J93" s="14"/>
      <c r="K93" s="10"/>
      <c r="L93" s="14"/>
      <c r="M93" s="10"/>
      <c r="N93" s="14"/>
      <c r="O93" s="14"/>
    </row>
    <row r="94" spans="4:15" ht="13" thickBot="1">
      <c r="D94">
        <v>44</v>
      </c>
      <c r="E94" s="10"/>
      <c r="F94" s="16"/>
      <c r="G94" s="10"/>
      <c r="H94" s="10"/>
      <c r="I94" s="10"/>
      <c r="J94" s="14"/>
      <c r="K94" s="10"/>
      <c r="L94" s="14"/>
      <c r="M94" s="10"/>
      <c r="N94" s="14"/>
      <c r="O94" s="14"/>
    </row>
    <row r="95" spans="4:15" ht="13" thickBot="1">
      <c r="E95" s="12"/>
      <c r="F95" s="10"/>
      <c r="G95" s="10"/>
      <c r="H95" s="10"/>
      <c r="I95" s="10"/>
      <c r="J95" s="14" t="s">
        <v>54</v>
      </c>
      <c r="K95" s="9" t="str">
        <f>IF(OR(J91="",J99=""),"",+IF(J91&gt;J99,I91,I99))</f>
        <v/>
      </c>
      <c r="L95" s="16"/>
      <c r="M95" s="10"/>
      <c r="N95" s="14"/>
      <c r="O95" s="14"/>
    </row>
    <row r="96" spans="4:15" ht="13" thickBot="1">
      <c r="D96">
        <v>45</v>
      </c>
      <c r="E96" s="10"/>
      <c r="F96" s="11"/>
      <c r="G96" s="10"/>
      <c r="H96" s="10"/>
      <c r="I96" s="10"/>
      <c r="J96" s="14"/>
      <c r="K96" s="10"/>
      <c r="L96" s="10"/>
      <c r="M96" s="10"/>
      <c r="N96" s="14"/>
      <c r="O96" s="14"/>
    </row>
    <row r="97" spans="4:15" ht="13" thickBot="1">
      <c r="E97" s="12"/>
      <c r="F97" s="13" t="s">
        <v>23</v>
      </c>
      <c r="G97" s="9" t="str">
        <f>IF(OR(F96="",F98=""),"",+IF(F96&gt;F98,E96,E98))</f>
        <v/>
      </c>
      <c r="H97" s="17"/>
      <c r="I97" s="10"/>
      <c r="J97" s="14"/>
      <c r="K97" s="10"/>
      <c r="L97" s="10"/>
      <c r="M97" s="10"/>
      <c r="N97" s="14"/>
      <c r="O97" s="14"/>
    </row>
    <row r="98" spans="4:15" ht="13" thickBot="1">
      <c r="D98">
        <v>46</v>
      </c>
      <c r="E98" s="10"/>
      <c r="F98" s="16"/>
      <c r="G98" s="10"/>
      <c r="H98" s="14"/>
      <c r="I98" s="10"/>
      <c r="J98" s="14"/>
      <c r="K98" s="10"/>
      <c r="L98" s="10"/>
      <c r="M98" s="10"/>
      <c r="N98" s="14"/>
      <c r="O98" s="14"/>
    </row>
    <row r="99" spans="4:15" ht="13" thickBot="1">
      <c r="E99" s="12"/>
      <c r="F99" s="10"/>
      <c r="G99" s="10"/>
      <c r="H99" s="14" t="s">
        <v>44</v>
      </c>
      <c r="I99" s="9" t="str">
        <f>IF(OR(H97="",H101=""),"",+IF(H97&gt;H101,G97,G101))</f>
        <v/>
      </c>
      <c r="J99" s="16"/>
      <c r="K99" s="10"/>
      <c r="L99" s="10"/>
      <c r="M99" s="10"/>
      <c r="N99" s="14"/>
      <c r="O99" s="14"/>
    </row>
    <row r="100" spans="4:15" ht="13" thickBot="1">
      <c r="D100">
        <v>47</v>
      </c>
      <c r="E100" s="10"/>
      <c r="F100" s="11"/>
      <c r="G100" s="10"/>
      <c r="H100" s="14"/>
      <c r="I100" s="10"/>
      <c r="J100" s="10"/>
      <c r="K100" s="10"/>
      <c r="L100" s="10"/>
      <c r="M100" s="10"/>
      <c r="N100" s="14"/>
      <c r="O100" s="14"/>
    </row>
    <row r="101" spans="4:15" ht="13" thickBot="1">
      <c r="E101" s="12"/>
      <c r="F101" s="13" t="s">
        <v>24</v>
      </c>
      <c r="G101" s="9" t="str">
        <f>IF(OR(F100="",F102=""),"",+IF(F100&gt;F102,E100,E102))</f>
        <v/>
      </c>
      <c r="H101" s="16"/>
      <c r="I101" s="10"/>
      <c r="J101" s="10"/>
      <c r="K101" s="10"/>
      <c r="L101" s="10"/>
      <c r="M101" s="10"/>
      <c r="N101" s="14"/>
      <c r="O101" s="14"/>
    </row>
    <row r="102" spans="4:15" ht="13" thickBot="1">
      <c r="D102">
        <v>48</v>
      </c>
      <c r="E102" s="9"/>
      <c r="F102" s="16"/>
      <c r="G102" s="10"/>
      <c r="H102" s="10"/>
      <c r="I102" s="10"/>
      <c r="J102" s="10"/>
      <c r="K102" s="10"/>
      <c r="L102" s="10"/>
      <c r="M102" s="10"/>
      <c r="N102" s="14"/>
      <c r="O102" s="14"/>
    </row>
    <row r="103" spans="4:15" ht="13" thickBot="1">
      <c r="E103" s="10"/>
      <c r="F103" s="10"/>
      <c r="G103" s="10"/>
      <c r="H103" s="10"/>
      <c r="I103" s="10"/>
      <c r="J103" s="10"/>
      <c r="K103" s="10"/>
      <c r="L103" s="10"/>
      <c r="M103" s="10"/>
      <c r="N103" s="14" t="s">
        <v>62</v>
      </c>
      <c r="O103" s="67" t="str">
        <f>IF(OR(N87="",N119=""),"",+IF(N87&gt;N119,M87,M119))</f>
        <v/>
      </c>
    </row>
    <row r="104" spans="4:15" ht="13" thickBot="1">
      <c r="D104">
        <v>49</v>
      </c>
      <c r="E104" s="10"/>
      <c r="F104" s="11"/>
      <c r="G104" s="10"/>
      <c r="H104" s="10"/>
      <c r="I104" s="10"/>
      <c r="J104" s="10"/>
      <c r="K104" s="10"/>
      <c r="L104" s="10"/>
      <c r="M104" s="10"/>
      <c r="N104" s="14"/>
      <c r="O104" s="10"/>
    </row>
    <row r="105" spans="4:15" ht="13" thickBot="1">
      <c r="E105" s="12"/>
      <c r="F105" s="13" t="s">
        <v>25</v>
      </c>
      <c r="G105" s="9" t="str">
        <f>IF(OR(F104="",F106=""),"",+IF(F104&gt;F106,E104,E106))</f>
        <v/>
      </c>
      <c r="H105" s="17"/>
      <c r="I105" s="10"/>
      <c r="J105" s="10"/>
      <c r="K105" s="10"/>
      <c r="L105" s="10"/>
      <c r="M105" s="10"/>
      <c r="N105" s="14"/>
      <c r="O105" s="10"/>
    </row>
    <row r="106" spans="4:15" ht="13" thickBot="1">
      <c r="D106">
        <v>50</v>
      </c>
      <c r="E106" s="10"/>
      <c r="F106" s="16"/>
      <c r="G106" s="10"/>
      <c r="H106" s="14"/>
      <c r="I106" s="10"/>
      <c r="J106" s="10"/>
      <c r="K106" s="10"/>
      <c r="L106" s="10"/>
      <c r="M106" s="10"/>
      <c r="N106" s="14"/>
      <c r="O106" s="10"/>
    </row>
    <row r="107" spans="4:15" ht="13" thickBot="1">
      <c r="E107" s="12"/>
      <c r="F107" s="10"/>
      <c r="G107" s="10"/>
      <c r="H107" s="14" t="s">
        <v>45</v>
      </c>
      <c r="I107" s="9" t="str">
        <f>IF(OR(H105="",H109=""),"",+IF(H105&gt;H109,G105,G109))</f>
        <v/>
      </c>
      <c r="J107" s="17"/>
      <c r="K107" s="10"/>
      <c r="L107" s="10"/>
      <c r="M107" s="10"/>
      <c r="N107" s="14"/>
      <c r="O107" s="10"/>
    </row>
    <row r="108" spans="4:15" ht="13" thickBot="1">
      <c r="D108">
        <v>51</v>
      </c>
      <c r="E108" s="10"/>
      <c r="F108" s="11"/>
      <c r="G108" s="10"/>
      <c r="H108" s="14"/>
      <c r="I108" s="10"/>
      <c r="J108" s="13"/>
      <c r="K108" s="10"/>
      <c r="L108" s="10"/>
      <c r="M108" s="10"/>
      <c r="N108" s="14"/>
      <c r="O108" s="10"/>
    </row>
    <row r="109" spans="4:15" ht="13" thickBot="1">
      <c r="E109" s="12"/>
      <c r="F109" s="13" t="s">
        <v>26</v>
      </c>
      <c r="G109" s="9" t="str">
        <f>IF(OR(F108="",F110=""),"",+IF(F108&gt;F110,E108,E110))</f>
        <v/>
      </c>
      <c r="H109" s="16"/>
      <c r="I109" s="10"/>
      <c r="J109" s="14"/>
      <c r="K109" s="10"/>
      <c r="L109" s="10"/>
      <c r="M109" s="10"/>
      <c r="N109" s="14"/>
      <c r="O109" s="10"/>
    </row>
    <row r="110" spans="4:15" ht="13" thickBot="1">
      <c r="D110">
        <v>52</v>
      </c>
      <c r="E110" s="10"/>
      <c r="F110" s="16"/>
      <c r="G110" s="10"/>
      <c r="H110" s="10"/>
      <c r="I110" s="10"/>
      <c r="J110" s="14"/>
      <c r="K110" s="10"/>
      <c r="L110" s="10"/>
      <c r="M110" s="10"/>
      <c r="N110" s="14"/>
      <c r="O110" s="10"/>
    </row>
    <row r="111" spans="4:15" ht="13" thickBot="1">
      <c r="E111" s="12"/>
      <c r="F111" s="10"/>
      <c r="G111" s="10"/>
      <c r="H111" s="10"/>
      <c r="I111" s="10"/>
      <c r="J111" s="14" t="s">
        <v>55</v>
      </c>
      <c r="K111" s="9" t="str">
        <f>IF(OR(J107="",J115=""),"",+IF(J107&gt;J115,I107,I115))</f>
        <v/>
      </c>
      <c r="L111" s="17"/>
      <c r="M111" s="10"/>
      <c r="N111" s="14"/>
      <c r="O111" s="10"/>
    </row>
    <row r="112" spans="4:15" ht="13" thickBot="1">
      <c r="D112">
        <v>53</v>
      </c>
      <c r="E112" s="10"/>
      <c r="F112" s="11"/>
      <c r="G112" s="10"/>
      <c r="H112" s="10"/>
      <c r="I112" s="10"/>
      <c r="J112" s="14"/>
      <c r="K112" s="10"/>
      <c r="L112" s="13"/>
      <c r="M112" s="10"/>
      <c r="N112" s="14"/>
      <c r="O112" s="10"/>
    </row>
    <row r="113" spans="4:15" ht="13" thickBot="1">
      <c r="E113" s="12"/>
      <c r="F113" s="13" t="s">
        <v>27</v>
      </c>
      <c r="G113" s="9" t="str">
        <f>IF(OR(F112="",F114=""),"",+IF(F112&gt;F114,E112,E114))</f>
        <v/>
      </c>
      <c r="H113" s="17"/>
      <c r="I113" s="10"/>
      <c r="J113" s="14"/>
      <c r="K113" s="10"/>
      <c r="L113" s="14"/>
      <c r="M113" s="10"/>
      <c r="N113" s="14"/>
      <c r="O113" s="10"/>
    </row>
    <row r="114" spans="4:15" ht="13" thickBot="1">
      <c r="D114">
        <v>54</v>
      </c>
      <c r="E114" s="10"/>
      <c r="F114" s="16"/>
      <c r="G114" s="10"/>
      <c r="H114" s="14"/>
      <c r="I114" s="10"/>
      <c r="J114" s="14"/>
      <c r="K114" s="10"/>
      <c r="L114" s="14"/>
      <c r="M114" s="10"/>
      <c r="N114" s="14"/>
      <c r="O114" s="10"/>
    </row>
    <row r="115" spans="4:15" ht="13" thickBot="1">
      <c r="E115" s="12"/>
      <c r="F115" s="10"/>
      <c r="G115" s="10"/>
      <c r="H115" s="14" t="s">
        <v>46</v>
      </c>
      <c r="I115" s="9" t="str">
        <f>IF(OR(H113="",H117=""),"",+IF(H113&gt;H117,G113,G117))</f>
        <v/>
      </c>
      <c r="J115" s="16"/>
      <c r="K115" s="10"/>
      <c r="L115" s="14"/>
      <c r="M115" s="10"/>
      <c r="N115" s="14"/>
      <c r="O115" s="10"/>
    </row>
    <row r="116" spans="4:15" ht="13" thickBot="1">
      <c r="D116">
        <v>55</v>
      </c>
      <c r="E116" s="10"/>
      <c r="F116" s="11"/>
      <c r="G116" s="10"/>
      <c r="H116" s="14"/>
      <c r="I116" s="10"/>
      <c r="J116" s="10"/>
      <c r="K116" s="10"/>
      <c r="L116" s="14"/>
      <c r="M116" s="10"/>
      <c r="N116" s="14"/>
      <c r="O116" s="10"/>
    </row>
    <row r="117" spans="4:15" ht="13" thickBot="1">
      <c r="E117" s="12"/>
      <c r="F117" s="13" t="s">
        <v>28</v>
      </c>
      <c r="G117" s="9" t="str">
        <f>IF(OR(F116="",F118=""),"",+IF(F116&gt;F118,E116,E118))</f>
        <v/>
      </c>
      <c r="H117" s="16"/>
      <c r="I117" s="10"/>
      <c r="J117" s="10"/>
      <c r="K117" s="10"/>
      <c r="L117" s="14"/>
      <c r="M117" s="10"/>
      <c r="N117" s="14"/>
      <c r="O117" s="10"/>
    </row>
    <row r="118" spans="4:15" ht="13" thickBot="1">
      <c r="D118">
        <v>56</v>
      </c>
      <c r="E118" s="9"/>
      <c r="F118" s="16"/>
      <c r="G118" s="10"/>
      <c r="H118" s="10"/>
      <c r="I118" s="10"/>
      <c r="J118" s="10"/>
      <c r="K118" s="10"/>
      <c r="L118" s="14"/>
      <c r="M118" s="10"/>
      <c r="N118" s="14"/>
      <c r="O118" s="10"/>
    </row>
    <row r="119" spans="4:15" ht="13" thickBot="1">
      <c r="E119" s="10"/>
      <c r="F119" s="10"/>
      <c r="G119" s="10"/>
      <c r="H119" s="10"/>
      <c r="I119" s="10"/>
      <c r="J119" s="10"/>
      <c r="K119" s="10"/>
      <c r="L119" s="14" t="s">
        <v>60</v>
      </c>
      <c r="M119" s="9" t="str">
        <f>IF(OR(L111="",L127=""),"",+IF(L111&gt;L127,K111,K127))</f>
        <v/>
      </c>
      <c r="N119" s="16"/>
      <c r="O119" s="10"/>
    </row>
    <row r="120" spans="4:15" ht="13" thickBot="1">
      <c r="D120">
        <v>57</v>
      </c>
      <c r="E120" s="10"/>
      <c r="F120" s="11"/>
      <c r="G120" s="10"/>
      <c r="H120" s="10"/>
      <c r="I120" s="10"/>
      <c r="J120" s="10"/>
      <c r="K120" s="10"/>
      <c r="L120" s="14"/>
      <c r="M120" s="10"/>
      <c r="N120" s="10"/>
      <c r="O120" s="10"/>
    </row>
    <row r="121" spans="4:15" ht="13" thickBot="1">
      <c r="E121" s="12"/>
      <c r="F121" s="13" t="s">
        <v>29</v>
      </c>
      <c r="G121" s="9" t="str">
        <f>IF(OR(F120="",F122=""),"",+IF(F120&gt;F122,E120,E122))</f>
        <v/>
      </c>
      <c r="H121" s="17"/>
      <c r="I121" s="10"/>
      <c r="J121" s="10"/>
      <c r="K121" s="10"/>
      <c r="L121" s="14"/>
      <c r="M121" s="10"/>
      <c r="N121" s="10"/>
      <c r="O121" s="10"/>
    </row>
    <row r="122" spans="4:15" ht="13" thickBot="1">
      <c r="D122">
        <v>58</v>
      </c>
      <c r="E122" s="10"/>
      <c r="F122" s="16"/>
      <c r="G122" s="10"/>
      <c r="H122" s="14"/>
      <c r="I122" s="10"/>
      <c r="J122" s="10"/>
      <c r="K122" s="10"/>
      <c r="L122" s="14"/>
      <c r="M122" s="10"/>
      <c r="N122" s="10"/>
      <c r="O122" s="10"/>
    </row>
    <row r="123" spans="4:15" ht="13" thickBot="1">
      <c r="E123" s="12"/>
      <c r="F123" s="10"/>
      <c r="G123" s="10"/>
      <c r="H123" s="14" t="s">
        <v>47</v>
      </c>
      <c r="I123" s="9" t="str">
        <f>IF(OR(H121="",H125=""),"",+IF(H121&gt;H125,G121,G125))</f>
        <v/>
      </c>
      <c r="J123" s="17"/>
      <c r="K123" s="10"/>
      <c r="L123" s="14"/>
      <c r="M123" s="10"/>
      <c r="N123" s="10"/>
      <c r="O123" s="10"/>
    </row>
    <row r="124" spans="4:15" ht="13" thickBot="1">
      <c r="D124">
        <v>59</v>
      </c>
      <c r="E124" s="10"/>
      <c r="F124" s="11"/>
      <c r="G124" s="10"/>
      <c r="H124" s="14"/>
      <c r="I124" s="10"/>
      <c r="J124" s="13"/>
      <c r="K124" s="10"/>
      <c r="L124" s="14"/>
      <c r="M124" s="10"/>
      <c r="N124" s="10"/>
      <c r="O124" s="10"/>
    </row>
    <row r="125" spans="4:15" ht="13" thickBot="1">
      <c r="E125" s="12"/>
      <c r="F125" s="13" t="s">
        <v>30</v>
      </c>
      <c r="G125" s="9" t="str">
        <f>IF(OR(F124="",F126=""),"",+IF(F124&gt;F126,E124,E126))</f>
        <v/>
      </c>
      <c r="H125" s="16"/>
      <c r="I125" s="10"/>
      <c r="J125" s="14"/>
      <c r="K125" s="10"/>
      <c r="L125" s="14"/>
      <c r="M125" s="10"/>
      <c r="N125" s="10"/>
      <c r="O125" s="10"/>
    </row>
    <row r="126" spans="4:15" ht="13" thickBot="1">
      <c r="D126">
        <v>60</v>
      </c>
      <c r="E126" s="10"/>
      <c r="F126" s="16"/>
      <c r="G126" s="10"/>
      <c r="H126" s="10"/>
      <c r="I126" s="10"/>
      <c r="J126" s="14"/>
      <c r="K126" s="10"/>
      <c r="L126" s="14"/>
      <c r="M126" s="10"/>
      <c r="N126" s="10"/>
      <c r="O126" s="10"/>
    </row>
    <row r="127" spans="4:15" ht="13" thickBot="1">
      <c r="E127" s="12"/>
      <c r="F127" s="10"/>
      <c r="G127" s="10"/>
      <c r="H127" s="10"/>
      <c r="I127" s="10"/>
      <c r="J127" s="14" t="s">
        <v>56</v>
      </c>
      <c r="K127" s="9" t="str">
        <f>IF(OR(J123="",J131=""),"",+IF(J123&gt;J131,I123,I131))</f>
        <v/>
      </c>
      <c r="L127" s="16"/>
      <c r="M127" s="10"/>
      <c r="N127" s="10"/>
      <c r="O127" s="10"/>
    </row>
    <row r="128" spans="4:15" ht="13" thickBot="1">
      <c r="D128">
        <v>61</v>
      </c>
      <c r="E128" s="10"/>
      <c r="F128" s="11"/>
      <c r="G128" s="10"/>
      <c r="H128" s="10"/>
      <c r="I128" s="10"/>
      <c r="J128" s="14"/>
      <c r="K128" s="10"/>
      <c r="L128" s="10"/>
      <c r="M128" s="10"/>
      <c r="N128" s="10"/>
      <c r="O128" s="10"/>
    </row>
    <row r="129" spans="4:15" ht="13" thickBot="1">
      <c r="E129" s="12"/>
      <c r="F129" s="13" t="s">
        <v>31</v>
      </c>
      <c r="G129" s="9" t="str">
        <f>IF(OR(F128="",F130=""),"",+IF(F128&gt;F130,E128,E130))</f>
        <v/>
      </c>
      <c r="H129" s="17"/>
      <c r="I129" s="10"/>
      <c r="J129" s="14"/>
      <c r="K129" s="10"/>
      <c r="L129" s="10"/>
      <c r="M129" s="10"/>
      <c r="N129" s="10"/>
      <c r="O129" s="10"/>
    </row>
    <row r="130" spans="4:15" ht="13" thickBot="1">
      <c r="D130">
        <v>62</v>
      </c>
      <c r="E130" s="10"/>
      <c r="F130" s="16"/>
      <c r="G130" s="10"/>
      <c r="H130" s="14"/>
      <c r="I130" s="10"/>
      <c r="J130" s="14"/>
      <c r="K130" s="10"/>
      <c r="L130" s="10"/>
      <c r="M130" s="10"/>
      <c r="N130" s="10"/>
      <c r="O130" s="10"/>
    </row>
    <row r="131" spans="4:15" ht="13" thickBot="1">
      <c r="E131" s="12"/>
      <c r="F131" s="10"/>
      <c r="G131" s="10"/>
      <c r="H131" s="14" t="s">
        <v>48</v>
      </c>
      <c r="I131" s="9" t="str">
        <f>IF(OR(H129="",H133=""),"",+IF(H129&gt;H133,G129,G133))</f>
        <v/>
      </c>
      <c r="J131" s="16"/>
      <c r="K131" s="10"/>
      <c r="L131" s="10"/>
      <c r="M131" s="10"/>
      <c r="N131" s="10"/>
      <c r="O131" s="10"/>
    </row>
    <row r="132" spans="4:15" ht="13" thickBot="1">
      <c r="D132">
        <v>63</v>
      </c>
      <c r="E132" s="10"/>
      <c r="F132" s="11"/>
      <c r="G132" s="10"/>
      <c r="H132" s="14"/>
      <c r="I132" s="10"/>
      <c r="J132" s="10"/>
      <c r="K132" s="10"/>
      <c r="L132" s="10"/>
      <c r="M132" s="10"/>
      <c r="N132" s="10"/>
      <c r="O132" s="10"/>
    </row>
    <row r="133" spans="4:15" ht="13" thickBot="1">
      <c r="E133" s="12"/>
      <c r="F133" s="13" t="s">
        <v>32</v>
      </c>
      <c r="G133" s="9" t="str">
        <f>IF(OR(F132="",F134=""),"",+IF(F132&gt;F134,E132,E134))</f>
        <v/>
      </c>
      <c r="H133" s="16"/>
      <c r="I133" s="10"/>
      <c r="J133" s="10"/>
      <c r="K133" s="10"/>
      <c r="L133" s="10"/>
      <c r="M133" s="10"/>
      <c r="N133" s="10"/>
      <c r="O133" s="10"/>
    </row>
    <row r="134" spans="4:15" ht="13" thickBot="1">
      <c r="D134">
        <v>64</v>
      </c>
      <c r="E134" s="9"/>
      <c r="F134" s="16"/>
      <c r="G134" s="10"/>
      <c r="H134" s="10"/>
      <c r="I134" s="10"/>
      <c r="J134" s="10"/>
      <c r="K134" s="10"/>
      <c r="L134" s="10"/>
      <c r="M134" s="10"/>
      <c r="N134" s="10"/>
      <c r="O134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61"/>
  <dimension ref="D4:AG133"/>
  <sheetViews>
    <sheetView showGridLines="0" topLeftCell="A43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64453125" customWidth="1"/>
    <col min="13" max="13" width="15.64453125" customWidth="1"/>
    <col min="14" max="14" width="3.64453125" customWidth="1"/>
    <col min="15" max="15" width="15.41015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32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/>
      <c r="AE9" s="53" t="e">
        <f>LOOKUP(AD9,T$5:T$78,U$5:U$72)</f>
        <v>#N/A</v>
      </c>
      <c r="AF9" s="37" t="s">
        <v>157</v>
      </c>
      <c r="AG9" s="65" t="e">
        <f>LOOKUP(AD9,T$5:T$78,W$5:W$72)</f>
        <v>#N/A</v>
      </c>
    </row>
    <row r="10" spans="4:33" ht="13" thickBot="1">
      <c r="D10">
        <v>2</v>
      </c>
      <c r="E10" s="10"/>
      <c r="F10" s="11"/>
      <c r="G10" s="10"/>
      <c r="H10" s="14"/>
      <c r="I10" s="12"/>
      <c r="J10" s="20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/>
      <c r="AE10" s="53" t="e">
        <f>LOOKUP(AD10,T$5:T$78,U$5:U$72)</f>
        <v>#N/A</v>
      </c>
      <c r="AF10" s="37" t="s">
        <v>157</v>
      </c>
      <c r="AG10" s="65" t="e">
        <f>LOOKUP(AD10,T$5:T$78,W$5:W$72)</f>
        <v>#N/A</v>
      </c>
    </row>
    <row r="11" spans="4:33" ht="13" thickBot="1">
      <c r="E11" s="12"/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E34</f>
        <v>0</v>
      </c>
      <c r="V11" t="s">
        <v>77</v>
      </c>
      <c r="W11" s="29">
        <f>E36</f>
        <v>0</v>
      </c>
      <c r="Z11" s="34"/>
      <c r="AA11" s="40"/>
      <c r="AB11" s="40"/>
      <c r="AC11" s="38" t="s">
        <v>159</v>
      </c>
      <c r="AD11" s="48"/>
      <c r="AE11" s="53" t="e">
        <f>LOOKUP(AD11,T$5:T$78,U$5:U$72)</f>
        <v>#N/A</v>
      </c>
      <c r="AF11" s="37" t="s">
        <v>157</v>
      </c>
      <c r="AG11" s="65" t="e">
        <f>LOOKUP(AD11,T$5:T$78,W$5:W$72)</f>
        <v>#N/A</v>
      </c>
    </row>
    <row r="12" spans="4:33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E38</f>
        <v>0</v>
      </c>
      <c r="V12" t="s">
        <v>77</v>
      </c>
      <c r="W12" s="29">
        <f>E40</f>
        <v>0</v>
      </c>
      <c r="Z12" s="34"/>
      <c r="AA12" s="40"/>
      <c r="AB12" s="40"/>
      <c r="AC12" s="38" t="s">
        <v>159</v>
      </c>
      <c r="AD12" s="48"/>
      <c r="AE12" s="53" t="e">
        <f>LOOKUP(AD12,T$5:T$78,U$5:U$72)</f>
        <v>#N/A</v>
      </c>
      <c r="AF12" s="37" t="s">
        <v>157</v>
      </c>
      <c r="AG12" s="65" t="e">
        <f>LOOKUP(AD12,T$5:T$78,W$5:W$72)</f>
        <v>#N/A</v>
      </c>
    </row>
    <row r="13" spans="4:33" ht="13" thickBot="1">
      <c r="E13" s="10"/>
      <c r="F13" s="10"/>
      <c r="G13" s="10"/>
      <c r="H13" s="10"/>
      <c r="I13" s="10"/>
      <c r="J13" s="14" t="s">
        <v>48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E42</f>
        <v>0</v>
      </c>
      <c r="V13" t="s">
        <v>77</v>
      </c>
      <c r="W13" s="29">
        <f>E44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E46</f>
        <v>0</v>
      </c>
      <c r="V14" t="s">
        <v>77</v>
      </c>
      <c r="W14" s="29">
        <f>E48</f>
        <v>0</v>
      </c>
      <c r="Z14" s="34"/>
      <c r="AA14" s="40"/>
      <c r="AB14" s="40"/>
      <c r="AC14" s="38" t="s">
        <v>159</v>
      </c>
      <c r="AD14" s="48"/>
      <c r="AE14" s="53" t="e">
        <f>LOOKUP(AD14,T$5:T$78,U$5:U$72)</f>
        <v>#N/A</v>
      </c>
      <c r="AF14" s="37" t="s">
        <v>157</v>
      </c>
      <c r="AG14" s="65" t="e">
        <f>LOOKUP(AD14,T$5:T$78,W$5:W$72)</f>
        <v>#N/A</v>
      </c>
    </row>
    <row r="15" spans="4:33" ht="13" thickBot="1">
      <c r="E15" s="12"/>
      <c r="F15" s="13" t="s">
        <v>2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E50</f>
        <v>0</v>
      </c>
      <c r="V15" t="s">
        <v>77</v>
      </c>
      <c r="W15" s="29">
        <f>E52</f>
        <v>0</v>
      </c>
      <c r="Z15" s="34"/>
      <c r="AA15" s="40"/>
      <c r="AB15" s="40"/>
      <c r="AC15" s="38" t="s">
        <v>159</v>
      </c>
      <c r="AD15" s="48"/>
      <c r="AE15" s="53" t="e">
        <f>LOOKUP(AD15,T$5:T$78,U$5:U$72)</f>
        <v>#N/A</v>
      </c>
      <c r="AF15" s="37" t="s">
        <v>157</v>
      </c>
      <c r="AG15" s="65" t="e">
        <f>LOOKUP(AD15,T$5:T$78,W$5:W$72)</f>
        <v>#N/A</v>
      </c>
    </row>
    <row r="16" spans="4:33" ht="13" thickBot="1">
      <c r="D16">
        <v>5</v>
      </c>
      <c r="E16" s="10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E54</f>
        <v>0</v>
      </c>
      <c r="V16" t="s">
        <v>77</v>
      </c>
      <c r="W16" s="29">
        <f>E56</f>
        <v>0</v>
      </c>
      <c r="Z16" s="34"/>
      <c r="AA16" s="40"/>
      <c r="AB16" s="40"/>
      <c r="AC16" s="38" t="s">
        <v>159</v>
      </c>
      <c r="AD16" s="48"/>
      <c r="AE16" s="53" t="e">
        <f>LOOKUP(AD16,T$5:T$78,U$5:U$72)</f>
        <v>#N/A</v>
      </c>
      <c r="AF16" s="37" t="s">
        <v>157</v>
      </c>
      <c r="AG16" s="65" t="e">
        <f>LOOKUP(AD16,T$5:T$78,W$5:W$72)</f>
        <v>#N/A</v>
      </c>
    </row>
    <row r="17" spans="4:33" ht="13" thickBot="1">
      <c r="E17" s="12"/>
      <c r="F17" s="10"/>
      <c r="G17" s="10"/>
      <c r="H17" s="14" t="s">
        <v>33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E58</f>
        <v>0</v>
      </c>
      <c r="V17" t="s">
        <v>77</v>
      </c>
      <c r="W17" s="29">
        <f>E60</f>
        <v>0</v>
      </c>
      <c r="Z17" s="34"/>
      <c r="AA17" s="40"/>
      <c r="AB17" s="40"/>
      <c r="AC17" s="38" t="s">
        <v>159</v>
      </c>
      <c r="AD17" s="48"/>
      <c r="AE17" s="53" t="e">
        <f>LOOKUP(AD17,T$5:T$78,U$5:U$72)</f>
        <v>#N/A</v>
      </c>
      <c r="AF17" s="37" t="s">
        <v>157</v>
      </c>
      <c r="AG17" s="65" t="e">
        <f>LOOKUP(AD17,T$5:T$78,W$5:W$72)</f>
        <v>#N/A</v>
      </c>
    </row>
    <row r="18" spans="4:33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>
        <f>E62</f>
        <v>0</v>
      </c>
      <c r="V18" t="s">
        <v>77</v>
      </c>
      <c r="W18" s="29">
        <f>E64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2"/>
      <c r="F19" s="13" t="s">
        <v>3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>
        <f>E66</f>
        <v>0</v>
      </c>
      <c r="V19" t="s">
        <v>77</v>
      </c>
      <c r="W19" s="29">
        <f>E68</f>
        <v>0</v>
      </c>
      <c r="Z19" s="34"/>
      <c r="AA19" s="40"/>
      <c r="AB19" s="40"/>
      <c r="AC19" s="38" t="s">
        <v>159</v>
      </c>
      <c r="AD19" s="48"/>
      <c r="AE19" s="53" t="e">
        <f>LOOKUP(AD19,T$5:T$78,U$5:U$72)</f>
        <v>#N/A</v>
      </c>
      <c r="AF19" s="37" t="s">
        <v>157</v>
      </c>
      <c r="AG19" s="65" t="e">
        <f>LOOKUP(AD19,T$5:T$78,W$5:W$72)</f>
        <v>#N/A</v>
      </c>
    </row>
    <row r="20" spans="4:33" ht="13" thickBot="1">
      <c r="D20">
        <v>7</v>
      </c>
      <c r="E20" s="10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>
        <f>E71</f>
        <v>0</v>
      </c>
      <c r="V20" t="s">
        <v>77</v>
      </c>
      <c r="W20" s="29">
        <f>E73</f>
        <v>0</v>
      </c>
      <c r="Z20" s="34"/>
      <c r="AA20" s="40"/>
      <c r="AB20" s="40"/>
      <c r="AC20" s="38" t="s">
        <v>159</v>
      </c>
      <c r="AD20" s="48"/>
      <c r="AE20" s="53" t="e">
        <f>LOOKUP(AD20,T$5:T$78,U$5:U$72)</f>
        <v>#N/A</v>
      </c>
      <c r="AF20" s="37" t="s">
        <v>157</v>
      </c>
      <c r="AG20" s="65" t="e">
        <f>LOOKUP(AD20,T$5:T$78,W$5:W$72)</f>
        <v>#N/A</v>
      </c>
    </row>
    <row r="21" spans="4:33" ht="13" thickBot="1">
      <c r="E21" s="12"/>
      <c r="F21" s="10"/>
      <c r="G21" s="10"/>
      <c r="H21" s="10"/>
      <c r="I21" s="10"/>
      <c r="J21" s="10"/>
      <c r="K21" s="10"/>
      <c r="L21" s="14" t="s">
        <v>56</v>
      </c>
      <c r="M21" s="9" t="str">
        <f>IF(OR(L13="",L29=""),"",+IF(L13&gt;L29,K13,K29))</f>
        <v/>
      </c>
      <c r="N21" s="17"/>
      <c r="O21" s="10"/>
      <c r="T21">
        <v>17</v>
      </c>
      <c r="U21" s="28">
        <f>E75</f>
        <v>0</v>
      </c>
      <c r="V21" t="s">
        <v>77</v>
      </c>
      <c r="W21" s="29">
        <f>E77</f>
        <v>0</v>
      </c>
      <c r="Z21" s="34"/>
      <c r="AA21" s="40"/>
      <c r="AB21" s="40"/>
      <c r="AC21" s="38" t="s">
        <v>159</v>
      </c>
      <c r="AD21" s="48"/>
      <c r="AE21" s="53" t="e">
        <f>LOOKUP(AD21,T$5:T$78,U$5:U$72)</f>
        <v>#N/A</v>
      </c>
      <c r="AF21" s="37" t="s">
        <v>157</v>
      </c>
      <c r="AG21" s="65" t="e">
        <f>LOOKUP(AD21,T$5:T$78,W$5:W$72)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>
        <f>E79</f>
        <v>0</v>
      </c>
      <c r="V22" t="s">
        <v>77</v>
      </c>
      <c r="W22" s="29">
        <f>E81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4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28">
        <f>E83</f>
        <v>0</v>
      </c>
      <c r="V23" t="s">
        <v>77</v>
      </c>
      <c r="W23" s="29">
        <f>E85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28">
        <f>E87</f>
        <v>0</v>
      </c>
      <c r="V24" t="s">
        <v>77</v>
      </c>
      <c r="W24" s="29">
        <f>E89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0"/>
      <c r="G25" s="10"/>
      <c r="H25" s="14" t="s">
        <v>34</v>
      </c>
      <c r="I25" s="9" t="str">
        <f>IF(OR(H23="",H27=""),"",+IF(H23&gt;H27,G23,G27))</f>
        <v/>
      </c>
      <c r="J25" s="17"/>
      <c r="K25" s="10"/>
      <c r="L25" s="14"/>
      <c r="M25" s="10"/>
      <c r="N25" s="14"/>
      <c r="O25" s="10"/>
      <c r="T25">
        <v>21</v>
      </c>
      <c r="U25" s="28">
        <f>E91</f>
        <v>0</v>
      </c>
      <c r="V25" t="s">
        <v>77</v>
      </c>
      <c r="W25" s="29">
        <f>E93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1"/>
      <c r="G26" s="10"/>
      <c r="H26" s="14"/>
      <c r="I26" s="10"/>
      <c r="J26" s="13"/>
      <c r="K26" s="10"/>
      <c r="L26" s="14"/>
      <c r="M26" s="10"/>
      <c r="N26" s="14"/>
      <c r="O26" s="10"/>
      <c r="T26">
        <v>22</v>
      </c>
      <c r="U26" s="28">
        <f>E95</f>
        <v>0</v>
      </c>
      <c r="V26" t="s">
        <v>77</v>
      </c>
      <c r="W26" s="29">
        <f>E97</f>
        <v>0</v>
      </c>
      <c r="Z26" s="34"/>
      <c r="AA26" s="40"/>
      <c r="AB26" s="40"/>
      <c r="AC26" s="38" t="s">
        <v>159</v>
      </c>
      <c r="AD26" s="48"/>
      <c r="AE26" s="53" t="e">
        <f>LOOKUP(AD26,T$5:T$78,U$5:U$72)</f>
        <v>#N/A</v>
      </c>
      <c r="AF26" s="37" t="s">
        <v>157</v>
      </c>
      <c r="AG26" s="65" t="e">
        <f>LOOKUP(AD26,T$5:T$78,W$5:W$72)</f>
        <v>#N/A</v>
      </c>
    </row>
    <row r="27" spans="4:33" ht="13" thickBot="1">
      <c r="E27" s="12"/>
      <c r="F27" s="13" t="s">
        <v>5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>
        <f>E99</f>
        <v>0</v>
      </c>
      <c r="V27" t="s">
        <v>77</v>
      </c>
      <c r="W27" s="29">
        <f>E101</f>
        <v>0</v>
      </c>
      <c r="Z27" s="34"/>
      <c r="AA27" s="40"/>
      <c r="AB27" s="40"/>
      <c r="AC27" s="38" t="s">
        <v>159</v>
      </c>
      <c r="AD27" s="48"/>
      <c r="AE27" s="53" t="e">
        <f>LOOKUP(AD27,T$5:T$78,U$5:U$72)</f>
        <v>#N/A</v>
      </c>
      <c r="AF27" s="37" t="s">
        <v>157</v>
      </c>
      <c r="AG27" s="65" t="e">
        <f>LOOKUP(AD27,T$5:T$78,W$5:W$72)</f>
        <v>#N/A</v>
      </c>
    </row>
    <row r="28" spans="4:33" ht="13" thickBot="1">
      <c r="D28">
        <v>11</v>
      </c>
      <c r="E28" s="10"/>
      <c r="F28" s="16"/>
      <c r="G28" s="10"/>
      <c r="H28" s="10"/>
      <c r="I28" s="10"/>
      <c r="J28" s="14"/>
      <c r="K28" s="10"/>
      <c r="L28" s="14"/>
      <c r="M28" s="10"/>
      <c r="N28" s="14"/>
      <c r="O28" s="10"/>
      <c r="T28">
        <v>24</v>
      </c>
      <c r="U28" s="28">
        <f>E103</f>
        <v>0</v>
      </c>
      <c r="V28" t="s">
        <v>77</v>
      </c>
      <c r="W28" s="29">
        <f>E105</f>
        <v>0</v>
      </c>
      <c r="Z28" s="34"/>
      <c r="AA28" s="40"/>
      <c r="AB28" s="40"/>
      <c r="AC28" s="38" t="s">
        <v>159</v>
      </c>
      <c r="AD28" s="48"/>
      <c r="AE28" s="53" t="e">
        <f>LOOKUP(AD28,T$5:T$78,U$5:U$72)</f>
        <v>#N/A</v>
      </c>
      <c r="AF28" s="37" t="s">
        <v>157</v>
      </c>
      <c r="AG28" s="65" t="e">
        <f>LOOKUP(AD28,T$5:T$78,W$5:W$72)</f>
        <v>#N/A</v>
      </c>
    </row>
    <row r="29" spans="4:33" ht="13" thickBot="1">
      <c r="E29" s="12"/>
      <c r="F29" s="10"/>
      <c r="G29" s="10"/>
      <c r="H29" s="10"/>
      <c r="I29" s="10"/>
      <c r="J29" s="14" t="s">
        <v>49</v>
      </c>
      <c r="K29" s="9" t="str">
        <f>IF(OR(J25="",J33=""),"",+IF(J25&gt;J33,I25,I33))</f>
        <v/>
      </c>
      <c r="L29" s="16"/>
      <c r="M29" s="10"/>
      <c r="N29" s="14"/>
      <c r="O29" s="10"/>
      <c r="T29">
        <v>25</v>
      </c>
      <c r="U29" s="28">
        <f>E107</f>
        <v>0</v>
      </c>
      <c r="V29" t="s">
        <v>77</v>
      </c>
      <c r="W29" s="29">
        <f>E109</f>
        <v>0</v>
      </c>
      <c r="Z29" s="34"/>
      <c r="AA29" s="40"/>
      <c r="AB29" s="40"/>
      <c r="AC29" s="38" t="s">
        <v>159</v>
      </c>
      <c r="AD29" s="48"/>
      <c r="AE29" s="53" t="e">
        <f>LOOKUP(AD29,T$5:T$78,U$5:U$72)</f>
        <v>#N/A</v>
      </c>
      <c r="AF29" s="37" t="s">
        <v>157</v>
      </c>
      <c r="AG29" s="65" t="e">
        <f>LOOKUP(AD29,T$5:T$78,W$5:W$72)</f>
        <v>#N/A</v>
      </c>
    </row>
    <row r="30" spans="4:33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>
        <f>E111</f>
        <v>0</v>
      </c>
      <c r="V30" t="s">
        <v>77</v>
      </c>
      <c r="W30" s="29">
        <f>E113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2"/>
      <c r="F31" s="13" t="s">
        <v>6</v>
      </c>
      <c r="G31" s="9" t="str">
        <f>IF(OR(F30="",F32=""),"",+IF(F30&gt;F32,E30,E32))</f>
        <v/>
      </c>
      <c r="H31" s="17"/>
      <c r="I31" s="10"/>
      <c r="J31" s="14"/>
      <c r="K31" s="10"/>
      <c r="L31" s="10"/>
      <c r="M31" s="10"/>
      <c r="N31" s="14"/>
      <c r="O31" s="10"/>
      <c r="T31">
        <v>27</v>
      </c>
      <c r="U31" s="28">
        <f>E115</f>
        <v>0</v>
      </c>
      <c r="V31" t="s">
        <v>77</v>
      </c>
      <c r="W31" s="29">
        <f>E117</f>
        <v>0</v>
      </c>
      <c r="Z31" s="34"/>
      <c r="AA31" s="40"/>
      <c r="AB31" s="40"/>
      <c r="AC31" s="38" t="s">
        <v>159</v>
      </c>
      <c r="AD31" s="48"/>
      <c r="AE31" s="53" t="e">
        <f>LOOKUP(AD31,T$5:T$78,U$5:U$72)</f>
        <v>#N/A</v>
      </c>
      <c r="AF31" s="37" t="s">
        <v>157</v>
      </c>
      <c r="AG31" s="65" t="e">
        <f>LOOKUP(AD31,T$5:T$78,W$5:W$72)</f>
        <v>#N/A</v>
      </c>
    </row>
    <row r="32" spans="4:33" ht="13" thickBot="1">
      <c r="D32">
        <v>13</v>
      </c>
      <c r="E32" s="10"/>
      <c r="F32" s="16"/>
      <c r="G32" s="10"/>
      <c r="H32" s="14"/>
      <c r="I32" s="10"/>
      <c r="J32" s="14"/>
      <c r="K32" s="10"/>
      <c r="L32" s="10"/>
      <c r="M32" s="10"/>
      <c r="N32" s="14"/>
      <c r="O32" s="10"/>
      <c r="T32">
        <v>28</v>
      </c>
      <c r="U32" s="28">
        <f>E119</f>
        <v>0</v>
      </c>
      <c r="V32" t="s">
        <v>77</v>
      </c>
      <c r="W32" s="29">
        <f>E121</f>
        <v>0</v>
      </c>
      <c r="Z32" s="34"/>
      <c r="AA32" s="40"/>
      <c r="AB32" s="40"/>
      <c r="AC32" s="38" t="s">
        <v>159</v>
      </c>
      <c r="AD32" s="48"/>
      <c r="AE32" s="53" t="e">
        <f>LOOKUP(AD32,T$5:T$78,U$5:U$72)</f>
        <v>#N/A</v>
      </c>
      <c r="AF32" s="37" t="s">
        <v>157</v>
      </c>
      <c r="AG32" s="65" t="e">
        <f>LOOKUP(AD32,T$5:T$78,W$5:W$72)</f>
        <v>#N/A</v>
      </c>
    </row>
    <row r="33" spans="4:33" ht="13" thickBot="1">
      <c r="E33" s="12"/>
      <c r="F33" s="10"/>
      <c r="G33" s="10"/>
      <c r="H33" s="14" t="s">
        <v>35</v>
      </c>
      <c r="I33" s="9" t="str">
        <f>IF(OR(H31="",H35=""),"",+IF(H31&gt;H35,G31,G35))</f>
        <v/>
      </c>
      <c r="J33" s="16"/>
      <c r="K33" s="10"/>
      <c r="L33" s="10"/>
      <c r="M33" s="10"/>
      <c r="N33" s="14"/>
      <c r="O33" s="10"/>
      <c r="T33">
        <v>29</v>
      </c>
      <c r="U33" s="28">
        <f>E123</f>
        <v>0</v>
      </c>
      <c r="V33" t="s">
        <v>77</v>
      </c>
      <c r="W33" s="29">
        <f>E125</f>
        <v>0</v>
      </c>
      <c r="Z33" s="34"/>
      <c r="AA33" s="40"/>
      <c r="AB33" s="40"/>
      <c r="AC33" s="38" t="s">
        <v>159</v>
      </c>
      <c r="AD33" s="48"/>
      <c r="AE33" s="53" t="e">
        <f>LOOKUP(AD33,T$5:T$78,U$5:U$72)</f>
        <v>#N/A</v>
      </c>
      <c r="AF33" s="37" t="s">
        <v>157</v>
      </c>
      <c r="AG33" s="65" t="e">
        <f>LOOKUP(AD33,T$5:T$78,W$5:W$72)</f>
        <v>#N/A</v>
      </c>
    </row>
    <row r="34" spans="4:33" ht="13" thickBot="1">
      <c r="D34">
        <v>14</v>
      </c>
      <c r="E34" s="10"/>
      <c r="F34" s="11"/>
      <c r="G34" s="10"/>
      <c r="H34" s="14"/>
      <c r="I34" s="10"/>
      <c r="J34" s="10"/>
      <c r="K34" s="10"/>
      <c r="L34" s="10"/>
      <c r="M34" s="10"/>
      <c r="N34" s="14"/>
      <c r="O34" s="10"/>
      <c r="T34">
        <v>30</v>
      </c>
      <c r="U34" s="28">
        <f>E127</f>
        <v>0</v>
      </c>
      <c r="V34" t="s">
        <v>77</v>
      </c>
      <c r="W34" s="29">
        <f>E129</f>
        <v>0</v>
      </c>
      <c r="Z34" s="34"/>
      <c r="AA34" s="40"/>
      <c r="AB34" s="40"/>
      <c r="AC34" s="38" t="s">
        <v>159</v>
      </c>
      <c r="AD34" s="48"/>
      <c r="AE34" s="53" t="e">
        <f>LOOKUP(AD34,T$5:T$78,U$5:U$72)</f>
        <v>#N/A</v>
      </c>
      <c r="AF34" s="37" t="s">
        <v>157</v>
      </c>
      <c r="AG34" s="65" t="e">
        <f>LOOKUP(AD34,T$5:T$78,W$5:W$72)</f>
        <v>#N/A</v>
      </c>
    </row>
    <row r="35" spans="4:33" ht="13" thickBot="1">
      <c r="E35" s="12"/>
      <c r="F35" s="13" t="s">
        <v>7</v>
      </c>
      <c r="G35" s="9" t="str">
        <f>IF(OR(F34="",F36=""),"",+IF(F34&gt;F36,E34,E36))</f>
        <v/>
      </c>
      <c r="H35" s="16"/>
      <c r="I35" s="10"/>
      <c r="J35" s="10"/>
      <c r="K35" s="10"/>
      <c r="L35" s="10"/>
      <c r="M35" s="10"/>
      <c r="N35" s="14"/>
      <c r="O35" s="10"/>
      <c r="T35">
        <v>31</v>
      </c>
      <c r="U35" s="28">
        <f>E131</f>
        <v>0</v>
      </c>
      <c r="V35" t="s">
        <v>77</v>
      </c>
      <c r="W35" s="29">
        <f>E133</f>
        <v>0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/>
      <c r="F36" s="16"/>
      <c r="G36" s="10"/>
      <c r="H36" s="10"/>
      <c r="I36" s="10"/>
      <c r="J36" s="10"/>
      <c r="K36" s="10"/>
      <c r="L36" s="10"/>
      <c r="M36" s="10"/>
      <c r="N36" s="14"/>
      <c r="O36" s="10"/>
      <c r="T36">
        <v>32</v>
      </c>
      <c r="U36" s="28">
        <f>E7</f>
        <v>0</v>
      </c>
      <c r="V36" t="s">
        <v>77</v>
      </c>
      <c r="W36" s="29" t="s">
        <v>78</v>
      </c>
      <c r="Z36" s="34"/>
      <c r="AA36" s="40"/>
      <c r="AB36" s="40"/>
      <c r="AC36" s="38" t="s">
        <v>159</v>
      </c>
      <c r="AD36" s="48"/>
      <c r="AE36" s="53" t="e">
        <f>LOOKUP(AD36,T$5:T$78,U$5:U$72)</f>
        <v>#N/A</v>
      </c>
      <c r="AF36" s="37" t="s">
        <v>157</v>
      </c>
      <c r="AG36" s="65" t="e">
        <f>LOOKUP(AD36,T$5:T$78,W$5:W$72)</f>
        <v>#N/A</v>
      </c>
    </row>
    <row r="37" spans="4:33" ht="13" thickBot="1">
      <c r="E37" s="10"/>
      <c r="F37" s="10"/>
      <c r="G37" s="10"/>
      <c r="H37" s="10"/>
      <c r="I37" s="10"/>
      <c r="J37" s="10"/>
      <c r="K37" s="10"/>
      <c r="L37" s="10"/>
      <c r="M37" s="10"/>
      <c r="N37" s="14" t="s">
        <v>60</v>
      </c>
      <c r="O37" s="9" t="str">
        <f>IF(OR(N21="",N53=""),"",+IF(N21&gt;N53,M21,M53))</f>
        <v/>
      </c>
      <c r="T37">
        <v>33</v>
      </c>
      <c r="U37" s="28" t="s">
        <v>160</v>
      </c>
      <c r="V37" t="s">
        <v>77</v>
      </c>
      <c r="W37" s="29" t="s">
        <v>161</v>
      </c>
      <c r="Z37" s="34"/>
      <c r="AA37" s="40"/>
      <c r="AB37" s="40"/>
      <c r="AC37" s="38" t="s">
        <v>159</v>
      </c>
      <c r="AD37" s="48"/>
      <c r="AE37" s="53" t="e">
        <f>LOOKUP(AD37,T$5:T$78,U$5:U$72)</f>
        <v>#N/A</v>
      </c>
      <c r="AF37" s="37" t="s">
        <v>157</v>
      </c>
      <c r="AG37" s="65" t="e">
        <f>LOOKUP(AD37,T$5:T$78,W$5:W$72)</f>
        <v>#N/A</v>
      </c>
    </row>
    <row r="38" spans="4:33" ht="13" thickBot="1">
      <c r="D38">
        <v>16</v>
      </c>
      <c r="E38" s="10"/>
      <c r="F38" s="11"/>
      <c r="G38" s="10"/>
      <c r="H38" s="10"/>
      <c r="I38" s="10"/>
      <c r="J38" s="10"/>
      <c r="K38" s="10"/>
      <c r="L38" s="10"/>
      <c r="M38" s="10"/>
      <c r="N38" s="14"/>
      <c r="O38" s="13"/>
      <c r="T38">
        <v>34</v>
      </c>
      <c r="U38" s="28" t="s">
        <v>81</v>
      </c>
      <c r="V38" t="s">
        <v>77</v>
      </c>
      <c r="W38" s="29" t="s">
        <v>162</v>
      </c>
      <c r="Z38" s="34"/>
      <c r="AA38" s="40"/>
      <c r="AB38" s="40"/>
      <c r="AC38" s="38" t="s">
        <v>159</v>
      </c>
      <c r="AD38" s="48"/>
      <c r="AE38" s="53" t="e">
        <f>LOOKUP(AD38,T$5:T$78,U$5:U$72)</f>
        <v>#N/A</v>
      </c>
      <c r="AF38" s="37" t="s">
        <v>157</v>
      </c>
      <c r="AG38" s="65" t="e">
        <f>LOOKUP(AD38,T$5:T$78,W$5:W$72)</f>
        <v>#N/A</v>
      </c>
    </row>
    <row r="39" spans="4:33" ht="13" thickBot="1">
      <c r="E39" s="12"/>
      <c r="F39" s="13" t="s">
        <v>8</v>
      </c>
      <c r="G39" s="9" t="str">
        <f>IF(OR(F38="",F40=""),"",+IF(F38&gt;F40,E38,E40))</f>
        <v/>
      </c>
      <c r="H39" s="17"/>
      <c r="I39" s="10"/>
      <c r="J39" s="10"/>
      <c r="K39" s="10"/>
      <c r="L39" s="10"/>
      <c r="M39" s="10"/>
      <c r="N39" s="14"/>
      <c r="O39" s="14"/>
      <c r="T39">
        <v>35</v>
      </c>
      <c r="U39" s="28" t="s">
        <v>163</v>
      </c>
      <c r="V39" t="s">
        <v>77</v>
      </c>
      <c r="W39" s="29" t="s">
        <v>84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D40">
        <v>17</v>
      </c>
      <c r="E40" s="10"/>
      <c r="F40" s="16"/>
      <c r="G40" s="10"/>
      <c r="H40" s="14"/>
      <c r="I40" s="10"/>
      <c r="J40" s="10"/>
      <c r="K40" s="10"/>
      <c r="L40" s="10"/>
      <c r="M40" s="10"/>
      <c r="N40" s="14"/>
      <c r="O40" s="14"/>
      <c r="T40">
        <v>36</v>
      </c>
      <c r="U40" s="28" t="s">
        <v>164</v>
      </c>
      <c r="V40" t="s">
        <v>77</v>
      </c>
      <c r="W40" s="29" t="s">
        <v>200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2"/>
      <c r="F41" s="10"/>
      <c r="G41" s="10"/>
      <c r="H41" s="14" t="s">
        <v>36</v>
      </c>
      <c r="I41" s="9" t="str">
        <f>IF(OR(H39="",H43=""),"",+IF(H39&gt;H43,G39,G43))</f>
        <v/>
      </c>
      <c r="J41" s="17"/>
      <c r="K41" s="10"/>
      <c r="L41" s="10"/>
      <c r="M41" s="10"/>
      <c r="N41" s="14"/>
      <c r="O41" s="14"/>
      <c r="T41">
        <v>37</v>
      </c>
      <c r="U41" s="28" t="s">
        <v>87</v>
      </c>
      <c r="V41" t="s">
        <v>77</v>
      </c>
      <c r="W41" s="29" t="s">
        <v>88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10"/>
      <c r="F42" s="11"/>
      <c r="G42" s="10"/>
      <c r="H42" s="14"/>
      <c r="I42" s="10"/>
      <c r="J42" s="13"/>
      <c r="K42" s="10"/>
      <c r="L42" s="10"/>
      <c r="M42" s="10"/>
      <c r="N42" s="14"/>
      <c r="O42" s="14"/>
      <c r="T42">
        <v>38</v>
      </c>
      <c r="U42" s="28" t="s">
        <v>89</v>
      </c>
      <c r="V42" t="s">
        <v>77</v>
      </c>
      <c r="W42" s="29" t="s">
        <v>90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E43" s="12"/>
      <c r="F43" s="13" t="s">
        <v>9</v>
      </c>
      <c r="G43" s="9" t="str">
        <f>IF(OR(F42="",F44=""),"",+IF(F42&gt;F44,E42,E44))</f>
        <v/>
      </c>
      <c r="H43" s="16"/>
      <c r="I43" s="10"/>
      <c r="J43" s="14"/>
      <c r="K43" s="10"/>
      <c r="L43" s="10"/>
      <c r="M43" s="10"/>
      <c r="N43" s="14"/>
      <c r="O43" s="14"/>
      <c r="T43">
        <v>39</v>
      </c>
      <c r="U43" s="28" t="s">
        <v>91</v>
      </c>
      <c r="V43" t="s">
        <v>77</v>
      </c>
      <c r="W43" s="29" t="s">
        <v>92</v>
      </c>
      <c r="Z43" s="34"/>
      <c r="AA43" s="40"/>
      <c r="AB43" s="40"/>
      <c r="AC43" s="38" t="s">
        <v>159</v>
      </c>
      <c r="AD43" s="48"/>
      <c r="AE43" s="53" t="e">
        <f>LOOKUP(AD43,T$5:T$78,U$5:U$72)</f>
        <v>#N/A</v>
      </c>
      <c r="AF43" s="37" t="s">
        <v>157</v>
      </c>
      <c r="AG43" s="65" t="e">
        <f>LOOKUP(AD43,T$5:T$78,W$5:W$72)</f>
        <v>#N/A</v>
      </c>
    </row>
    <row r="44" spans="4:33" ht="13" thickBot="1">
      <c r="D44">
        <v>19</v>
      </c>
      <c r="E44" s="10"/>
      <c r="F44" s="16"/>
      <c r="G44" s="10"/>
      <c r="H44" s="10"/>
      <c r="I44" s="10"/>
      <c r="J44" s="14"/>
      <c r="K44" s="10"/>
      <c r="L44" s="10"/>
      <c r="M44" s="10"/>
      <c r="N44" s="14"/>
      <c r="O44" s="14"/>
      <c r="T44">
        <v>40</v>
      </c>
      <c r="U44" s="28" t="s">
        <v>165</v>
      </c>
      <c r="V44" t="s">
        <v>77</v>
      </c>
      <c r="W44" s="29" t="s">
        <v>94</v>
      </c>
      <c r="Z44" s="34"/>
      <c r="AA44" s="40"/>
      <c r="AB44" s="40"/>
      <c r="AC44" s="38" t="s">
        <v>159</v>
      </c>
      <c r="AD44" s="48"/>
      <c r="AE44" s="53" t="e">
        <f>LOOKUP(AD44,T$5:T$78,U$5:U$72)</f>
        <v>#N/A</v>
      </c>
      <c r="AF44" s="37" t="s">
        <v>157</v>
      </c>
      <c r="AG44" s="65" t="e">
        <f>LOOKUP(AD44,T$5:T$78,W$5:W$72)</f>
        <v>#N/A</v>
      </c>
    </row>
    <row r="45" spans="4:33" ht="13" thickBot="1">
      <c r="E45" s="12"/>
      <c r="F45" s="10"/>
      <c r="G45" s="10"/>
      <c r="H45" s="10"/>
      <c r="I45" s="10"/>
      <c r="J45" s="14" t="s">
        <v>50</v>
      </c>
      <c r="K45" s="9" t="str">
        <f>IF(OR(J41="",J49=""),"",+IF(J41&gt;J49,I41,I49))</f>
        <v/>
      </c>
      <c r="L45" s="17"/>
      <c r="M45" s="10"/>
      <c r="N45" s="14"/>
      <c r="O45" s="14"/>
      <c r="T45">
        <v>41</v>
      </c>
      <c r="U45" s="28" t="s">
        <v>95</v>
      </c>
      <c r="V45" t="s">
        <v>77</v>
      </c>
      <c r="W45" s="29" t="s">
        <v>96</v>
      </c>
      <c r="Z45" s="34"/>
      <c r="AA45" s="40"/>
      <c r="AB45" s="40"/>
      <c r="AC45" s="38" t="s">
        <v>159</v>
      </c>
      <c r="AD45" s="48"/>
      <c r="AE45" s="53" t="e">
        <f>LOOKUP(AD45,T$5:T$78,U$5:U$72)</f>
        <v>#N/A</v>
      </c>
      <c r="AF45" s="37" t="s">
        <v>157</v>
      </c>
      <c r="AG45" s="65" t="e">
        <f>LOOKUP(AD45,T$5:T$78,W$5:W$72)</f>
        <v>#N/A</v>
      </c>
    </row>
    <row r="46" spans="4:33" ht="13" thickBot="1">
      <c r="D46">
        <v>20</v>
      </c>
      <c r="E46" s="10"/>
      <c r="F46" s="11"/>
      <c r="G46" s="10"/>
      <c r="H46" s="10"/>
      <c r="I46" s="10"/>
      <c r="J46" s="14"/>
      <c r="K46" s="10"/>
      <c r="L46" s="13"/>
      <c r="M46" s="10"/>
      <c r="N46" s="14"/>
      <c r="O46" s="14"/>
      <c r="T46">
        <v>42</v>
      </c>
      <c r="U46" s="28" t="s">
        <v>97</v>
      </c>
      <c r="V46" t="s">
        <v>77</v>
      </c>
      <c r="W46" s="29" t="s">
        <v>98</v>
      </c>
      <c r="Z46" s="34"/>
      <c r="AA46" s="40"/>
      <c r="AB46" s="40"/>
      <c r="AC46" s="38" t="s">
        <v>159</v>
      </c>
      <c r="AD46" s="48"/>
      <c r="AE46" s="53" t="e">
        <f>LOOKUP(AD46,T$5:T$78,U$5:U$72)</f>
        <v>#N/A</v>
      </c>
      <c r="AF46" s="37" t="s">
        <v>157</v>
      </c>
      <c r="AG46" s="65" t="e">
        <f>LOOKUP(AD46,T$5:T$78,W$5:W$72)</f>
        <v>#N/A</v>
      </c>
    </row>
    <row r="47" spans="4:33" ht="13" thickBot="1">
      <c r="E47" s="12"/>
      <c r="F47" s="13" t="s">
        <v>10</v>
      </c>
      <c r="G47" s="9" t="str">
        <f>IF(OR(F46="",F48=""),"",+IF(F46&gt;F48,E46,E48))</f>
        <v/>
      </c>
      <c r="H47" s="17"/>
      <c r="I47" s="10"/>
      <c r="J47" s="14"/>
      <c r="K47" s="10"/>
      <c r="L47" s="14"/>
      <c r="M47" s="10"/>
      <c r="N47" s="14"/>
      <c r="O47" s="14"/>
      <c r="T47">
        <v>43</v>
      </c>
      <c r="U47" s="28" t="s">
        <v>99</v>
      </c>
      <c r="V47" t="s">
        <v>77</v>
      </c>
      <c r="W47" s="29" t="s">
        <v>100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D48">
        <v>21</v>
      </c>
      <c r="E48" s="10"/>
      <c r="F48" s="16"/>
      <c r="G48" s="10"/>
      <c r="H48" s="14"/>
      <c r="I48" s="10"/>
      <c r="J48" s="14"/>
      <c r="K48" s="10"/>
      <c r="L48" s="14"/>
      <c r="M48" s="10"/>
      <c r="N48" s="14"/>
      <c r="O48" s="14"/>
      <c r="T48">
        <v>44</v>
      </c>
      <c r="U48" s="28" t="s">
        <v>101</v>
      </c>
      <c r="V48" t="s">
        <v>77</v>
      </c>
      <c r="W48" s="29" t="s">
        <v>102</v>
      </c>
      <c r="Z48" s="34"/>
      <c r="AA48" s="40"/>
      <c r="AB48" s="40"/>
      <c r="AC48" s="38" t="s">
        <v>159</v>
      </c>
      <c r="AD48" s="48"/>
      <c r="AE48" s="53" t="e">
        <f>LOOKUP(AD48,T$5:T$78,U$5:U$72)</f>
        <v>#N/A</v>
      </c>
      <c r="AF48" s="37" t="s">
        <v>157</v>
      </c>
      <c r="AG48" s="65" t="e">
        <f>LOOKUP(AD48,T$5:T$78,W$5:W$72)</f>
        <v>#N/A</v>
      </c>
    </row>
    <row r="49" spans="4:33" ht="13" thickBot="1">
      <c r="E49" s="12"/>
      <c r="F49" s="10"/>
      <c r="G49" s="10"/>
      <c r="H49" s="14" t="s">
        <v>37</v>
      </c>
      <c r="I49" s="9" t="str">
        <f>IF(OR(H47="",H51=""),"",+IF(H47&gt;H51,G47,G51))</f>
        <v/>
      </c>
      <c r="J49" s="16"/>
      <c r="K49" s="10"/>
      <c r="L49" s="14"/>
      <c r="M49" s="10"/>
      <c r="N49" s="14"/>
      <c r="O49" s="14"/>
      <c r="T49">
        <v>45</v>
      </c>
      <c r="U49" s="28" t="s">
        <v>103</v>
      </c>
      <c r="V49" t="s">
        <v>77</v>
      </c>
      <c r="W49" s="29" t="s">
        <v>104</v>
      </c>
      <c r="Z49" s="34"/>
      <c r="AA49" s="40"/>
      <c r="AB49" s="40"/>
      <c r="AC49" s="38" t="s">
        <v>159</v>
      </c>
      <c r="AD49" s="48"/>
      <c r="AE49" s="53" t="e">
        <f>LOOKUP(AD49,T$5:T$78,U$5:U$72)</f>
        <v>#N/A</v>
      </c>
      <c r="AF49" s="37" t="s">
        <v>157</v>
      </c>
      <c r="AG49" s="65" t="e">
        <f>LOOKUP(AD49,T$5:T$78,W$5:W$72)</f>
        <v>#N/A</v>
      </c>
    </row>
    <row r="50" spans="4:33" ht="13" thickBot="1">
      <c r="D50">
        <v>22</v>
      </c>
      <c r="E50" s="10"/>
      <c r="F50" s="11"/>
      <c r="G50" s="10"/>
      <c r="H50" s="14"/>
      <c r="I50" s="10"/>
      <c r="J50" s="10"/>
      <c r="K50" s="10"/>
      <c r="L50" s="14"/>
      <c r="M50" s="10"/>
      <c r="N50" s="14"/>
      <c r="O50" s="14"/>
      <c r="T50">
        <v>46</v>
      </c>
      <c r="U50" s="28" t="s">
        <v>105</v>
      </c>
      <c r="V50" t="s">
        <v>77</v>
      </c>
      <c r="W50" s="29" t="s">
        <v>106</v>
      </c>
      <c r="Z50" s="34"/>
      <c r="AA50" s="40"/>
      <c r="AB50" s="40"/>
      <c r="AC50" s="38" t="s">
        <v>159</v>
      </c>
      <c r="AD50" s="48"/>
      <c r="AE50" s="53" t="e">
        <f>LOOKUP(AD50,T$5:T$78,U$5:U$72)</f>
        <v>#N/A</v>
      </c>
      <c r="AF50" s="37" t="s">
        <v>157</v>
      </c>
      <c r="AG50" s="65" t="e">
        <f>LOOKUP(AD50,T$5:T$78,W$5:W$72)</f>
        <v>#N/A</v>
      </c>
    </row>
    <row r="51" spans="4:33" ht="13" thickBot="1">
      <c r="E51" s="12"/>
      <c r="F51" s="13" t="s">
        <v>11</v>
      </c>
      <c r="G51" s="9" t="str">
        <f>IF(OR(F50="",F52=""),"",+IF(F50&gt;F52,E50,E52))</f>
        <v/>
      </c>
      <c r="H51" s="16"/>
      <c r="I51" s="10"/>
      <c r="J51" s="10"/>
      <c r="K51" s="10"/>
      <c r="L51" s="14"/>
      <c r="M51" s="10"/>
      <c r="N51" s="14"/>
      <c r="O51" s="14"/>
      <c r="T51">
        <v>47</v>
      </c>
      <c r="U51" s="28" t="s">
        <v>107</v>
      </c>
      <c r="V51" t="s">
        <v>77</v>
      </c>
      <c r="W51" s="29" t="s">
        <v>108</v>
      </c>
      <c r="Z51" s="34"/>
      <c r="AA51" s="40"/>
      <c r="AB51" s="40"/>
      <c r="AC51" s="38" t="s">
        <v>159</v>
      </c>
      <c r="AD51" s="48"/>
      <c r="AE51" s="53" t="e">
        <f>LOOKUP(AD51,T$5:T$78,U$5:U$72)</f>
        <v>#N/A</v>
      </c>
      <c r="AF51" s="37" t="s">
        <v>157</v>
      </c>
      <c r="AG51" s="65" t="e">
        <f>LOOKUP(AD51,T$5:T$78,W$5:W$72)</f>
        <v>#N/A</v>
      </c>
    </row>
    <row r="52" spans="4:33" ht="13" thickBot="1">
      <c r="D52">
        <v>23</v>
      </c>
      <c r="E52" s="9"/>
      <c r="F52" s="16"/>
      <c r="G52" s="10"/>
      <c r="H52" s="10"/>
      <c r="I52" s="10"/>
      <c r="J52" s="10"/>
      <c r="K52" s="10"/>
      <c r="L52" s="14"/>
      <c r="M52" s="10"/>
      <c r="N52" s="14"/>
      <c r="O52" s="14"/>
      <c r="T52">
        <v>48</v>
      </c>
      <c r="U52" s="28" t="s">
        <v>109</v>
      </c>
      <c r="V52" t="s">
        <v>77</v>
      </c>
      <c r="W52" s="29" t="s">
        <v>110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E53" s="10"/>
      <c r="F53" s="10"/>
      <c r="G53" s="10"/>
      <c r="H53" s="10"/>
      <c r="I53" s="10"/>
      <c r="J53" s="10"/>
      <c r="K53" s="10"/>
      <c r="L53" s="14" t="s">
        <v>57</v>
      </c>
      <c r="M53" s="9" t="str">
        <f>IF(OR(L45="",L61=""),"",+IF(L45&gt;L61,K45,K61))</f>
        <v/>
      </c>
      <c r="N53" s="16"/>
      <c r="O53" s="14"/>
      <c r="T53">
        <v>49</v>
      </c>
      <c r="U53" s="28" t="s">
        <v>111</v>
      </c>
      <c r="V53" t="s">
        <v>77</v>
      </c>
      <c r="W53" s="29" t="s">
        <v>112</v>
      </c>
      <c r="Z53" s="34"/>
      <c r="AA53" s="40"/>
      <c r="AB53" s="40"/>
      <c r="AC53" s="38" t="s">
        <v>159</v>
      </c>
      <c r="AD53" s="48"/>
      <c r="AE53" s="53" t="e">
        <f>LOOKUP(AD53,T$5:T$78,U$5:U$72)</f>
        <v>#N/A</v>
      </c>
      <c r="AF53" s="37" t="s">
        <v>157</v>
      </c>
      <c r="AG53" s="65" t="e">
        <f>LOOKUP(AD53,T$5:T$78,W$5:W$72)</f>
        <v>#N/A</v>
      </c>
    </row>
    <row r="54" spans="4:33" ht="13" thickBot="1">
      <c r="D54">
        <v>24</v>
      </c>
      <c r="E54" s="10"/>
      <c r="F54" s="11"/>
      <c r="G54" s="10"/>
      <c r="H54" s="10"/>
      <c r="I54" s="10"/>
      <c r="J54" s="10"/>
      <c r="K54" s="10"/>
      <c r="L54" s="14"/>
      <c r="M54" s="10"/>
      <c r="N54" s="10"/>
      <c r="O54" s="14"/>
      <c r="T54">
        <v>50</v>
      </c>
      <c r="U54" s="28" t="s">
        <v>113</v>
      </c>
      <c r="V54" t="s">
        <v>77</v>
      </c>
      <c r="W54" s="29" t="s">
        <v>114</v>
      </c>
      <c r="Z54" s="34"/>
      <c r="AA54" s="40"/>
      <c r="AB54" s="40"/>
      <c r="AC54" s="38" t="s">
        <v>159</v>
      </c>
      <c r="AD54" s="48"/>
      <c r="AE54" s="53" t="e">
        <f>LOOKUP(AD54,T$5:T$78,U$5:U$72)</f>
        <v>#N/A</v>
      </c>
      <c r="AF54" s="37" t="s">
        <v>157</v>
      </c>
      <c r="AG54" s="65" t="e">
        <f>LOOKUP(AD54,T$5:T$78,W$5:W$72)</f>
        <v>#N/A</v>
      </c>
    </row>
    <row r="55" spans="4:33" ht="13" thickBot="1">
      <c r="E55" s="12"/>
      <c r="F55" s="13" t="s">
        <v>12</v>
      </c>
      <c r="G55" s="9" t="str">
        <f>IF(OR(F54="",F56=""),"",+IF(F54&gt;F56,E54,E56))</f>
        <v/>
      </c>
      <c r="H55" s="17"/>
      <c r="I55" s="10"/>
      <c r="J55" s="10"/>
      <c r="K55" s="10"/>
      <c r="L55" s="14"/>
      <c r="M55" s="10"/>
      <c r="N55" s="10"/>
      <c r="O55" s="14"/>
      <c r="T55">
        <v>51</v>
      </c>
      <c r="U55" s="28" t="s">
        <v>115</v>
      </c>
      <c r="V55" t="s">
        <v>77</v>
      </c>
      <c r="W55" s="29" t="s">
        <v>116</v>
      </c>
      <c r="Z55" s="34"/>
      <c r="AA55" s="40"/>
      <c r="AB55" s="40"/>
      <c r="AC55" s="38" t="s">
        <v>159</v>
      </c>
      <c r="AD55" s="48"/>
      <c r="AE55" s="53" t="e">
        <f>LOOKUP(AD55,T$5:T$78,U$5:U$72)</f>
        <v>#N/A</v>
      </c>
      <c r="AF55" s="37" t="s">
        <v>157</v>
      </c>
      <c r="AG55" s="65" t="e">
        <f>LOOKUP(AD55,T$5:T$78,W$5:W$72)</f>
        <v>#N/A</v>
      </c>
    </row>
    <row r="56" spans="4:33" ht="13" thickBot="1">
      <c r="D56">
        <v>25</v>
      </c>
      <c r="E56" s="10"/>
      <c r="F56" s="16"/>
      <c r="G56" s="10"/>
      <c r="H56" s="14"/>
      <c r="I56" s="10"/>
      <c r="J56" s="10"/>
      <c r="K56" s="10"/>
      <c r="L56" s="14"/>
      <c r="M56" s="10"/>
      <c r="N56" s="10"/>
      <c r="O56" s="14"/>
      <c r="T56">
        <v>52</v>
      </c>
      <c r="U56" s="28" t="s">
        <v>117</v>
      </c>
      <c r="V56" t="s">
        <v>77</v>
      </c>
      <c r="W56" s="29" t="s">
        <v>118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E57" s="12"/>
      <c r="F57" s="10"/>
      <c r="G57" s="10"/>
      <c r="H57" s="14" t="s">
        <v>38</v>
      </c>
      <c r="I57" s="9" t="str">
        <f>IF(OR(H55="",H59=""),"",+IF(H55&gt;H59,G55,G59))</f>
        <v/>
      </c>
      <c r="J57" s="17"/>
      <c r="K57" s="10"/>
      <c r="L57" s="14"/>
      <c r="M57" s="10"/>
      <c r="N57" s="10"/>
      <c r="O57" s="14"/>
      <c r="T57">
        <v>53</v>
      </c>
      <c r="U57" s="28" t="s">
        <v>119</v>
      </c>
      <c r="V57" t="s">
        <v>77</v>
      </c>
      <c r="W57" s="29" t="s">
        <v>120</v>
      </c>
    </row>
    <row r="58" spans="4:33" ht="13" thickBot="1">
      <c r="D58">
        <v>26</v>
      </c>
      <c r="E58" s="10"/>
      <c r="F58" s="11"/>
      <c r="G58" s="10"/>
      <c r="H58" s="14"/>
      <c r="I58" s="10"/>
      <c r="J58" s="13"/>
      <c r="K58" s="10"/>
      <c r="L58" s="14"/>
      <c r="M58" s="10"/>
      <c r="N58" s="10"/>
      <c r="O58" s="14"/>
      <c r="T58">
        <v>54</v>
      </c>
      <c r="U58" s="28" t="s">
        <v>121</v>
      </c>
      <c r="V58" t="s">
        <v>77</v>
      </c>
      <c r="W58" s="29" t="s">
        <v>122</v>
      </c>
    </row>
    <row r="59" spans="4:33" ht="13" thickBot="1">
      <c r="E59" s="12"/>
      <c r="F59" s="13" t="s">
        <v>13</v>
      </c>
      <c r="G59" s="9" t="str">
        <f>IF(OR(F58="",F60=""),"",+IF(F58&gt;F60,E58,E60))</f>
        <v/>
      </c>
      <c r="H59" s="16"/>
      <c r="I59" s="10"/>
      <c r="J59" s="14"/>
      <c r="K59" s="10"/>
      <c r="L59" s="14"/>
      <c r="M59" s="10"/>
      <c r="N59" s="10"/>
      <c r="O59" s="14"/>
      <c r="T59">
        <v>55</v>
      </c>
      <c r="U59" s="28" t="s">
        <v>123</v>
      </c>
      <c r="V59" t="s">
        <v>77</v>
      </c>
      <c r="W59" s="29" t="s">
        <v>124</v>
      </c>
    </row>
    <row r="60" spans="4:33" ht="13" thickBot="1">
      <c r="D60">
        <v>27</v>
      </c>
      <c r="E60" s="10"/>
      <c r="F60" s="16"/>
      <c r="G60" s="10"/>
      <c r="H60" s="10"/>
      <c r="I60" s="10"/>
      <c r="J60" s="14"/>
      <c r="K60" s="10"/>
      <c r="L60" s="14"/>
      <c r="M60" s="10"/>
      <c r="N60" s="10"/>
      <c r="O60" s="14"/>
      <c r="T60">
        <v>56</v>
      </c>
      <c r="U60" s="28" t="s">
        <v>125</v>
      </c>
      <c r="V60" t="s">
        <v>77</v>
      </c>
      <c r="W60" s="29" t="s">
        <v>126</v>
      </c>
    </row>
    <row r="61" spans="4:33" ht="13" thickBot="1">
      <c r="E61" s="12"/>
      <c r="F61" s="10"/>
      <c r="G61" s="10"/>
      <c r="H61" s="10"/>
      <c r="I61" s="10"/>
      <c r="J61" s="14" t="s">
        <v>51</v>
      </c>
      <c r="K61" s="9" t="str">
        <f>IF(OR(J57="",J65=""),"",+IF(J57&gt;J65,I57,I65))</f>
        <v/>
      </c>
      <c r="L61" s="16"/>
      <c r="M61" s="10"/>
      <c r="N61" s="10"/>
      <c r="O61" s="14"/>
      <c r="T61">
        <v>57</v>
      </c>
      <c r="U61" s="28" t="s">
        <v>127</v>
      </c>
      <c r="V61" t="s">
        <v>77</v>
      </c>
      <c r="W61" s="29" t="s">
        <v>130</v>
      </c>
    </row>
    <row r="62" spans="4:33" ht="13" thickBot="1">
      <c r="D62">
        <v>28</v>
      </c>
      <c r="E62" s="10"/>
      <c r="F62" s="11"/>
      <c r="G62" s="10"/>
      <c r="H62" s="10"/>
      <c r="I62" s="10"/>
      <c r="J62" s="14"/>
      <c r="K62" s="10"/>
      <c r="L62" s="10"/>
      <c r="M62" s="10"/>
      <c r="N62" s="10"/>
      <c r="O62" s="14"/>
      <c r="T62">
        <v>58</v>
      </c>
      <c r="U62" s="28" t="s">
        <v>128</v>
      </c>
      <c r="V62" t="s">
        <v>77</v>
      </c>
      <c r="W62" s="29" t="s">
        <v>129</v>
      </c>
    </row>
    <row r="63" spans="4:33" ht="13" thickBot="1">
      <c r="E63" s="12"/>
      <c r="F63" s="13" t="s">
        <v>14</v>
      </c>
      <c r="G63" s="9" t="str">
        <f>IF(OR(F62="",F64=""),"",+IF(F62&gt;F64,E62,E64))</f>
        <v/>
      </c>
      <c r="H63" s="17"/>
      <c r="I63" s="10"/>
      <c r="J63" s="14"/>
      <c r="K63" s="10"/>
      <c r="L63" s="10"/>
      <c r="M63" s="10"/>
      <c r="N63" s="10"/>
      <c r="O63" s="14"/>
      <c r="T63">
        <v>59</v>
      </c>
      <c r="U63" s="28" t="s">
        <v>131</v>
      </c>
      <c r="V63" t="s">
        <v>77</v>
      </c>
      <c r="W63" s="29" t="s">
        <v>132</v>
      </c>
    </row>
    <row r="64" spans="4:33" ht="13" thickBot="1">
      <c r="D64">
        <v>29</v>
      </c>
      <c r="E64" s="10"/>
      <c r="F64" s="16"/>
      <c r="G64" s="10"/>
      <c r="H64" s="14"/>
      <c r="I64" s="10"/>
      <c r="J64" s="14"/>
      <c r="K64" s="10"/>
      <c r="L64" s="10"/>
      <c r="M64" s="10"/>
      <c r="N64" s="10"/>
      <c r="O64" s="14"/>
      <c r="T64">
        <v>60</v>
      </c>
      <c r="U64" s="28" t="s">
        <v>133</v>
      </c>
      <c r="V64" t="s">
        <v>77</v>
      </c>
      <c r="W64" s="29" t="s">
        <v>134</v>
      </c>
    </row>
    <row r="65" spans="4:23" ht="13" thickBot="1">
      <c r="E65" s="12"/>
      <c r="F65" s="10"/>
      <c r="G65" s="10"/>
      <c r="H65" s="14" t="s">
        <v>39</v>
      </c>
      <c r="I65" s="9" t="str">
        <f>IF(OR(H63="",H67=""),"",+IF(H63&gt;H67,G63,G67))</f>
        <v/>
      </c>
      <c r="J65" s="16"/>
      <c r="K65" s="10"/>
      <c r="L65" s="10"/>
      <c r="M65" s="10"/>
      <c r="N65" s="10"/>
      <c r="O65" s="14"/>
      <c r="T65">
        <v>61</v>
      </c>
      <c r="U65" s="28" t="s">
        <v>135</v>
      </c>
      <c r="V65" t="s">
        <v>77</v>
      </c>
      <c r="W65" s="29" t="s">
        <v>136</v>
      </c>
    </row>
    <row r="66" spans="4:23" ht="13" thickBot="1">
      <c r="D66">
        <v>30</v>
      </c>
      <c r="E66" s="22"/>
      <c r="F66" s="11"/>
      <c r="G66" s="10"/>
      <c r="H66" s="14"/>
      <c r="I66" s="10"/>
      <c r="J66" s="10"/>
      <c r="K66" s="10"/>
      <c r="L66" s="10"/>
      <c r="M66" s="10"/>
      <c r="N66" s="10"/>
      <c r="O66" s="14"/>
      <c r="T66">
        <v>62</v>
      </c>
      <c r="U66" s="28" t="s">
        <v>137</v>
      </c>
      <c r="V66" t="s">
        <v>77</v>
      </c>
      <c r="W66" s="29" t="s">
        <v>138</v>
      </c>
    </row>
    <row r="67" spans="4:23" ht="13" thickBot="1">
      <c r="E67" s="12"/>
      <c r="F67" s="13" t="s">
        <v>15</v>
      </c>
      <c r="G67" s="9" t="str">
        <f>IF(OR(F66="",F68=""),"",+IF(F66&gt;F68,E66,E68))</f>
        <v/>
      </c>
      <c r="H67" s="16"/>
      <c r="I67" s="10"/>
      <c r="J67" s="10"/>
      <c r="K67" s="10"/>
      <c r="L67" s="10"/>
      <c r="M67" s="10"/>
      <c r="N67" s="10"/>
      <c r="O67" s="14"/>
    </row>
    <row r="68" spans="4:23" ht="13" thickBot="1">
      <c r="D68">
        <v>31</v>
      </c>
      <c r="E68" s="9"/>
      <c r="F68" s="16"/>
      <c r="G68" s="10"/>
      <c r="H68" s="10"/>
      <c r="I68" s="10"/>
      <c r="J68" s="10"/>
      <c r="K68" s="10"/>
      <c r="L68" s="10"/>
      <c r="M68" s="10"/>
      <c r="N68" s="10"/>
      <c r="O68" s="14"/>
      <c r="W68" s="28"/>
    </row>
    <row r="69" spans="4:23">
      <c r="O69" s="6"/>
    </row>
    <row r="70" spans="4:23">
      <c r="O70" s="6"/>
    </row>
    <row r="71" spans="4:23" ht="13" thickBot="1">
      <c r="D71">
        <v>32</v>
      </c>
      <c r="E71" s="10"/>
      <c r="F71" s="11"/>
      <c r="G71" s="10"/>
      <c r="H71" s="10"/>
      <c r="I71" s="10"/>
      <c r="J71" s="10"/>
      <c r="K71" s="10"/>
      <c r="L71" s="10"/>
      <c r="M71" s="10"/>
      <c r="N71" s="10"/>
      <c r="O71" s="14"/>
    </row>
    <row r="72" spans="4:23" ht="13" thickBot="1">
      <c r="E72" s="12"/>
      <c r="F72" s="13" t="s">
        <v>16</v>
      </c>
      <c r="G72" s="9" t="str">
        <f>IF(OR(F71="",F73=""),"",+IF(F71&gt;F73,E71,E73))</f>
        <v/>
      </c>
      <c r="H72" s="17"/>
      <c r="I72" s="10"/>
      <c r="J72" s="10"/>
      <c r="K72" s="10"/>
      <c r="L72" s="10"/>
      <c r="M72" s="10"/>
      <c r="N72" s="10"/>
      <c r="O72" s="68" t="s">
        <v>62</v>
      </c>
      <c r="P72" s="27"/>
      <c r="Q72" s="7"/>
    </row>
    <row r="73" spans="4:23" ht="13" thickBot="1">
      <c r="D73">
        <v>33</v>
      </c>
      <c r="E73" s="10"/>
      <c r="F73" s="16"/>
      <c r="G73" s="10"/>
      <c r="H73" s="14"/>
      <c r="I73" s="10"/>
      <c r="J73" s="10"/>
      <c r="K73" s="10"/>
      <c r="L73" s="10"/>
      <c r="M73" s="10"/>
      <c r="N73" s="10"/>
      <c r="O73" s="14"/>
    </row>
    <row r="74" spans="4:23" ht="13" thickBot="1">
      <c r="E74" s="12"/>
      <c r="F74" s="10"/>
      <c r="G74" s="10"/>
      <c r="H74" s="14" t="s">
        <v>40</v>
      </c>
      <c r="I74" s="9" t="str">
        <f>IF(OR(H72="",H76=""),"",+IF(H72&gt;H76,G72,G76))</f>
        <v/>
      </c>
      <c r="J74" s="17"/>
      <c r="K74" s="10"/>
      <c r="L74" s="10"/>
      <c r="M74" s="10"/>
      <c r="N74" s="10"/>
      <c r="O74" s="14"/>
    </row>
    <row r="75" spans="4:23" ht="13" thickBot="1">
      <c r="D75">
        <v>34</v>
      </c>
      <c r="E75" s="10"/>
      <c r="F75" s="11"/>
      <c r="G75" s="10"/>
      <c r="H75" s="14"/>
      <c r="I75" s="10"/>
      <c r="J75" s="13"/>
      <c r="K75" s="10"/>
      <c r="L75" s="10"/>
      <c r="M75" s="10"/>
      <c r="N75" s="10"/>
      <c r="O75" s="14"/>
    </row>
    <row r="76" spans="4:23" ht="13" thickBot="1">
      <c r="E76" s="12"/>
      <c r="F76" s="13" t="s">
        <v>17</v>
      </c>
      <c r="G76" s="9" t="str">
        <f>IF(OR(F75="",F77=""),"",+IF(F75&gt;F77,E75,E77))</f>
        <v/>
      </c>
      <c r="H76" s="16"/>
      <c r="I76" s="10"/>
      <c r="J76" s="14"/>
      <c r="K76" s="10"/>
      <c r="L76" s="10"/>
      <c r="M76" s="10"/>
      <c r="N76" s="10"/>
      <c r="O76" s="14"/>
    </row>
    <row r="77" spans="4:23" ht="13" thickBot="1">
      <c r="D77">
        <v>35</v>
      </c>
      <c r="E77" s="10"/>
      <c r="F77" s="16"/>
      <c r="G77" s="10"/>
      <c r="H77" s="10"/>
      <c r="I77" s="10"/>
      <c r="J77" s="14"/>
      <c r="K77" s="10"/>
      <c r="L77" s="10"/>
      <c r="M77" s="10"/>
      <c r="N77" s="10"/>
      <c r="O77" s="14"/>
    </row>
    <row r="78" spans="4:23" ht="13" thickBot="1">
      <c r="E78" s="12"/>
      <c r="F78" s="10"/>
      <c r="G78" s="10"/>
      <c r="H78" s="10"/>
      <c r="I78" s="10"/>
      <c r="J78" s="14" t="s">
        <v>52</v>
      </c>
      <c r="K78" s="9" t="str">
        <f>IF(OR(J74="",J82=""),"",+IF(J74&gt;J82,I74,I82))</f>
        <v/>
      </c>
      <c r="L78" s="17"/>
      <c r="M78" s="10"/>
      <c r="N78" s="10"/>
      <c r="O78" s="14"/>
    </row>
    <row r="79" spans="4:23" ht="13" thickBot="1">
      <c r="D79">
        <v>36</v>
      </c>
      <c r="E79" s="10"/>
      <c r="F79" s="11"/>
      <c r="G79" s="10"/>
      <c r="H79" s="10"/>
      <c r="I79" s="10"/>
      <c r="J79" s="14"/>
      <c r="K79" s="10"/>
      <c r="L79" s="13"/>
      <c r="M79" s="10"/>
      <c r="N79" s="10"/>
      <c r="O79" s="14"/>
    </row>
    <row r="80" spans="4:23" ht="13" thickBot="1">
      <c r="E80" s="12"/>
      <c r="F80" s="13" t="s">
        <v>18</v>
      </c>
      <c r="G80" s="9" t="str">
        <f>IF(OR(F79="",F81=""),"",+IF(F79&gt;F81,E79,E81))</f>
        <v/>
      </c>
      <c r="H80" s="17"/>
      <c r="I80" s="10"/>
      <c r="J80" s="14"/>
      <c r="K80" s="10"/>
      <c r="L80" s="14"/>
      <c r="M80" s="10"/>
      <c r="N80" s="10"/>
      <c r="O80" s="14"/>
    </row>
    <row r="81" spans="4:15" ht="13" thickBot="1">
      <c r="D81">
        <v>37</v>
      </c>
      <c r="E81" s="10"/>
      <c r="F81" s="16"/>
      <c r="G81" s="10"/>
      <c r="H81" s="14"/>
      <c r="I81" s="10"/>
      <c r="J81" s="14"/>
      <c r="K81" s="10"/>
      <c r="L81" s="14"/>
      <c r="M81" s="10"/>
      <c r="N81" s="10"/>
      <c r="O81" s="14"/>
    </row>
    <row r="82" spans="4:15" ht="13" thickBot="1">
      <c r="E82" s="12"/>
      <c r="F82" s="10"/>
      <c r="G82" s="10"/>
      <c r="H82" s="14" t="s">
        <v>41</v>
      </c>
      <c r="I82" s="9" t="str">
        <f>IF(OR(H80="",H84=""),"",+IF(H80&gt;H84,G80,G84))</f>
        <v/>
      </c>
      <c r="J82" s="16"/>
      <c r="K82" s="10"/>
      <c r="L82" s="14"/>
      <c r="M82" s="10"/>
      <c r="N82" s="10"/>
      <c r="O82" s="14"/>
    </row>
    <row r="83" spans="4:15" ht="13" thickBot="1">
      <c r="D83">
        <v>38</v>
      </c>
      <c r="E83" s="10"/>
      <c r="F83" s="11"/>
      <c r="G83" s="10"/>
      <c r="H83" s="14"/>
      <c r="I83" s="10"/>
      <c r="J83" s="10"/>
      <c r="K83" s="10"/>
      <c r="L83" s="14"/>
      <c r="M83" s="10"/>
      <c r="N83" s="10"/>
      <c r="O83" s="14"/>
    </row>
    <row r="84" spans="4:15" ht="13" thickBot="1">
      <c r="E84" s="12"/>
      <c r="F84" s="13" t="s">
        <v>19</v>
      </c>
      <c r="G84" s="9" t="str">
        <f>IF(OR(F83="",F85=""),"",+IF(F83&gt;F85,E83,E85))</f>
        <v/>
      </c>
      <c r="H84" s="16"/>
      <c r="I84" s="10"/>
      <c r="J84" s="10"/>
      <c r="K84" s="10"/>
      <c r="L84" s="14"/>
      <c r="M84" s="10"/>
      <c r="N84" s="10"/>
      <c r="O84" s="14"/>
    </row>
    <row r="85" spans="4:15" ht="13" thickBot="1">
      <c r="D85">
        <v>39</v>
      </c>
      <c r="E85" s="9"/>
      <c r="F85" s="16"/>
      <c r="G85" s="10"/>
      <c r="H85" s="10"/>
      <c r="I85" s="10"/>
      <c r="J85" s="10"/>
      <c r="K85" s="10"/>
      <c r="L85" s="14"/>
      <c r="M85" s="10"/>
      <c r="N85" s="10"/>
      <c r="O85" s="14"/>
    </row>
    <row r="86" spans="4:15" ht="13" thickBot="1">
      <c r="E86" s="10"/>
      <c r="F86" s="10"/>
      <c r="G86" s="10"/>
      <c r="H86" s="10"/>
      <c r="I86" s="10"/>
      <c r="J86" s="10"/>
      <c r="K86" s="10"/>
      <c r="L86" s="14" t="s">
        <v>58</v>
      </c>
      <c r="M86" s="9" t="str">
        <f>IF(OR(L78="",L94=""),"",+IF(L78&gt;L94,K78,K94))</f>
        <v/>
      </c>
      <c r="N86" s="17"/>
      <c r="O86" s="14"/>
    </row>
    <row r="87" spans="4:15" ht="13" thickBot="1">
      <c r="D87">
        <v>40</v>
      </c>
      <c r="E87" s="10"/>
      <c r="F87" s="11"/>
      <c r="G87" s="10"/>
      <c r="H87" s="10"/>
      <c r="I87" s="10"/>
      <c r="J87" s="10"/>
      <c r="K87" s="10"/>
      <c r="L87" s="14"/>
      <c r="M87" s="10"/>
      <c r="N87" s="14"/>
      <c r="O87" s="14"/>
    </row>
    <row r="88" spans="4:15" ht="13" thickBot="1">
      <c r="E88" s="12"/>
      <c r="F88" s="13" t="s">
        <v>20</v>
      </c>
      <c r="G88" s="9" t="str">
        <f>IF(OR(F87="",F89=""),"",+IF(F87&gt;F89,E87,E89))</f>
        <v/>
      </c>
      <c r="H88" s="17"/>
      <c r="I88" s="10"/>
      <c r="J88" s="10"/>
      <c r="K88" s="10"/>
      <c r="L88" s="14"/>
      <c r="M88" s="10"/>
      <c r="N88" s="14"/>
      <c r="O88" s="14"/>
    </row>
    <row r="89" spans="4:15" ht="13" thickBot="1">
      <c r="D89">
        <v>41</v>
      </c>
      <c r="E89" s="10"/>
      <c r="F89" s="16"/>
      <c r="G89" s="10"/>
      <c r="H89" s="14"/>
      <c r="I89" s="10"/>
      <c r="J89" s="10"/>
      <c r="K89" s="10"/>
      <c r="L89" s="14"/>
      <c r="M89" s="10"/>
      <c r="N89" s="14"/>
      <c r="O89" s="14"/>
    </row>
    <row r="90" spans="4:15" ht="13" thickBot="1">
      <c r="E90" s="12"/>
      <c r="F90" s="10"/>
      <c r="G90" s="10"/>
      <c r="H90" s="14" t="s">
        <v>42</v>
      </c>
      <c r="I90" s="9" t="str">
        <f>IF(OR(H88="",H92=""),"",+IF(H88&gt;H92,G88,G92))</f>
        <v/>
      </c>
      <c r="J90" s="17"/>
      <c r="K90" s="10"/>
      <c r="L90" s="14"/>
      <c r="M90" s="10"/>
      <c r="N90" s="14"/>
      <c r="O90" s="14"/>
    </row>
    <row r="91" spans="4:15" ht="13" thickBot="1">
      <c r="D91">
        <v>42</v>
      </c>
      <c r="E91" s="10"/>
      <c r="F91" s="11"/>
      <c r="G91" s="10"/>
      <c r="H91" s="14"/>
      <c r="I91" s="10"/>
      <c r="J91" s="13"/>
      <c r="K91" s="10"/>
      <c r="L91" s="14"/>
      <c r="M91" s="10"/>
      <c r="N91" s="14"/>
      <c r="O91" s="14"/>
    </row>
    <row r="92" spans="4:15" ht="13" thickBot="1">
      <c r="E92" s="12"/>
      <c r="F92" s="13" t="s">
        <v>21</v>
      </c>
      <c r="G92" s="9" t="str">
        <f>IF(OR(F91="",F93=""),"",+IF(F91&gt;F93,E91,E93))</f>
        <v/>
      </c>
      <c r="H92" s="16"/>
      <c r="I92" s="10"/>
      <c r="J92" s="14"/>
      <c r="K92" s="10"/>
      <c r="L92" s="14"/>
      <c r="M92" s="10"/>
      <c r="N92" s="14"/>
      <c r="O92" s="14"/>
    </row>
    <row r="93" spans="4:15" ht="13" thickBot="1">
      <c r="D93">
        <v>43</v>
      </c>
      <c r="E93" s="10"/>
      <c r="F93" s="16"/>
      <c r="G93" s="10"/>
      <c r="H93" s="10"/>
      <c r="I93" s="10"/>
      <c r="J93" s="14"/>
      <c r="K93" s="10"/>
      <c r="L93" s="14"/>
      <c r="M93" s="10"/>
      <c r="N93" s="14"/>
      <c r="O93" s="14"/>
    </row>
    <row r="94" spans="4:15" ht="13" thickBot="1">
      <c r="E94" s="12"/>
      <c r="F94" s="10"/>
      <c r="G94" s="10"/>
      <c r="H94" s="10"/>
      <c r="I94" s="10"/>
      <c r="J94" s="14" t="s">
        <v>53</v>
      </c>
      <c r="K94" s="9" t="str">
        <f>IF(OR(J90="",J98=""),"",+IF(J90&gt;J98,I90,I98))</f>
        <v/>
      </c>
      <c r="L94" s="16"/>
      <c r="M94" s="10"/>
      <c r="N94" s="14"/>
      <c r="O94" s="14"/>
    </row>
    <row r="95" spans="4:15" ht="13" thickBot="1">
      <c r="D95">
        <v>44</v>
      </c>
      <c r="E95" s="10"/>
      <c r="F95" s="11"/>
      <c r="G95" s="10"/>
      <c r="H95" s="10"/>
      <c r="I95" s="10"/>
      <c r="J95" s="14"/>
      <c r="K95" s="10"/>
      <c r="L95" s="10"/>
      <c r="M95" s="10"/>
      <c r="N95" s="14"/>
      <c r="O95" s="14"/>
    </row>
    <row r="96" spans="4:15" ht="13" thickBot="1">
      <c r="E96" s="12"/>
      <c r="F96" s="13" t="s">
        <v>22</v>
      </c>
      <c r="G96" s="9" t="str">
        <f>IF(OR(F95="",F97=""),"",+IF(F95&gt;F97,E95,E97))</f>
        <v/>
      </c>
      <c r="H96" s="17"/>
      <c r="I96" s="10"/>
      <c r="J96" s="14"/>
      <c r="K96" s="10"/>
      <c r="L96" s="10"/>
      <c r="M96" s="10"/>
      <c r="N96" s="14"/>
      <c r="O96" s="14"/>
    </row>
    <row r="97" spans="4:15" ht="13" thickBot="1">
      <c r="D97">
        <v>45</v>
      </c>
      <c r="E97" s="10"/>
      <c r="F97" s="16"/>
      <c r="G97" s="10"/>
      <c r="H97" s="14"/>
      <c r="I97" s="10"/>
      <c r="J97" s="14"/>
      <c r="K97" s="10"/>
      <c r="L97" s="10"/>
      <c r="M97" s="10"/>
      <c r="N97" s="14"/>
      <c r="O97" s="14"/>
    </row>
    <row r="98" spans="4:15" ht="13" thickBot="1">
      <c r="E98" s="12"/>
      <c r="F98" s="10"/>
      <c r="G98" s="10"/>
      <c r="H98" s="14" t="s">
        <v>43</v>
      </c>
      <c r="I98" s="9" t="str">
        <f>IF(OR(H96="",H100=""),"",+IF(H96&gt;H100,G96,G100))</f>
        <v/>
      </c>
      <c r="J98" s="16"/>
      <c r="K98" s="10"/>
      <c r="L98" s="10"/>
      <c r="M98" s="10"/>
      <c r="N98" s="14"/>
      <c r="O98" s="14"/>
    </row>
    <row r="99" spans="4:15" ht="13" thickBot="1">
      <c r="D99">
        <v>46</v>
      </c>
      <c r="E99" s="10"/>
      <c r="F99" s="11"/>
      <c r="G99" s="10"/>
      <c r="H99" s="14"/>
      <c r="I99" s="10"/>
      <c r="J99" s="10"/>
      <c r="K99" s="10"/>
      <c r="L99" s="10"/>
      <c r="M99" s="10"/>
      <c r="N99" s="14"/>
      <c r="O99" s="14"/>
    </row>
    <row r="100" spans="4:15" ht="13" thickBot="1">
      <c r="E100" s="12"/>
      <c r="F100" s="13" t="s">
        <v>23</v>
      </c>
      <c r="G100" s="9" t="str">
        <f>IF(OR(F99="",F101=""),"",+IF(F99&gt;F101,E99,E101))</f>
        <v/>
      </c>
      <c r="H100" s="16"/>
      <c r="I100" s="10"/>
      <c r="J100" s="10"/>
      <c r="K100" s="10"/>
      <c r="L100" s="10"/>
      <c r="M100" s="10"/>
      <c r="N100" s="14"/>
      <c r="O100" s="14"/>
    </row>
    <row r="101" spans="4:15" ht="13" thickBot="1">
      <c r="D101">
        <v>47</v>
      </c>
      <c r="E101" s="9"/>
      <c r="F101" s="16"/>
      <c r="G101" s="10"/>
      <c r="H101" s="10"/>
      <c r="I101" s="10"/>
      <c r="J101" s="10"/>
      <c r="K101" s="10"/>
      <c r="L101" s="10"/>
      <c r="M101" s="10"/>
      <c r="N101" s="14"/>
      <c r="O101" s="14"/>
    </row>
    <row r="102" spans="4:15" ht="13" thickBot="1">
      <c r="E102" s="10"/>
      <c r="F102" s="10"/>
      <c r="G102" s="10"/>
      <c r="H102" s="10"/>
      <c r="I102" s="10"/>
      <c r="J102" s="10"/>
      <c r="K102" s="10"/>
      <c r="L102" s="10"/>
      <c r="M102" s="10"/>
      <c r="N102" s="14" t="s">
        <v>61</v>
      </c>
      <c r="O102" s="67" t="str">
        <f>IF(OR(N86="",N118=""),"",+IF(N86&gt;N118,M86,M118))</f>
        <v/>
      </c>
    </row>
    <row r="103" spans="4:15" ht="13" thickBot="1">
      <c r="D103">
        <v>48</v>
      </c>
      <c r="E103" s="10"/>
      <c r="F103" s="11"/>
      <c r="G103" s="10"/>
      <c r="H103" s="10"/>
      <c r="I103" s="10"/>
      <c r="J103" s="10"/>
      <c r="K103" s="10"/>
      <c r="L103" s="10"/>
      <c r="M103" s="10"/>
      <c r="N103" s="14"/>
      <c r="O103" s="10"/>
    </row>
    <row r="104" spans="4:15" ht="13" thickBot="1">
      <c r="E104" s="12"/>
      <c r="F104" s="13" t="s">
        <v>24</v>
      </c>
      <c r="G104" s="9" t="str">
        <f>IF(OR(F103="",F105=""),"",+IF(F103&gt;F105,E103,E105))</f>
        <v/>
      </c>
      <c r="H104" s="17"/>
      <c r="I104" s="10"/>
      <c r="J104" s="10"/>
      <c r="K104" s="10"/>
      <c r="L104" s="10"/>
      <c r="M104" s="10"/>
      <c r="N104" s="14"/>
      <c r="O104" s="10"/>
    </row>
    <row r="105" spans="4:15" ht="13" thickBot="1">
      <c r="D105">
        <v>49</v>
      </c>
      <c r="E105" s="10"/>
      <c r="F105" s="16"/>
      <c r="G105" s="10"/>
      <c r="H105" s="14"/>
      <c r="I105" s="10"/>
      <c r="J105" s="10"/>
      <c r="K105" s="10"/>
      <c r="L105" s="10"/>
      <c r="M105" s="10"/>
      <c r="N105" s="14"/>
      <c r="O105" s="10"/>
    </row>
    <row r="106" spans="4:15" ht="13" thickBot="1">
      <c r="E106" s="12"/>
      <c r="F106" s="10"/>
      <c r="G106" s="10"/>
      <c r="H106" s="14" t="s">
        <v>44</v>
      </c>
      <c r="I106" s="9" t="str">
        <f>IF(OR(H104="",H108=""),"",+IF(H104&gt;H108,G104,G108))</f>
        <v/>
      </c>
      <c r="J106" s="17"/>
      <c r="K106" s="10"/>
      <c r="L106" s="10"/>
      <c r="M106" s="10"/>
      <c r="N106" s="14"/>
      <c r="O106" s="10"/>
    </row>
    <row r="107" spans="4:15" ht="13" thickBot="1">
      <c r="D107">
        <v>50</v>
      </c>
      <c r="E107" s="10"/>
      <c r="F107" s="11"/>
      <c r="G107" s="10"/>
      <c r="H107" s="14"/>
      <c r="I107" s="10"/>
      <c r="J107" s="13"/>
      <c r="K107" s="10"/>
      <c r="L107" s="10"/>
      <c r="M107" s="10"/>
      <c r="N107" s="14"/>
      <c r="O107" s="10"/>
    </row>
    <row r="108" spans="4:15" ht="13" thickBot="1">
      <c r="E108" s="12"/>
      <c r="F108" s="13" t="s">
        <v>25</v>
      </c>
      <c r="G108" s="9" t="str">
        <f>IF(OR(F107="",F109=""),"",+IF(F107&gt;F109,E107,E109))</f>
        <v/>
      </c>
      <c r="H108" s="16"/>
      <c r="I108" s="10"/>
      <c r="J108" s="14"/>
      <c r="K108" s="10"/>
      <c r="L108" s="10"/>
      <c r="M108" s="10"/>
      <c r="N108" s="14"/>
      <c r="O108" s="10"/>
    </row>
    <row r="109" spans="4:15" ht="13" thickBot="1">
      <c r="D109">
        <v>51</v>
      </c>
      <c r="E109" s="10"/>
      <c r="F109" s="16"/>
      <c r="G109" s="10"/>
      <c r="H109" s="10"/>
      <c r="I109" s="10"/>
      <c r="J109" s="14"/>
      <c r="K109" s="10"/>
      <c r="L109" s="10"/>
      <c r="M109" s="10"/>
      <c r="N109" s="14"/>
      <c r="O109" s="10"/>
    </row>
    <row r="110" spans="4:15" ht="13" thickBot="1">
      <c r="E110" s="12"/>
      <c r="F110" s="10"/>
      <c r="G110" s="10"/>
      <c r="H110" s="10"/>
      <c r="I110" s="10"/>
      <c r="J110" s="14" t="s">
        <v>54</v>
      </c>
      <c r="K110" s="9" t="str">
        <f>IF(OR(J106="",J114=""),"",+IF(J106&gt;J114,I106,I114))</f>
        <v/>
      </c>
      <c r="L110" s="17"/>
      <c r="M110" s="10"/>
      <c r="N110" s="14"/>
      <c r="O110" s="10"/>
    </row>
    <row r="111" spans="4:15" ht="13" thickBot="1">
      <c r="D111">
        <v>52</v>
      </c>
      <c r="E111" s="10"/>
      <c r="F111" s="11"/>
      <c r="G111" s="10"/>
      <c r="H111" s="10"/>
      <c r="I111" s="10"/>
      <c r="J111" s="14"/>
      <c r="K111" s="10"/>
      <c r="L111" s="13"/>
      <c r="M111" s="10"/>
      <c r="N111" s="14"/>
      <c r="O111" s="10"/>
    </row>
    <row r="112" spans="4:15" ht="13" thickBot="1">
      <c r="E112" s="12"/>
      <c r="F112" s="13" t="s">
        <v>26</v>
      </c>
      <c r="G112" s="9" t="str">
        <f>IF(OR(F111="",F113=""),"",+IF(F111&gt;F113,E111,E113))</f>
        <v/>
      </c>
      <c r="H112" s="17"/>
      <c r="I112" s="10"/>
      <c r="J112" s="14"/>
      <c r="K112" s="10"/>
      <c r="L112" s="14"/>
      <c r="M112" s="10"/>
      <c r="N112" s="14"/>
      <c r="O112" s="10"/>
    </row>
    <row r="113" spans="4:15" ht="13" thickBot="1">
      <c r="D113">
        <v>53</v>
      </c>
      <c r="E113" s="10"/>
      <c r="F113" s="16"/>
      <c r="G113" s="10"/>
      <c r="H113" s="14"/>
      <c r="I113" s="10"/>
      <c r="J113" s="14"/>
      <c r="K113" s="10"/>
      <c r="L113" s="14"/>
      <c r="M113" s="10"/>
      <c r="N113" s="14"/>
      <c r="O113" s="10"/>
    </row>
    <row r="114" spans="4:15" ht="13" thickBot="1">
      <c r="E114" s="12"/>
      <c r="F114" s="10"/>
      <c r="G114" s="10"/>
      <c r="H114" s="14" t="s">
        <v>45</v>
      </c>
      <c r="I114" s="9" t="str">
        <f>IF(OR(H112="",H116=""),"",+IF(H112&gt;H116,G112,G116))</f>
        <v/>
      </c>
      <c r="J114" s="16"/>
      <c r="K114" s="10"/>
      <c r="L114" s="14"/>
      <c r="M114" s="10"/>
      <c r="N114" s="14"/>
      <c r="O114" s="10"/>
    </row>
    <row r="115" spans="4:15" ht="13" thickBot="1">
      <c r="D115">
        <v>54</v>
      </c>
      <c r="E115" s="10"/>
      <c r="F115" s="11"/>
      <c r="G115" s="10"/>
      <c r="H115" s="14"/>
      <c r="I115" s="10"/>
      <c r="J115" s="10"/>
      <c r="K115" s="10"/>
      <c r="L115" s="14"/>
      <c r="M115" s="10"/>
      <c r="N115" s="14"/>
      <c r="O115" s="10"/>
    </row>
    <row r="116" spans="4:15" ht="13" thickBot="1">
      <c r="E116" s="12"/>
      <c r="F116" s="13" t="s">
        <v>27</v>
      </c>
      <c r="G116" s="9" t="str">
        <f>IF(OR(F115="",F117=""),"",+IF(F115&gt;F117,E115,E117))</f>
        <v/>
      </c>
      <c r="H116" s="16"/>
      <c r="I116" s="10"/>
      <c r="J116" s="10"/>
      <c r="K116" s="10"/>
      <c r="L116" s="14"/>
      <c r="M116" s="10"/>
      <c r="N116" s="14"/>
      <c r="O116" s="10"/>
    </row>
    <row r="117" spans="4:15" ht="13" thickBot="1">
      <c r="D117">
        <v>55</v>
      </c>
      <c r="E117" s="9"/>
      <c r="F117" s="16"/>
      <c r="G117" s="10"/>
      <c r="H117" s="10"/>
      <c r="I117" s="10"/>
      <c r="J117" s="10"/>
      <c r="K117" s="10"/>
      <c r="L117" s="14"/>
      <c r="M117" s="10"/>
      <c r="N117" s="14"/>
      <c r="O117" s="10"/>
    </row>
    <row r="118" spans="4:15" ht="13" thickBot="1">
      <c r="E118" s="10"/>
      <c r="F118" s="10"/>
      <c r="G118" s="10"/>
      <c r="H118" s="10"/>
      <c r="I118" s="10"/>
      <c r="J118" s="10"/>
      <c r="K118" s="10"/>
      <c r="L118" s="14" t="s">
        <v>59</v>
      </c>
      <c r="M118" s="9" t="str">
        <f>IF(OR(L110="",L126=""),"",+IF(L110&gt;L126,K110,K126))</f>
        <v/>
      </c>
      <c r="N118" s="16"/>
      <c r="O118" s="10"/>
    </row>
    <row r="119" spans="4:15" ht="13" thickBot="1">
      <c r="D119">
        <v>56</v>
      </c>
      <c r="E119" s="10"/>
      <c r="F119" s="11"/>
      <c r="G119" s="10"/>
      <c r="H119" s="10"/>
      <c r="I119" s="10"/>
      <c r="J119" s="10"/>
      <c r="K119" s="10"/>
      <c r="L119" s="14"/>
      <c r="M119" s="10"/>
      <c r="N119" s="10"/>
      <c r="O119" s="10"/>
    </row>
    <row r="120" spans="4:15" ht="13" thickBot="1">
      <c r="E120" s="12"/>
      <c r="F120" s="13" t="s">
        <v>28</v>
      </c>
      <c r="G120" s="9" t="str">
        <f>IF(OR(F119="",F121=""),"",+IF(F119&gt;F121,E119,E121))</f>
        <v/>
      </c>
      <c r="H120" s="17"/>
      <c r="I120" s="10"/>
      <c r="J120" s="10"/>
      <c r="K120" s="10"/>
      <c r="L120" s="14"/>
      <c r="M120" s="10"/>
      <c r="N120" s="10"/>
      <c r="O120" s="10"/>
    </row>
    <row r="121" spans="4:15" ht="13" thickBot="1">
      <c r="D121">
        <v>57</v>
      </c>
      <c r="E121" s="10"/>
      <c r="F121" s="16"/>
      <c r="G121" s="10"/>
      <c r="H121" s="14"/>
      <c r="I121" s="10"/>
      <c r="J121" s="10"/>
      <c r="K121" s="10"/>
      <c r="L121" s="14"/>
      <c r="M121" s="10"/>
      <c r="N121" s="10"/>
      <c r="O121" s="10"/>
    </row>
    <row r="122" spans="4:15" ht="13" thickBot="1">
      <c r="E122" s="12"/>
      <c r="F122" s="10"/>
      <c r="G122" s="10"/>
      <c r="H122" s="14" t="s">
        <v>46</v>
      </c>
      <c r="I122" s="9" t="str">
        <f>IF(OR(H120="",H124=""),"",+IF(H120&gt;H124,G120,G124))</f>
        <v/>
      </c>
      <c r="J122" s="17"/>
      <c r="K122" s="10"/>
      <c r="L122" s="14"/>
      <c r="M122" s="10"/>
      <c r="N122" s="10"/>
      <c r="O122" s="10"/>
    </row>
    <row r="123" spans="4:15" ht="13" thickBot="1">
      <c r="D123">
        <v>58</v>
      </c>
      <c r="E123" s="10"/>
      <c r="F123" s="11"/>
      <c r="G123" s="10"/>
      <c r="H123" s="14"/>
      <c r="I123" s="10"/>
      <c r="J123" s="13"/>
      <c r="K123" s="10"/>
      <c r="L123" s="14"/>
      <c r="M123" s="10"/>
      <c r="N123" s="10"/>
      <c r="O123" s="10"/>
    </row>
    <row r="124" spans="4:15" ht="13" thickBot="1">
      <c r="E124" s="12"/>
      <c r="F124" s="13" t="s">
        <v>29</v>
      </c>
      <c r="G124" s="9" t="str">
        <f>IF(OR(F123="",F125=""),"",+IF(F123&gt;F125,E123,E125))</f>
        <v/>
      </c>
      <c r="H124" s="16"/>
      <c r="I124" s="10"/>
      <c r="J124" s="14"/>
      <c r="K124" s="10"/>
      <c r="L124" s="14"/>
      <c r="M124" s="10"/>
      <c r="N124" s="10"/>
      <c r="O124" s="10"/>
    </row>
    <row r="125" spans="4:15" ht="13" thickBot="1">
      <c r="D125">
        <v>59</v>
      </c>
      <c r="E125" s="10"/>
      <c r="F125" s="16"/>
      <c r="G125" s="10"/>
      <c r="H125" s="10"/>
      <c r="I125" s="10"/>
      <c r="J125" s="14"/>
      <c r="K125" s="10"/>
      <c r="L125" s="14"/>
      <c r="M125" s="10"/>
      <c r="N125" s="10"/>
      <c r="O125" s="10"/>
    </row>
    <row r="126" spans="4:15" ht="13" thickBot="1">
      <c r="E126" s="12"/>
      <c r="F126" s="10"/>
      <c r="G126" s="10"/>
      <c r="H126" s="10"/>
      <c r="I126" s="10"/>
      <c r="J126" s="14" t="s">
        <v>55</v>
      </c>
      <c r="K126" s="9" t="str">
        <f>IF(OR(J122="",J130=""),"",+IF(J122&gt;J130,I122,I130))</f>
        <v/>
      </c>
      <c r="L126" s="16"/>
      <c r="M126" s="10"/>
      <c r="N126" s="10"/>
      <c r="O126" s="10"/>
    </row>
    <row r="127" spans="4:15" ht="13" thickBot="1">
      <c r="D127">
        <v>60</v>
      </c>
      <c r="E127" s="10"/>
      <c r="F127" s="11"/>
      <c r="G127" s="10"/>
      <c r="H127" s="10"/>
      <c r="I127" s="10"/>
      <c r="J127" s="14"/>
      <c r="K127" s="10"/>
      <c r="L127" s="10"/>
      <c r="M127" s="10"/>
      <c r="N127" s="10"/>
      <c r="O127" s="10"/>
    </row>
    <row r="128" spans="4:15" ht="13" thickBot="1">
      <c r="E128" s="12"/>
      <c r="F128" s="13" t="s">
        <v>30</v>
      </c>
      <c r="G128" s="9" t="str">
        <f>IF(OR(F127="",F129=""),"",+IF(F127&gt;F129,E127,E129))</f>
        <v/>
      </c>
      <c r="H128" s="17"/>
      <c r="I128" s="10"/>
      <c r="J128" s="14"/>
      <c r="K128" s="10"/>
      <c r="L128" s="10"/>
      <c r="M128" s="10"/>
      <c r="N128" s="10"/>
      <c r="O128" s="10"/>
    </row>
    <row r="129" spans="4:15" ht="13" thickBot="1">
      <c r="D129">
        <v>61</v>
      </c>
      <c r="E129" s="10"/>
      <c r="F129" s="16"/>
      <c r="G129" s="10"/>
      <c r="H129" s="14"/>
      <c r="I129" s="10"/>
      <c r="J129" s="14"/>
      <c r="K129" s="10"/>
      <c r="L129" s="10"/>
      <c r="M129" s="10"/>
      <c r="N129" s="10"/>
      <c r="O129" s="10"/>
    </row>
    <row r="130" spans="4:15" ht="13" thickBot="1">
      <c r="E130" s="12"/>
      <c r="F130" s="10"/>
      <c r="G130" s="10"/>
      <c r="H130" s="14" t="s">
        <v>47</v>
      </c>
      <c r="I130" s="9" t="str">
        <f>IF(OR(H128="",H132=""),"",+IF(H128&gt;H132,G128,G132))</f>
        <v/>
      </c>
      <c r="J130" s="16"/>
      <c r="K130" s="10"/>
      <c r="L130" s="10"/>
      <c r="M130" s="10"/>
      <c r="N130" s="10"/>
      <c r="O130" s="10"/>
    </row>
    <row r="131" spans="4:15" ht="13" thickBot="1">
      <c r="D131">
        <v>62</v>
      </c>
      <c r="E131" s="10"/>
      <c r="F131" s="11"/>
      <c r="G131" s="10"/>
      <c r="H131" s="14"/>
      <c r="I131" s="10"/>
      <c r="J131" s="10"/>
      <c r="K131" s="10"/>
      <c r="L131" s="10"/>
      <c r="M131" s="10"/>
      <c r="N131" s="10"/>
      <c r="O131" s="10"/>
    </row>
    <row r="132" spans="4:15" ht="13" thickBot="1">
      <c r="E132" s="12"/>
      <c r="F132" s="13" t="s">
        <v>31</v>
      </c>
      <c r="G132" s="9" t="str">
        <f>IF(OR(F131="",F133=""),"",+IF(F131&gt;F133,E131,E133))</f>
        <v/>
      </c>
      <c r="H132" s="16"/>
      <c r="I132" s="10"/>
      <c r="J132" s="10"/>
      <c r="K132" s="10"/>
      <c r="L132" s="10"/>
      <c r="M132" s="10"/>
      <c r="N132" s="10"/>
      <c r="O132" s="10"/>
    </row>
    <row r="133" spans="4:15" ht="13" thickBot="1">
      <c r="D133">
        <v>63</v>
      </c>
      <c r="E133" s="9"/>
      <c r="F133" s="16"/>
      <c r="G133" s="10"/>
      <c r="H133" s="10"/>
      <c r="I133" s="10"/>
      <c r="J133" s="10"/>
      <c r="K133" s="10"/>
      <c r="L133" s="10"/>
      <c r="M133" s="10"/>
      <c r="N133" s="10"/>
      <c r="O133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62"/>
  <dimension ref="D4:AG132"/>
  <sheetViews>
    <sheetView showGridLines="0" topLeftCell="A23" zoomScale="50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64453125" customWidth="1"/>
    <col min="13" max="13" width="15.64453125" customWidth="1"/>
    <col min="14" max="14" width="3.64453125" customWidth="1"/>
    <col min="15" max="15" width="15.41015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31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/>
      <c r="AE9" s="53" t="e">
        <f>LOOKUP(AD9,T$5:T$78,U$5:U$71)</f>
        <v>#N/A</v>
      </c>
      <c r="AF9" s="37" t="s">
        <v>157</v>
      </c>
      <c r="AG9" s="65" t="e">
        <f>LOOKUP(AD9,T$5:T$78,W$5:W$71)</f>
        <v>#N/A</v>
      </c>
    </row>
    <row r="10" spans="4:33" ht="13" thickBot="1">
      <c r="D10">
        <v>2</v>
      </c>
      <c r="E10" s="10"/>
      <c r="F10" s="11"/>
      <c r="G10" s="10"/>
      <c r="H10" s="14"/>
      <c r="I10" s="12"/>
      <c r="J10" s="20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/>
      <c r="AE10" s="53" t="e">
        <f>LOOKUP(AD10,T$5:T$78,U$5:U$71)</f>
        <v>#N/A</v>
      </c>
      <c r="AF10" s="37" t="s">
        <v>157</v>
      </c>
      <c r="AG10" s="65" t="e">
        <f>LOOKUP(AD10,T$5:T$78,W$5:W$71)</f>
        <v>#N/A</v>
      </c>
    </row>
    <row r="11" spans="4:33" ht="13" thickBot="1">
      <c r="E11" s="12"/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E34</f>
        <v>0</v>
      </c>
      <c r="V11" t="s">
        <v>77</v>
      </c>
      <c r="W11" s="29">
        <f>E36</f>
        <v>0</v>
      </c>
      <c r="Z11" s="34"/>
      <c r="AA11" s="40"/>
      <c r="AB11" s="40"/>
      <c r="AC11" s="38" t="s">
        <v>159</v>
      </c>
      <c r="AD11" s="48"/>
      <c r="AE11" s="53" t="e">
        <f>LOOKUP(AD11,T$5:T$78,U$5:U$71)</f>
        <v>#N/A</v>
      </c>
      <c r="AF11" s="37" t="s">
        <v>157</v>
      </c>
      <c r="AG11" s="65" t="e">
        <f>LOOKUP(AD11,T$5:T$78,W$5:W$71)</f>
        <v>#N/A</v>
      </c>
    </row>
    <row r="12" spans="4:33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E38</f>
        <v>0</v>
      </c>
      <c r="V12" t="s">
        <v>77</v>
      </c>
      <c r="W12" s="29">
        <f>E40</f>
        <v>0</v>
      </c>
      <c r="Z12" s="34"/>
      <c r="AA12" s="40"/>
      <c r="AB12" s="40"/>
      <c r="AC12" s="38" t="s">
        <v>159</v>
      </c>
      <c r="AD12" s="48"/>
      <c r="AE12" s="53" t="e">
        <f>LOOKUP(AD12,T$5:T$78,U$5:U$71)</f>
        <v>#N/A</v>
      </c>
      <c r="AF12" s="37" t="s">
        <v>157</v>
      </c>
      <c r="AG12" s="65" t="e">
        <f>LOOKUP(AD12,T$5:T$78,W$5:W$71)</f>
        <v>#N/A</v>
      </c>
    </row>
    <row r="13" spans="4:33" ht="13" thickBot="1">
      <c r="E13" s="10"/>
      <c r="F13" s="10"/>
      <c r="G13" s="10"/>
      <c r="H13" s="10"/>
      <c r="I13" s="10"/>
      <c r="J13" s="14" t="s">
        <v>47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E42</f>
        <v>0</v>
      </c>
      <c r="V13" t="s">
        <v>77</v>
      </c>
      <c r="W13" s="29">
        <f>E44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E46</f>
        <v>0</v>
      </c>
      <c r="V14" t="s">
        <v>77</v>
      </c>
      <c r="W14" s="29">
        <f>E48</f>
        <v>0</v>
      </c>
      <c r="Z14" s="34"/>
      <c r="AA14" s="40"/>
      <c r="AB14" s="40"/>
      <c r="AC14" s="38" t="s">
        <v>159</v>
      </c>
      <c r="AD14" s="48"/>
      <c r="AE14" s="53" t="e">
        <f>LOOKUP(AD14,T$5:T$78,U$5:U$71)</f>
        <v>#N/A</v>
      </c>
      <c r="AF14" s="37" t="s">
        <v>157</v>
      </c>
      <c r="AG14" s="65" t="e">
        <f>LOOKUP(AD14,T$5:T$78,W$5:W$71)</f>
        <v>#N/A</v>
      </c>
    </row>
    <row r="15" spans="4:33" ht="13" thickBot="1">
      <c r="E15" s="12"/>
      <c r="F15" s="13" t="s">
        <v>2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E50</f>
        <v>0</v>
      </c>
      <c r="V15" t="s">
        <v>77</v>
      </c>
      <c r="W15" s="29">
        <f>E52</f>
        <v>0</v>
      </c>
      <c r="Z15" s="34"/>
      <c r="AA15" s="40"/>
      <c r="AB15" s="40"/>
      <c r="AC15" s="38" t="s">
        <v>159</v>
      </c>
      <c r="AD15" s="48"/>
      <c r="AE15" s="53" t="e">
        <f>LOOKUP(AD15,T$5:T$78,U$5:U$71)</f>
        <v>#N/A</v>
      </c>
      <c r="AF15" s="37" t="s">
        <v>157</v>
      </c>
      <c r="AG15" s="65" t="e">
        <f>LOOKUP(AD15,T$5:T$78,W$5:W$71)</f>
        <v>#N/A</v>
      </c>
    </row>
    <row r="16" spans="4:33" ht="13" thickBot="1">
      <c r="D16">
        <v>5</v>
      </c>
      <c r="E16" s="10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E54</f>
        <v>0</v>
      </c>
      <c r="V16" t="s">
        <v>77</v>
      </c>
      <c r="W16" s="29">
        <f>E56</f>
        <v>0</v>
      </c>
      <c r="Z16" s="34"/>
      <c r="AA16" s="40"/>
      <c r="AB16" s="40"/>
      <c r="AC16" s="38" t="s">
        <v>159</v>
      </c>
      <c r="AD16" s="48"/>
      <c r="AE16" s="53" t="e">
        <f>LOOKUP(AD16,T$5:T$78,U$5:U$71)</f>
        <v>#N/A</v>
      </c>
      <c r="AF16" s="37" t="s">
        <v>157</v>
      </c>
      <c r="AG16" s="65" t="e">
        <f>LOOKUP(AD16,T$5:T$78,W$5:W$71)</f>
        <v>#N/A</v>
      </c>
    </row>
    <row r="17" spans="4:33" ht="13" thickBot="1">
      <c r="E17" s="12"/>
      <c r="F17" s="10"/>
      <c r="G17" s="10"/>
      <c r="H17" s="14" t="s">
        <v>32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E58</f>
        <v>0</v>
      </c>
      <c r="V17" t="s">
        <v>77</v>
      </c>
      <c r="W17" s="29">
        <f>E60</f>
        <v>0</v>
      </c>
      <c r="Z17" s="34"/>
      <c r="AA17" s="40"/>
      <c r="AB17" s="40"/>
      <c r="AC17" s="38" t="s">
        <v>159</v>
      </c>
      <c r="AD17" s="48"/>
      <c r="AE17" s="53" t="e">
        <f>LOOKUP(AD17,T$5:T$78,U$5:U$71)</f>
        <v>#N/A</v>
      </c>
      <c r="AF17" s="37" t="s">
        <v>157</v>
      </c>
      <c r="AG17" s="65" t="e">
        <f>LOOKUP(AD17,T$5:T$78,W$5:W$71)</f>
        <v>#N/A</v>
      </c>
    </row>
    <row r="18" spans="4:33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>
        <f>E62</f>
        <v>0</v>
      </c>
      <c r="V18" t="s">
        <v>77</v>
      </c>
      <c r="W18" s="29">
        <f>E64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2"/>
      <c r="F19" s="13" t="s">
        <v>3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>
        <f>E66</f>
        <v>0</v>
      </c>
      <c r="V19" t="s">
        <v>77</v>
      </c>
      <c r="W19" s="29">
        <f>E68</f>
        <v>0</v>
      </c>
      <c r="Z19" s="34"/>
      <c r="AA19" s="40"/>
      <c r="AB19" s="40"/>
      <c r="AC19" s="38" t="s">
        <v>159</v>
      </c>
      <c r="AD19" s="48"/>
      <c r="AE19" s="53" t="e">
        <f>LOOKUP(AD19,T$5:T$78,U$5:U$71)</f>
        <v>#N/A</v>
      </c>
      <c r="AF19" s="37" t="s">
        <v>157</v>
      </c>
      <c r="AG19" s="65" t="e">
        <f>LOOKUP(AD19,T$5:T$78,W$5:W$71)</f>
        <v>#N/A</v>
      </c>
    </row>
    <row r="20" spans="4:33" ht="13" thickBot="1">
      <c r="D20">
        <v>7</v>
      </c>
      <c r="E20" s="10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>
        <f>E74</f>
        <v>0</v>
      </c>
      <c r="V20" t="s">
        <v>77</v>
      </c>
      <c r="W20" s="29">
        <f>E76</f>
        <v>0</v>
      </c>
      <c r="Z20" s="34"/>
      <c r="AA20" s="40"/>
      <c r="AB20" s="40"/>
      <c r="AC20" s="38" t="s">
        <v>159</v>
      </c>
      <c r="AD20" s="48"/>
      <c r="AE20" s="53" t="e">
        <f>LOOKUP(AD20,T$5:T$78,U$5:U$71)</f>
        <v>#N/A</v>
      </c>
      <c r="AF20" s="37" t="s">
        <v>157</v>
      </c>
      <c r="AG20" s="65" t="e">
        <f>LOOKUP(AD20,T$5:T$78,W$5:W$71)</f>
        <v>#N/A</v>
      </c>
    </row>
    <row r="21" spans="4:33" ht="13" thickBot="1">
      <c r="E21" s="12"/>
      <c r="F21" s="10"/>
      <c r="G21" s="10"/>
      <c r="H21" s="10"/>
      <c r="I21" s="10"/>
      <c r="J21" s="10"/>
      <c r="K21" s="10"/>
      <c r="L21" s="14" t="s">
        <v>55</v>
      </c>
      <c r="M21" s="9" t="str">
        <f>IF(OR(L13="",L29=""),"",+IF(L13&gt;L29,K13,K29))</f>
        <v/>
      </c>
      <c r="N21" s="17"/>
      <c r="O21" s="10"/>
      <c r="T21">
        <v>17</v>
      </c>
      <c r="U21" s="28">
        <f>E78</f>
        <v>0</v>
      </c>
      <c r="V21" t="s">
        <v>77</v>
      </c>
      <c r="W21" s="29">
        <f>E80</f>
        <v>0</v>
      </c>
      <c r="Z21" s="34"/>
      <c r="AA21" s="40"/>
      <c r="AB21" s="40"/>
      <c r="AC21" s="38" t="s">
        <v>159</v>
      </c>
      <c r="AD21" s="48"/>
      <c r="AE21" s="53" t="e">
        <f>LOOKUP(AD21,T$5:T$78,U$5:U$71)</f>
        <v>#N/A</v>
      </c>
      <c r="AF21" s="37" t="s">
        <v>157</v>
      </c>
      <c r="AG21" s="65" t="e">
        <f>LOOKUP(AD21,T$5:T$78,W$5:W$71)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>
        <f>E82</f>
        <v>0</v>
      </c>
      <c r="V22" t="s">
        <v>77</v>
      </c>
      <c r="W22" s="29">
        <f>E84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4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28">
        <f>E86</f>
        <v>0</v>
      </c>
      <c r="V23" t="s">
        <v>77</v>
      </c>
      <c r="W23" s="29">
        <f>E88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28">
        <f>E90</f>
        <v>0</v>
      </c>
      <c r="V24" t="s">
        <v>77</v>
      </c>
      <c r="W24" s="29">
        <f>E92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0"/>
      <c r="G25" s="10"/>
      <c r="H25" s="14" t="s">
        <v>33</v>
      </c>
      <c r="I25" s="9" t="str">
        <f>IF(OR(H23="",H27=""),"",+IF(H23&gt;H27,G23,G27))</f>
        <v/>
      </c>
      <c r="J25" s="17"/>
      <c r="K25" s="10"/>
      <c r="L25" s="14"/>
      <c r="M25" s="10"/>
      <c r="N25" s="14"/>
      <c r="O25" s="10"/>
      <c r="T25">
        <v>21</v>
      </c>
      <c r="U25" s="28">
        <f>E94</f>
        <v>0</v>
      </c>
      <c r="V25" t="s">
        <v>77</v>
      </c>
      <c r="W25" s="29">
        <f>E96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1"/>
      <c r="G26" s="10"/>
      <c r="H26" s="14"/>
      <c r="I26" s="10"/>
      <c r="J26" s="13"/>
      <c r="K26" s="10"/>
      <c r="L26" s="14"/>
      <c r="M26" s="10"/>
      <c r="N26" s="14"/>
      <c r="O26" s="10"/>
      <c r="T26">
        <v>22</v>
      </c>
      <c r="U26" s="28">
        <f>E98</f>
        <v>0</v>
      </c>
      <c r="V26" t="s">
        <v>77</v>
      </c>
      <c r="W26" s="29">
        <f>E100</f>
        <v>0</v>
      </c>
      <c r="Z26" s="34"/>
      <c r="AA26" s="40"/>
      <c r="AB26" s="40"/>
      <c r="AC26" s="38" t="s">
        <v>159</v>
      </c>
      <c r="AD26" s="48"/>
      <c r="AE26" s="53" t="e">
        <f>LOOKUP(AD26,T$5:T$78,U$5:U$71)</f>
        <v>#N/A</v>
      </c>
      <c r="AF26" s="37" t="s">
        <v>157</v>
      </c>
      <c r="AG26" s="65" t="e">
        <f>LOOKUP(AD26,T$5:T$78,W$5:W$71)</f>
        <v>#N/A</v>
      </c>
    </row>
    <row r="27" spans="4:33" ht="13" thickBot="1">
      <c r="E27" s="12"/>
      <c r="F27" s="13" t="s">
        <v>5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>
        <f>E102</f>
        <v>0</v>
      </c>
      <c r="V27" t="s">
        <v>77</v>
      </c>
      <c r="W27" s="29">
        <f>E104</f>
        <v>0</v>
      </c>
      <c r="Z27" s="34"/>
      <c r="AA27" s="40"/>
      <c r="AB27" s="40"/>
      <c r="AC27" s="38" t="s">
        <v>159</v>
      </c>
      <c r="AD27" s="48"/>
      <c r="AE27" s="53" t="e">
        <f>LOOKUP(AD27,T$5:T$78,U$5:U$71)</f>
        <v>#N/A</v>
      </c>
      <c r="AF27" s="37" t="s">
        <v>157</v>
      </c>
      <c r="AG27" s="65" t="e">
        <f>LOOKUP(AD27,T$5:T$78,W$5:W$71)</f>
        <v>#N/A</v>
      </c>
    </row>
    <row r="28" spans="4:33" ht="13" thickBot="1">
      <c r="D28">
        <v>11</v>
      </c>
      <c r="E28" s="10"/>
      <c r="F28" s="16"/>
      <c r="G28" s="10"/>
      <c r="H28" s="10"/>
      <c r="I28" s="10"/>
      <c r="J28" s="14"/>
      <c r="K28" s="10"/>
      <c r="L28" s="14"/>
      <c r="M28" s="10"/>
      <c r="N28" s="14"/>
      <c r="O28" s="10"/>
      <c r="T28">
        <v>24</v>
      </c>
      <c r="U28" s="28">
        <f>E106</f>
        <v>0</v>
      </c>
      <c r="V28" t="s">
        <v>77</v>
      </c>
      <c r="W28" s="29">
        <f>E108</f>
        <v>0</v>
      </c>
      <c r="Z28" s="34"/>
      <c r="AA28" s="40"/>
      <c r="AB28" s="40"/>
      <c r="AC28" s="38" t="s">
        <v>159</v>
      </c>
      <c r="AD28" s="48"/>
      <c r="AE28" s="53" t="e">
        <f>LOOKUP(AD28,T$5:T$78,U$5:U$71)</f>
        <v>#N/A</v>
      </c>
      <c r="AF28" s="37" t="s">
        <v>157</v>
      </c>
      <c r="AG28" s="65" t="e">
        <f>LOOKUP(AD28,T$5:T$78,W$5:W$71)</f>
        <v>#N/A</v>
      </c>
    </row>
    <row r="29" spans="4:33" ht="13" thickBot="1">
      <c r="E29" s="12"/>
      <c r="F29" s="10"/>
      <c r="G29" s="10"/>
      <c r="H29" s="10"/>
      <c r="I29" s="10"/>
      <c r="J29" s="14" t="s">
        <v>48</v>
      </c>
      <c r="K29" s="9" t="str">
        <f>IF(OR(J25="",J33=""),"",+IF(J25&gt;J33,I25,I33))</f>
        <v/>
      </c>
      <c r="L29" s="16"/>
      <c r="M29" s="10"/>
      <c r="N29" s="14"/>
      <c r="O29" s="10"/>
      <c r="T29">
        <v>25</v>
      </c>
      <c r="U29" s="28">
        <f>E110</f>
        <v>0</v>
      </c>
      <c r="V29" t="s">
        <v>77</v>
      </c>
      <c r="W29" s="29">
        <f>E112</f>
        <v>0</v>
      </c>
      <c r="Z29" s="34"/>
      <c r="AA29" s="40"/>
      <c r="AB29" s="40"/>
      <c r="AC29" s="38" t="s">
        <v>159</v>
      </c>
      <c r="AD29" s="48"/>
      <c r="AE29" s="53" t="e">
        <f>LOOKUP(AD29,T$5:T$78,U$5:U$71)</f>
        <v>#N/A</v>
      </c>
      <c r="AF29" s="37" t="s">
        <v>157</v>
      </c>
      <c r="AG29" s="65" t="e">
        <f>LOOKUP(AD29,T$5:T$78,W$5:W$71)</f>
        <v>#N/A</v>
      </c>
    </row>
    <row r="30" spans="4:33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>
        <f>E114</f>
        <v>0</v>
      </c>
      <c r="V30" t="s">
        <v>77</v>
      </c>
      <c r="W30" s="29">
        <f>E116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2"/>
      <c r="F31" s="13" t="s">
        <v>6</v>
      </c>
      <c r="G31" s="9" t="str">
        <f>IF(OR(F30="",F32=""),"",+IF(F30&gt;F32,E30,E32))</f>
        <v/>
      </c>
      <c r="H31" s="17"/>
      <c r="I31" s="10"/>
      <c r="J31" s="14"/>
      <c r="K31" s="10"/>
      <c r="L31" s="10"/>
      <c r="M31" s="10"/>
      <c r="N31" s="14"/>
      <c r="O31" s="10"/>
      <c r="T31">
        <v>27</v>
      </c>
      <c r="U31" s="28">
        <f>E118</f>
        <v>0</v>
      </c>
      <c r="V31" t="s">
        <v>77</v>
      </c>
      <c r="W31" s="29">
        <f>E120</f>
        <v>0</v>
      </c>
      <c r="Z31" s="34"/>
      <c r="AA31" s="40"/>
      <c r="AB31" s="40"/>
      <c r="AC31" s="38" t="s">
        <v>159</v>
      </c>
      <c r="AD31" s="48"/>
      <c r="AE31" s="53" t="e">
        <f>LOOKUP(AD31,T$5:T$78,U$5:U$71)</f>
        <v>#N/A</v>
      </c>
      <c r="AF31" s="37" t="s">
        <v>157</v>
      </c>
      <c r="AG31" s="65" t="e">
        <f>LOOKUP(AD31,T$5:T$78,W$5:W$71)</f>
        <v>#N/A</v>
      </c>
    </row>
    <row r="32" spans="4:33" ht="13" thickBot="1">
      <c r="D32">
        <v>13</v>
      </c>
      <c r="E32" s="10"/>
      <c r="F32" s="16"/>
      <c r="G32" s="10"/>
      <c r="H32" s="14"/>
      <c r="I32" s="10"/>
      <c r="J32" s="14"/>
      <c r="K32" s="10"/>
      <c r="L32" s="10"/>
      <c r="M32" s="10"/>
      <c r="N32" s="14"/>
      <c r="O32" s="10"/>
      <c r="T32">
        <v>28</v>
      </c>
      <c r="U32" s="28">
        <f>E122</f>
        <v>0</v>
      </c>
      <c r="V32" t="s">
        <v>77</v>
      </c>
      <c r="W32" s="29">
        <f>E124</f>
        <v>0</v>
      </c>
      <c r="Z32" s="34"/>
      <c r="AA32" s="40"/>
      <c r="AB32" s="40"/>
      <c r="AC32" s="38" t="s">
        <v>159</v>
      </c>
      <c r="AD32" s="48"/>
      <c r="AE32" s="53" t="e">
        <f>LOOKUP(AD32,T$5:T$78,U$5:U$71)</f>
        <v>#N/A</v>
      </c>
      <c r="AF32" s="37" t="s">
        <v>157</v>
      </c>
      <c r="AG32" s="65" t="e">
        <f>LOOKUP(AD32,T$5:T$78,W$5:W$71)</f>
        <v>#N/A</v>
      </c>
    </row>
    <row r="33" spans="4:33" ht="13" thickBot="1">
      <c r="E33" s="12"/>
      <c r="F33" s="10"/>
      <c r="G33" s="10"/>
      <c r="H33" s="14" t="s">
        <v>34</v>
      </c>
      <c r="I33" s="9" t="str">
        <f>IF(OR(H31="",H35=""),"",+IF(H31&gt;H35,G31,G35))</f>
        <v/>
      </c>
      <c r="J33" s="16"/>
      <c r="K33" s="10"/>
      <c r="L33" s="10"/>
      <c r="M33" s="10"/>
      <c r="N33" s="14"/>
      <c r="O33" s="10"/>
      <c r="T33">
        <v>29</v>
      </c>
      <c r="U33" s="28">
        <f>E126</f>
        <v>0</v>
      </c>
      <c r="V33" t="s">
        <v>77</v>
      </c>
      <c r="W33" s="29">
        <f>E128</f>
        <v>0</v>
      </c>
      <c r="Z33" s="34"/>
      <c r="AA33" s="40"/>
      <c r="AB33" s="40"/>
      <c r="AC33" s="38" t="s">
        <v>159</v>
      </c>
      <c r="AD33" s="48"/>
      <c r="AE33" s="53" t="e">
        <f>LOOKUP(AD33,T$5:T$78,U$5:U$71)</f>
        <v>#N/A</v>
      </c>
      <c r="AF33" s="37" t="s">
        <v>157</v>
      </c>
      <c r="AG33" s="65" t="e">
        <f>LOOKUP(AD33,T$5:T$78,W$5:W$71)</f>
        <v>#N/A</v>
      </c>
    </row>
    <row r="34" spans="4:33" ht="13" thickBot="1">
      <c r="D34">
        <v>14</v>
      </c>
      <c r="E34" s="10"/>
      <c r="F34" s="11"/>
      <c r="G34" s="10"/>
      <c r="H34" s="14"/>
      <c r="I34" s="10"/>
      <c r="J34" s="10"/>
      <c r="K34" s="10"/>
      <c r="L34" s="10"/>
      <c r="M34" s="10"/>
      <c r="N34" s="14"/>
      <c r="O34" s="10"/>
      <c r="T34">
        <v>30</v>
      </c>
      <c r="U34" s="28">
        <f>E130</f>
        <v>0</v>
      </c>
      <c r="V34" t="s">
        <v>77</v>
      </c>
      <c r="W34" s="29">
        <f>E132</f>
        <v>0</v>
      </c>
      <c r="Z34" s="34"/>
      <c r="AA34" s="40"/>
      <c r="AB34" s="40"/>
      <c r="AC34" s="38" t="s">
        <v>159</v>
      </c>
      <c r="AD34" s="48"/>
      <c r="AE34" s="53" t="e">
        <f>LOOKUP(AD34,T$5:T$78,U$5:U$71)</f>
        <v>#N/A</v>
      </c>
      <c r="AF34" s="37" t="s">
        <v>157</v>
      </c>
      <c r="AG34" s="65" t="e">
        <f>LOOKUP(AD34,T$5:T$78,W$5:W$71)</f>
        <v>#N/A</v>
      </c>
    </row>
    <row r="35" spans="4:33" ht="13" thickBot="1">
      <c r="E35" s="12"/>
      <c r="F35" s="13" t="s">
        <v>7</v>
      </c>
      <c r="G35" s="9" t="str">
        <f>IF(OR(F34="",F36=""),"",+IF(F34&gt;F36,E34,E36))</f>
        <v/>
      </c>
      <c r="H35" s="16"/>
      <c r="I35" s="10"/>
      <c r="J35" s="10"/>
      <c r="K35" s="10"/>
      <c r="L35" s="10"/>
      <c r="M35" s="10"/>
      <c r="N35" s="14"/>
      <c r="O35" s="10"/>
      <c r="T35">
        <v>31</v>
      </c>
      <c r="U35" s="28">
        <f>E7</f>
        <v>0</v>
      </c>
      <c r="V35" t="s">
        <v>77</v>
      </c>
      <c r="W35" s="29" t="s">
        <v>78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/>
      <c r="F36" s="16"/>
      <c r="G36" s="10"/>
      <c r="H36" s="10"/>
      <c r="I36" s="10"/>
      <c r="J36" s="10"/>
      <c r="K36" s="10"/>
      <c r="L36" s="10"/>
      <c r="M36" s="10"/>
      <c r="N36" s="14"/>
      <c r="O36" s="10"/>
      <c r="T36">
        <v>32</v>
      </c>
      <c r="U36" s="29" t="s">
        <v>160</v>
      </c>
      <c r="V36" t="s">
        <v>77</v>
      </c>
      <c r="W36" s="28" t="s">
        <v>161</v>
      </c>
      <c r="Z36" s="34"/>
      <c r="AA36" s="40"/>
      <c r="AB36" s="40"/>
      <c r="AC36" s="38" t="s">
        <v>159</v>
      </c>
      <c r="AD36" s="48"/>
      <c r="AE36" s="53" t="e">
        <f>LOOKUP(AD36,T$5:T$78,U$5:U$71)</f>
        <v>#N/A</v>
      </c>
      <c r="AF36" s="37" t="s">
        <v>157</v>
      </c>
      <c r="AG36" s="65" t="e">
        <f>LOOKUP(AD36,T$5:T$78,W$5:W$71)</f>
        <v>#N/A</v>
      </c>
    </row>
    <row r="37" spans="4:33" ht="13" thickBot="1">
      <c r="E37" s="10"/>
      <c r="F37" s="10"/>
      <c r="G37" s="10"/>
      <c r="H37" s="10"/>
      <c r="I37" s="10"/>
      <c r="J37" s="10"/>
      <c r="K37" s="10"/>
      <c r="L37" s="10"/>
      <c r="M37" s="10"/>
      <c r="N37" s="14" t="s">
        <v>59</v>
      </c>
      <c r="O37" s="9" t="str">
        <f>IF(OR(N21="",N53=""),"",+IF(N21&gt;N53,M21,M53))</f>
        <v/>
      </c>
      <c r="T37">
        <v>33</v>
      </c>
      <c r="U37" s="29" t="s">
        <v>81</v>
      </c>
      <c r="V37" t="s">
        <v>77</v>
      </c>
      <c r="W37" s="28" t="s">
        <v>162</v>
      </c>
      <c r="Z37" s="34"/>
      <c r="AA37" s="40"/>
      <c r="AB37" s="40"/>
      <c r="AC37" s="38" t="s">
        <v>159</v>
      </c>
      <c r="AD37" s="48"/>
      <c r="AE37" s="53" t="e">
        <f>LOOKUP(AD37,T$5:T$78,U$5:U$71)</f>
        <v>#N/A</v>
      </c>
      <c r="AF37" s="37" t="s">
        <v>157</v>
      </c>
      <c r="AG37" s="65" t="e">
        <f>LOOKUP(AD37,T$5:T$78,W$5:W$71)</f>
        <v>#N/A</v>
      </c>
    </row>
    <row r="38" spans="4:33" ht="13" thickBot="1">
      <c r="D38">
        <v>16</v>
      </c>
      <c r="E38" s="10"/>
      <c r="F38" s="11"/>
      <c r="G38" s="10"/>
      <c r="H38" s="10"/>
      <c r="I38" s="10"/>
      <c r="J38" s="10"/>
      <c r="K38" s="10"/>
      <c r="L38" s="10"/>
      <c r="M38" s="10"/>
      <c r="N38" s="14"/>
      <c r="O38" s="13"/>
      <c r="T38">
        <v>34</v>
      </c>
      <c r="U38" s="29" t="s">
        <v>163</v>
      </c>
      <c r="V38" t="s">
        <v>77</v>
      </c>
      <c r="W38" s="28" t="s">
        <v>84</v>
      </c>
      <c r="Z38" s="34"/>
      <c r="AA38" s="40"/>
      <c r="AB38" s="40"/>
      <c r="AC38" s="38" t="s">
        <v>159</v>
      </c>
      <c r="AD38" s="48"/>
      <c r="AE38" s="53" t="e">
        <f>LOOKUP(AD38,T$5:T$78,U$5:U$71)</f>
        <v>#N/A</v>
      </c>
      <c r="AF38" s="37" t="s">
        <v>157</v>
      </c>
      <c r="AG38" s="65" t="e">
        <f>LOOKUP(AD38,T$5:T$78,W$5:W$71)</f>
        <v>#N/A</v>
      </c>
    </row>
    <row r="39" spans="4:33" ht="13" thickBot="1">
      <c r="E39" s="12"/>
      <c r="F39" s="13" t="s">
        <v>8</v>
      </c>
      <c r="G39" s="9" t="str">
        <f>IF(OR(F38="",F40=""),"",+IF(F38&gt;F40,E38,E40))</f>
        <v/>
      </c>
      <c r="H39" s="17"/>
      <c r="I39" s="10"/>
      <c r="J39" s="10"/>
      <c r="K39" s="10"/>
      <c r="L39" s="10"/>
      <c r="M39" s="10"/>
      <c r="N39" s="14"/>
      <c r="O39" s="14"/>
      <c r="T39">
        <v>35</v>
      </c>
      <c r="U39" s="29" t="s">
        <v>164</v>
      </c>
      <c r="V39" t="s">
        <v>77</v>
      </c>
      <c r="W39" s="28" t="s">
        <v>86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D40">
        <v>17</v>
      </c>
      <c r="E40" s="10"/>
      <c r="F40" s="16"/>
      <c r="G40" s="10"/>
      <c r="H40" s="14"/>
      <c r="I40" s="10"/>
      <c r="J40" s="10"/>
      <c r="K40" s="10"/>
      <c r="L40" s="10"/>
      <c r="M40" s="10"/>
      <c r="N40" s="14"/>
      <c r="O40" s="14"/>
      <c r="T40">
        <v>36</v>
      </c>
      <c r="U40" s="29" t="s">
        <v>87</v>
      </c>
      <c r="V40" t="s">
        <v>77</v>
      </c>
      <c r="W40" s="28" t="s">
        <v>88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2"/>
      <c r="F41" s="10"/>
      <c r="G41" s="10"/>
      <c r="H41" s="14" t="s">
        <v>35</v>
      </c>
      <c r="I41" s="9" t="str">
        <f>IF(OR(H39="",H43=""),"",+IF(H39&gt;H43,G39,G43))</f>
        <v/>
      </c>
      <c r="J41" s="17"/>
      <c r="K41" s="10"/>
      <c r="L41" s="10"/>
      <c r="M41" s="10"/>
      <c r="N41" s="14"/>
      <c r="O41" s="14"/>
      <c r="T41">
        <v>37</v>
      </c>
      <c r="U41" s="29" t="s">
        <v>89</v>
      </c>
      <c r="V41" t="s">
        <v>77</v>
      </c>
      <c r="W41" s="28" t="s">
        <v>90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18</v>
      </c>
      <c r="E42" s="10"/>
      <c r="F42" s="11"/>
      <c r="G42" s="10"/>
      <c r="H42" s="14"/>
      <c r="I42" s="10"/>
      <c r="J42" s="13"/>
      <c r="K42" s="10"/>
      <c r="L42" s="10"/>
      <c r="M42" s="10"/>
      <c r="N42" s="14"/>
      <c r="O42" s="14"/>
      <c r="T42">
        <v>38</v>
      </c>
      <c r="U42" s="29" t="s">
        <v>91</v>
      </c>
      <c r="V42" t="s">
        <v>77</v>
      </c>
      <c r="W42" s="28" t="s">
        <v>92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E43" s="12"/>
      <c r="F43" s="13" t="s">
        <v>9</v>
      </c>
      <c r="G43" s="9" t="str">
        <f>IF(OR(F42="",F44=""),"",+IF(F42&gt;F44,E42,E44))</f>
        <v/>
      </c>
      <c r="H43" s="16"/>
      <c r="I43" s="10"/>
      <c r="J43" s="14"/>
      <c r="K43" s="10"/>
      <c r="L43" s="10"/>
      <c r="M43" s="10"/>
      <c r="N43" s="14"/>
      <c r="O43" s="14"/>
      <c r="T43">
        <v>39</v>
      </c>
      <c r="U43" s="28">
        <f>E71</f>
        <v>0</v>
      </c>
      <c r="V43" t="s">
        <v>77</v>
      </c>
      <c r="W43" s="29" t="s">
        <v>165</v>
      </c>
      <c r="Z43" s="34"/>
      <c r="AA43" s="40"/>
      <c r="AB43" s="40"/>
      <c r="AC43" s="38" t="s">
        <v>159</v>
      </c>
      <c r="AD43" s="48"/>
      <c r="AE43" s="53" t="e">
        <f>LOOKUP(AD43,T$5:T$78,U$5:U$71)</f>
        <v>#N/A</v>
      </c>
      <c r="AF43" s="37" t="s">
        <v>157</v>
      </c>
      <c r="AG43" s="65" t="e">
        <f>LOOKUP(AD43,T$5:T$78,W$5:W$71)</f>
        <v>#N/A</v>
      </c>
    </row>
    <row r="44" spans="4:33" ht="13" thickBot="1">
      <c r="D44">
        <v>19</v>
      </c>
      <c r="E44" s="10"/>
      <c r="F44" s="16"/>
      <c r="G44" s="10"/>
      <c r="H44" s="10"/>
      <c r="I44" s="10"/>
      <c r="J44" s="14"/>
      <c r="K44" s="10"/>
      <c r="L44" s="10"/>
      <c r="M44" s="10"/>
      <c r="N44" s="14"/>
      <c r="O44" s="14"/>
      <c r="T44">
        <v>40</v>
      </c>
      <c r="U44" s="28" t="s">
        <v>94</v>
      </c>
      <c r="V44" t="s">
        <v>77</v>
      </c>
      <c r="W44" s="29" t="s">
        <v>95</v>
      </c>
      <c r="Z44" s="34"/>
      <c r="AA44" s="40"/>
      <c r="AB44" s="40"/>
      <c r="AC44" s="38" t="s">
        <v>159</v>
      </c>
      <c r="AD44" s="48"/>
      <c r="AE44" s="53" t="e">
        <f>LOOKUP(AD44,T$5:T$78,U$5:U$71)</f>
        <v>#N/A</v>
      </c>
      <c r="AF44" s="37" t="s">
        <v>157</v>
      </c>
      <c r="AG44" s="65" t="e">
        <f>LOOKUP(AD44,T$5:T$78,W$5:W$71)</f>
        <v>#N/A</v>
      </c>
    </row>
    <row r="45" spans="4:33" ht="13" thickBot="1">
      <c r="E45" s="12"/>
      <c r="F45" s="10"/>
      <c r="G45" s="10"/>
      <c r="H45" s="10"/>
      <c r="I45" s="10"/>
      <c r="J45" s="14" t="s">
        <v>49</v>
      </c>
      <c r="K45" s="9" t="str">
        <f>IF(OR(J41="",J49=""),"",+IF(J41&gt;J49,I41,I49))</f>
        <v/>
      </c>
      <c r="L45" s="17"/>
      <c r="M45" s="10"/>
      <c r="N45" s="14"/>
      <c r="O45" s="14"/>
      <c r="T45">
        <v>41</v>
      </c>
      <c r="U45" s="28" t="s">
        <v>96</v>
      </c>
      <c r="V45" t="s">
        <v>77</v>
      </c>
      <c r="W45" s="29" t="s">
        <v>97</v>
      </c>
      <c r="Z45" s="34"/>
      <c r="AA45" s="40"/>
      <c r="AB45" s="40"/>
      <c r="AC45" s="38" t="s">
        <v>159</v>
      </c>
      <c r="AD45" s="48"/>
      <c r="AE45" s="53" t="e">
        <f>LOOKUP(AD45,T$5:T$78,U$5:U$71)</f>
        <v>#N/A</v>
      </c>
      <c r="AF45" s="37" t="s">
        <v>157</v>
      </c>
      <c r="AG45" s="65" t="e">
        <f>LOOKUP(AD45,T$5:T$78,W$5:W$71)</f>
        <v>#N/A</v>
      </c>
    </row>
    <row r="46" spans="4:33" ht="13" thickBot="1">
      <c r="D46">
        <v>20</v>
      </c>
      <c r="E46" s="10"/>
      <c r="F46" s="11"/>
      <c r="G46" s="10"/>
      <c r="H46" s="10"/>
      <c r="I46" s="10"/>
      <c r="J46" s="14"/>
      <c r="K46" s="10"/>
      <c r="L46" s="13"/>
      <c r="M46" s="10"/>
      <c r="N46" s="14"/>
      <c r="O46" s="14"/>
      <c r="T46">
        <v>42</v>
      </c>
      <c r="U46" s="28" t="s">
        <v>98</v>
      </c>
      <c r="V46" t="s">
        <v>77</v>
      </c>
      <c r="W46" s="29" t="s">
        <v>99</v>
      </c>
      <c r="Z46" s="34"/>
      <c r="AA46" s="40"/>
      <c r="AB46" s="40"/>
      <c r="AC46" s="38" t="s">
        <v>159</v>
      </c>
      <c r="AD46" s="48"/>
      <c r="AE46" s="53" t="e">
        <f>LOOKUP(AD46,T$5:T$78,U$5:U$71)</f>
        <v>#N/A</v>
      </c>
      <c r="AF46" s="37" t="s">
        <v>157</v>
      </c>
      <c r="AG46" s="65" t="e">
        <f>LOOKUP(AD46,T$5:T$78,W$5:W$71)</f>
        <v>#N/A</v>
      </c>
    </row>
    <row r="47" spans="4:33" ht="13" thickBot="1">
      <c r="E47" s="12"/>
      <c r="F47" s="13" t="s">
        <v>10</v>
      </c>
      <c r="G47" s="9" t="str">
        <f>IF(OR(F46="",F48=""),"",+IF(F46&gt;F48,E46,E48))</f>
        <v/>
      </c>
      <c r="H47" s="17"/>
      <c r="I47" s="10"/>
      <c r="J47" s="14"/>
      <c r="K47" s="10"/>
      <c r="L47" s="14"/>
      <c r="M47" s="10"/>
      <c r="N47" s="14"/>
      <c r="O47" s="14"/>
      <c r="T47">
        <v>43</v>
      </c>
      <c r="U47" s="28" t="s">
        <v>100</v>
      </c>
      <c r="V47" t="s">
        <v>77</v>
      </c>
      <c r="W47" s="29" t="s">
        <v>101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D48">
        <v>21</v>
      </c>
      <c r="E48" s="10"/>
      <c r="F48" s="16"/>
      <c r="G48" s="10"/>
      <c r="H48" s="14"/>
      <c r="I48" s="10"/>
      <c r="J48" s="14"/>
      <c r="K48" s="10"/>
      <c r="L48" s="14"/>
      <c r="M48" s="10"/>
      <c r="N48" s="14"/>
      <c r="O48" s="14"/>
      <c r="T48">
        <v>44</v>
      </c>
      <c r="U48" s="28" t="s">
        <v>102</v>
      </c>
      <c r="V48" t="s">
        <v>77</v>
      </c>
      <c r="W48" s="29" t="s">
        <v>103</v>
      </c>
      <c r="Z48" s="34"/>
      <c r="AA48" s="40"/>
      <c r="AB48" s="40"/>
      <c r="AC48" s="38" t="s">
        <v>159</v>
      </c>
      <c r="AD48" s="48"/>
      <c r="AE48" s="53" t="e">
        <f>LOOKUP(AD48,T$5:T$78,U$5:U$71)</f>
        <v>#N/A</v>
      </c>
      <c r="AF48" s="37" t="s">
        <v>157</v>
      </c>
      <c r="AG48" s="65" t="e">
        <f>LOOKUP(AD48,T$5:T$78,W$5:W$71)</f>
        <v>#N/A</v>
      </c>
    </row>
    <row r="49" spans="4:33" ht="13" thickBot="1">
      <c r="E49" s="12"/>
      <c r="F49" s="10"/>
      <c r="G49" s="10"/>
      <c r="H49" s="14" t="s">
        <v>36</v>
      </c>
      <c r="I49" s="9" t="str">
        <f>IF(OR(H47="",H51=""),"",+IF(H47&gt;H51,G47,G51))</f>
        <v/>
      </c>
      <c r="J49" s="16"/>
      <c r="K49" s="10"/>
      <c r="L49" s="14"/>
      <c r="M49" s="10"/>
      <c r="N49" s="14"/>
      <c r="O49" s="14"/>
      <c r="T49">
        <v>45</v>
      </c>
      <c r="U49" s="28" t="s">
        <v>104</v>
      </c>
      <c r="V49" t="s">
        <v>77</v>
      </c>
      <c r="W49" s="29" t="s">
        <v>105</v>
      </c>
      <c r="Z49" s="34"/>
      <c r="AA49" s="40"/>
      <c r="AB49" s="40"/>
      <c r="AC49" s="38" t="s">
        <v>159</v>
      </c>
      <c r="AD49" s="48"/>
      <c r="AE49" s="53" t="e">
        <f>LOOKUP(AD49,T$5:T$78,U$5:U$71)</f>
        <v>#N/A</v>
      </c>
      <c r="AF49" s="37" t="s">
        <v>157</v>
      </c>
      <c r="AG49" s="65" t="e">
        <f>LOOKUP(AD49,T$5:T$78,W$5:W$71)</f>
        <v>#N/A</v>
      </c>
    </row>
    <row r="50" spans="4:33" ht="13" thickBot="1">
      <c r="D50">
        <v>22</v>
      </c>
      <c r="E50" s="10"/>
      <c r="F50" s="11"/>
      <c r="G50" s="10"/>
      <c r="H50" s="14"/>
      <c r="I50" s="10"/>
      <c r="J50" s="10"/>
      <c r="K50" s="10"/>
      <c r="L50" s="14"/>
      <c r="M50" s="10"/>
      <c r="N50" s="14"/>
      <c r="O50" s="14"/>
      <c r="T50">
        <v>46</v>
      </c>
      <c r="U50" s="28" t="s">
        <v>106</v>
      </c>
      <c r="V50" t="s">
        <v>77</v>
      </c>
      <c r="W50" s="29" t="s">
        <v>107</v>
      </c>
      <c r="Z50" s="34"/>
      <c r="AA50" s="40"/>
      <c r="AB50" s="40"/>
      <c r="AC50" s="38" t="s">
        <v>159</v>
      </c>
      <c r="AD50" s="48"/>
      <c r="AE50" s="53" t="e">
        <f>LOOKUP(AD50,T$5:T$78,U$5:U$71)</f>
        <v>#N/A</v>
      </c>
      <c r="AF50" s="37" t="s">
        <v>157</v>
      </c>
      <c r="AG50" s="65" t="e">
        <f>LOOKUP(AD50,T$5:T$78,W$5:W$71)</f>
        <v>#N/A</v>
      </c>
    </row>
    <row r="51" spans="4:33" ht="13" thickBot="1">
      <c r="E51" s="12"/>
      <c r="F51" s="13" t="s">
        <v>11</v>
      </c>
      <c r="G51" s="9" t="str">
        <f>IF(OR(F50="",F52=""),"",+IF(F50&gt;F52,E50,E52))</f>
        <v/>
      </c>
      <c r="H51" s="16"/>
      <c r="I51" s="10"/>
      <c r="J51" s="10"/>
      <c r="K51" s="10"/>
      <c r="L51" s="14"/>
      <c r="M51" s="10"/>
      <c r="N51" s="14"/>
      <c r="O51" s="14"/>
      <c r="T51">
        <v>47</v>
      </c>
      <c r="U51" s="28" t="s">
        <v>108</v>
      </c>
      <c r="V51" t="s">
        <v>77</v>
      </c>
      <c r="W51" s="29" t="s">
        <v>109</v>
      </c>
      <c r="Z51" s="34"/>
      <c r="AA51" s="40"/>
      <c r="AB51" s="40"/>
      <c r="AC51" s="38" t="s">
        <v>159</v>
      </c>
      <c r="AD51" s="48"/>
      <c r="AE51" s="53" t="e">
        <f>LOOKUP(AD51,T$5:T$78,U$5:U$71)</f>
        <v>#N/A</v>
      </c>
      <c r="AF51" s="37" t="s">
        <v>157</v>
      </c>
      <c r="AG51" s="65" t="e">
        <f>LOOKUP(AD51,T$5:T$78,W$5:W$71)</f>
        <v>#N/A</v>
      </c>
    </row>
    <row r="52" spans="4:33" ht="13" thickBot="1">
      <c r="D52">
        <v>23</v>
      </c>
      <c r="E52" s="9"/>
      <c r="F52" s="16"/>
      <c r="G52" s="10"/>
      <c r="H52" s="10"/>
      <c r="I52" s="10"/>
      <c r="J52" s="10"/>
      <c r="K52" s="10"/>
      <c r="L52" s="14"/>
      <c r="M52" s="10"/>
      <c r="N52" s="14"/>
      <c r="O52" s="14"/>
      <c r="T52">
        <v>48</v>
      </c>
      <c r="U52" s="28" t="s">
        <v>110</v>
      </c>
      <c r="V52" t="s">
        <v>77</v>
      </c>
      <c r="W52" s="29" t="s">
        <v>111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E53" s="10"/>
      <c r="F53" s="10"/>
      <c r="G53" s="10"/>
      <c r="H53" s="10"/>
      <c r="I53" s="10"/>
      <c r="J53" s="10"/>
      <c r="K53" s="10"/>
      <c r="L53" s="14" t="s">
        <v>56</v>
      </c>
      <c r="M53" s="9" t="str">
        <f>IF(OR(L45="",L61=""),"",+IF(L45&gt;L61,K45,K61))</f>
        <v/>
      </c>
      <c r="N53" s="16"/>
      <c r="O53" s="14"/>
      <c r="T53">
        <v>49</v>
      </c>
      <c r="U53" s="28" t="s">
        <v>112</v>
      </c>
      <c r="V53" t="s">
        <v>77</v>
      </c>
      <c r="W53" s="29" t="s">
        <v>113</v>
      </c>
      <c r="Z53" s="34"/>
      <c r="AA53" s="40"/>
      <c r="AB53" s="40"/>
      <c r="AC53" s="38" t="s">
        <v>159</v>
      </c>
      <c r="AD53" s="48"/>
      <c r="AE53" s="53" t="e">
        <f>LOOKUP(AD53,T$5:T$78,U$5:U$71)</f>
        <v>#N/A</v>
      </c>
      <c r="AF53" s="37" t="s">
        <v>157</v>
      </c>
      <c r="AG53" s="65" t="e">
        <f>LOOKUP(AD53,T$5:T$78,W$5:W$71)</f>
        <v>#N/A</v>
      </c>
    </row>
    <row r="54" spans="4:33" ht="13" thickBot="1">
      <c r="D54">
        <v>24</v>
      </c>
      <c r="E54" s="10"/>
      <c r="F54" s="11"/>
      <c r="G54" s="10"/>
      <c r="H54" s="10"/>
      <c r="I54" s="10"/>
      <c r="J54" s="10"/>
      <c r="K54" s="10"/>
      <c r="L54" s="14"/>
      <c r="M54" s="10"/>
      <c r="N54" s="10"/>
      <c r="O54" s="14"/>
      <c r="T54">
        <v>50</v>
      </c>
      <c r="U54" s="28" t="s">
        <v>114</v>
      </c>
      <c r="V54" t="s">
        <v>77</v>
      </c>
      <c r="W54" s="29" t="s">
        <v>115</v>
      </c>
      <c r="Z54" s="34"/>
      <c r="AA54" s="40"/>
      <c r="AB54" s="40"/>
      <c r="AC54" s="38" t="s">
        <v>159</v>
      </c>
      <c r="AD54" s="48"/>
      <c r="AE54" s="53" t="e">
        <f>LOOKUP(AD54,T$5:T$78,U$5:U$71)</f>
        <v>#N/A</v>
      </c>
      <c r="AF54" s="37" t="s">
        <v>157</v>
      </c>
      <c r="AG54" s="65" t="e">
        <f>LOOKUP(AD54,T$5:T$78,W$5:W$71)</f>
        <v>#N/A</v>
      </c>
    </row>
    <row r="55" spans="4:33" ht="13" thickBot="1">
      <c r="E55" s="12"/>
      <c r="F55" s="13" t="s">
        <v>12</v>
      </c>
      <c r="G55" s="9" t="str">
        <f>IF(OR(F54="",F56=""),"",+IF(F54&gt;F56,E54,E56))</f>
        <v/>
      </c>
      <c r="H55" s="17"/>
      <c r="I55" s="10"/>
      <c r="J55" s="10"/>
      <c r="K55" s="10"/>
      <c r="L55" s="14"/>
      <c r="M55" s="10"/>
      <c r="N55" s="10"/>
      <c r="O55" s="14"/>
      <c r="T55">
        <v>51</v>
      </c>
      <c r="U55" s="28" t="s">
        <v>116</v>
      </c>
      <c r="V55" t="s">
        <v>77</v>
      </c>
      <c r="W55" s="29" t="s">
        <v>117</v>
      </c>
      <c r="Z55" s="34"/>
      <c r="AA55" s="40"/>
      <c r="AB55" s="40"/>
      <c r="AC55" s="38" t="s">
        <v>159</v>
      </c>
      <c r="AD55" s="48"/>
      <c r="AE55" s="53" t="e">
        <f>LOOKUP(AD55,T$5:T$78,U$5:U$71)</f>
        <v>#N/A</v>
      </c>
      <c r="AF55" s="37" t="s">
        <v>157</v>
      </c>
      <c r="AG55" s="65" t="e">
        <f>LOOKUP(AD55,T$5:T$78,W$5:W$71)</f>
        <v>#N/A</v>
      </c>
    </row>
    <row r="56" spans="4:33" ht="13" thickBot="1">
      <c r="D56">
        <v>25</v>
      </c>
      <c r="E56" s="10"/>
      <c r="F56" s="16"/>
      <c r="G56" s="10"/>
      <c r="H56" s="14"/>
      <c r="I56" s="10"/>
      <c r="J56" s="10"/>
      <c r="K56" s="10"/>
      <c r="L56" s="14"/>
      <c r="M56" s="10"/>
      <c r="N56" s="10"/>
      <c r="O56" s="14"/>
      <c r="T56">
        <v>52</v>
      </c>
      <c r="U56" s="28" t="s">
        <v>118</v>
      </c>
      <c r="V56" t="s">
        <v>77</v>
      </c>
      <c r="W56" s="29" t="s">
        <v>119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E57" s="12"/>
      <c r="F57" s="10"/>
      <c r="G57" s="10"/>
      <c r="H57" s="14"/>
      <c r="I57" s="9" t="str">
        <f>IF(OR(H55="",H59=""),"",+IF(H55&gt;H59,G55,G59))</f>
        <v/>
      </c>
      <c r="J57" s="17"/>
      <c r="K57" s="10"/>
      <c r="L57" s="14"/>
      <c r="M57" s="10"/>
      <c r="N57" s="10"/>
      <c r="O57" s="14"/>
      <c r="T57">
        <v>53</v>
      </c>
      <c r="U57" s="28" t="s">
        <v>120</v>
      </c>
      <c r="V57" t="s">
        <v>77</v>
      </c>
      <c r="W57" s="29" t="s">
        <v>121</v>
      </c>
    </row>
    <row r="58" spans="4:33" ht="13" thickBot="1">
      <c r="D58">
        <v>26</v>
      </c>
      <c r="E58" s="10"/>
      <c r="F58" s="11"/>
      <c r="G58" s="10"/>
      <c r="H58" s="14" t="s">
        <v>37</v>
      </c>
      <c r="I58" s="10"/>
      <c r="J58" s="13"/>
      <c r="K58" s="10"/>
      <c r="L58" s="14"/>
      <c r="M58" s="10"/>
      <c r="N58" s="10"/>
      <c r="O58" s="14"/>
      <c r="T58">
        <v>54</v>
      </c>
      <c r="U58" s="28" t="s">
        <v>122</v>
      </c>
      <c r="V58" t="s">
        <v>77</v>
      </c>
      <c r="W58" s="29" t="s">
        <v>123</v>
      </c>
    </row>
    <row r="59" spans="4:33" ht="13" thickBot="1">
      <c r="E59" s="12"/>
      <c r="F59" s="13" t="s">
        <v>13</v>
      </c>
      <c r="G59" s="9" t="str">
        <f>IF(OR(F58="",F60=""),"",+IF(F58&gt;F60,E58,E60))</f>
        <v/>
      </c>
      <c r="H59" s="16"/>
      <c r="I59" s="10"/>
      <c r="J59" s="14"/>
      <c r="K59" s="10"/>
      <c r="L59" s="14"/>
      <c r="M59" s="10"/>
      <c r="N59" s="10"/>
      <c r="O59" s="14"/>
      <c r="T59">
        <v>55</v>
      </c>
      <c r="U59" s="28" t="s">
        <v>124</v>
      </c>
      <c r="V59" t="s">
        <v>77</v>
      </c>
      <c r="W59" s="29" t="s">
        <v>125</v>
      </c>
    </row>
    <row r="60" spans="4:33" ht="13" thickBot="1">
      <c r="D60">
        <v>27</v>
      </c>
      <c r="E60" s="10"/>
      <c r="F60" s="16"/>
      <c r="G60" s="10"/>
      <c r="H60" s="10"/>
      <c r="I60" s="10"/>
      <c r="J60" s="14"/>
      <c r="K60" s="10"/>
      <c r="L60" s="14"/>
      <c r="M60" s="10"/>
      <c r="N60" s="10"/>
      <c r="O60" s="14"/>
      <c r="T60">
        <v>56</v>
      </c>
      <c r="U60" s="28" t="s">
        <v>126</v>
      </c>
      <c r="V60" t="s">
        <v>77</v>
      </c>
      <c r="W60" s="29" t="s">
        <v>127</v>
      </c>
    </row>
    <row r="61" spans="4:33" ht="13" thickBot="1">
      <c r="E61" s="12"/>
      <c r="F61" s="10"/>
      <c r="G61" s="10"/>
      <c r="H61" s="10"/>
      <c r="I61" s="10"/>
      <c r="J61" s="14" t="s">
        <v>50</v>
      </c>
      <c r="K61" s="9" t="str">
        <f>IF(OR(J57="",J65=""),"",+IF(J57&gt;J65,I57,I65))</f>
        <v/>
      </c>
      <c r="L61" s="16"/>
      <c r="M61" s="10"/>
      <c r="N61" s="10"/>
      <c r="O61" s="14"/>
      <c r="T61">
        <v>57</v>
      </c>
      <c r="U61" s="28" t="s">
        <v>130</v>
      </c>
      <c r="V61" t="s">
        <v>77</v>
      </c>
      <c r="W61" s="29" t="s">
        <v>128</v>
      </c>
    </row>
    <row r="62" spans="4:33" ht="13" thickBot="1">
      <c r="D62">
        <v>28</v>
      </c>
      <c r="E62" s="10"/>
      <c r="F62" s="11"/>
      <c r="G62" s="10"/>
      <c r="H62" s="10"/>
      <c r="I62" s="10"/>
      <c r="J62" s="14"/>
      <c r="K62" s="10"/>
      <c r="L62" s="10"/>
      <c r="M62" s="10"/>
      <c r="N62" s="10"/>
      <c r="O62" s="14"/>
      <c r="T62">
        <v>58</v>
      </c>
      <c r="U62" s="28" t="s">
        <v>129</v>
      </c>
      <c r="V62" t="s">
        <v>77</v>
      </c>
      <c r="W62" s="29" t="s">
        <v>131</v>
      </c>
    </row>
    <row r="63" spans="4:33" ht="13" thickBot="1">
      <c r="E63" s="12"/>
      <c r="F63" s="13" t="s">
        <v>14</v>
      </c>
      <c r="G63" s="9" t="str">
        <f>IF(OR(F62="",F64=""),"",+IF(F62&gt;F64,E62,E64))</f>
        <v/>
      </c>
      <c r="H63" s="17"/>
      <c r="I63" s="10"/>
      <c r="J63" s="14"/>
      <c r="K63" s="10"/>
      <c r="L63" s="10"/>
      <c r="M63" s="10"/>
      <c r="N63" s="10"/>
      <c r="O63" s="14"/>
      <c r="T63">
        <v>59</v>
      </c>
      <c r="U63" s="28" t="s">
        <v>132</v>
      </c>
      <c r="V63" t="s">
        <v>77</v>
      </c>
      <c r="W63" s="29" t="s">
        <v>133</v>
      </c>
    </row>
    <row r="64" spans="4:33" ht="13" thickBot="1">
      <c r="D64">
        <v>29</v>
      </c>
      <c r="E64" s="10"/>
      <c r="F64" s="16"/>
      <c r="G64" s="10"/>
      <c r="H64" s="14"/>
      <c r="I64" s="10"/>
      <c r="J64" s="14"/>
      <c r="K64" s="10"/>
      <c r="L64" s="10"/>
      <c r="M64" s="10"/>
      <c r="N64" s="10"/>
      <c r="O64" s="14"/>
      <c r="T64">
        <v>60</v>
      </c>
      <c r="U64" s="28" t="s">
        <v>134</v>
      </c>
      <c r="V64" t="s">
        <v>77</v>
      </c>
      <c r="W64" s="29" t="s">
        <v>135</v>
      </c>
    </row>
    <row r="65" spans="4:26" ht="13" thickBot="1">
      <c r="E65" s="12"/>
      <c r="F65" s="10"/>
      <c r="G65" s="10"/>
      <c r="H65" s="14" t="s">
        <v>38</v>
      </c>
      <c r="I65" s="9" t="str">
        <f>IF(OR(H63="",H67=""),"",+IF(H63&gt;H67,G63,G67))</f>
        <v/>
      </c>
      <c r="J65" s="16"/>
      <c r="K65" s="10"/>
      <c r="L65" s="10"/>
      <c r="M65" s="10"/>
      <c r="N65" s="10"/>
      <c r="O65" s="14"/>
      <c r="T65">
        <v>61</v>
      </c>
      <c r="U65" s="28" t="s">
        <v>136</v>
      </c>
      <c r="V65" t="s">
        <v>77</v>
      </c>
      <c r="W65" s="29" t="s">
        <v>137</v>
      </c>
    </row>
    <row r="66" spans="4:26" ht="13" thickBot="1">
      <c r="D66">
        <v>30</v>
      </c>
      <c r="E66" s="25"/>
      <c r="F66" s="11"/>
      <c r="G66" s="10"/>
      <c r="H66" s="14"/>
      <c r="I66" s="10"/>
      <c r="J66" s="10"/>
      <c r="K66" s="10"/>
      <c r="L66" s="10"/>
      <c r="M66" s="10"/>
      <c r="N66" s="10"/>
      <c r="O66" s="14"/>
    </row>
    <row r="67" spans="4:26" ht="13" thickBot="1">
      <c r="E67" s="12"/>
      <c r="F67" s="13" t="s">
        <v>15</v>
      </c>
      <c r="G67" s="9" t="str">
        <f>IF(OR(F66="",F68=""),"",+IF(F66&gt;F68,E66,E68))</f>
        <v/>
      </c>
      <c r="H67" s="16"/>
      <c r="I67" s="10"/>
      <c r="J67" s="10"/>
      <c r="K67" s="10"/>
      <c r="L67" s="10"/>
      <c r="M67" s="10"/>
      <c r="N67" s="10"/>
      <c r="O67" s="14"/>
    </row>
    <row r="68" spans="4:26" ht="13" thickBot="1">
      <c r="D68">
        <v>31</v>
      </c>
      <c r="E68" s="9"/>
      <c r="F68" s="16"/>
      <c r="G68" s="10"/>
      <c r="H68" s="10"/>
      <c r="I68" s="10"/>
      <c r="J68" s="10"/>
      <c r="K68" s="10"/>
      <c r="L68" s="10"/>
      <c r="M68" s="10"/>
      <c r="N68" s="10"/>
      <c r="O68" s="14"/>
      <c r="Z68" s="29"/>
    </row>
    <row r="69" spans="4:26">
      <c r="O69" s="6"/>
      <c r="Z69" s="29"/>
    </row>
    <row r="70" spans="4:26">
      <c r="O70" s="6"/>
      <c r="Z70" s="29"/>
    </row>
    <row r="71" spans="4:26" ht="13" thickBot="1">
      <c r="D71">
        <v>32</v>
      </c>
      <c r="E71" s="10"/>
      <c r="F71" s="9"/>
      <c r="G71" s="9">
        <f>E71</f>
        <v>0</v>
      </c>
      <c r="H71" s="11"/>
      <c r="I71" s="10"/>
      <c r="J71" s="10"/>
      <c r="K71" s="10"/>
      <c r="L71" s="10"/>
      <c r="M71" s="10"/>
      <c r="N71" s="10"/>
      <c r="O71" s="68" t="s">
        <v>61</v>
      </c>
      <c r="P71" s="27"/>
      <c r="Q71" s="7"/>
      <c r="Z71" s="29"/>
    </row>
    <row r="72" spans="4:26">
      <c r="E72" s="12"/>
      <c r="F72" s="10"/>
      <c r="G72" s="10"/>
      <c r="H72" s="13"/>
      <c r="I72" s="10"/>
      <c r="J72" s="10"/>
      <c r="K72" s="10"/>
      <c r="L72" s="10"/>
      <c r="M72" s="10"/>
      <c r="N72" s="10"/>
      <c r="O72" s="14"/>
      <c r="Z72" s="29"/>
    </row>
    <row r="73" spans="4:26" ht="13" thickBot="1">
      <c r="E73" s="10"/>
      <c r="F73" s="10"/>
      <c r="G73" s="10"/>
      <c r="H73" s="14" t="s">
        <v>39</v>
      </c>
      <c r="I73" s="9" t="str">
        <f>IF(OR(H71="",H75=""),"",+IF(H71&gt;H75,G71,G75))</f>
        <v/>
      </c>
      <c r="J73" s="11"/>
      <c r="K73" s="10"/>
      <c r="L73" s="10"/>
      <c r="M73" s="10"/>
      <c r="N73" s="10"/>
      <c r="O73" s="14"/>
      <c r="Z73" s="29"/>
    </row>
    <row r="74" spans="4:26" ht="13" thickBot="1">
      <c r="D74">
        <v>33</v>
      </c>
      <c r="E74" s="10"/>
      <c r="F74" s="11"/>
      <c r="G74" s="10"/>
      <c r="H74" s="14"/>
      <c r="I74" s="12"/>
      <c r="J74" s="20"/>
      <c r="K74" s="10"/>
      <c r="L74" s="10"/>
      <c r="M74" s="10"/>
      <c r="N74" s="10"/>
      <c r="O74" s="14"/>
      <c r="Z74" s="29"/>
    </row>
    <row r="75" spans="4:26" ht="13" thickBot="1">
      <c r="E75" s="12"/>
      <c r="F75" s="13" t="s">
        <v>16</v>
      </c>
      <c r="G75" s="9" t="str">
        <f>IF(OR(F74="",F76=""),"",+IF(F74&gt;F76,E74,E76))</f>
        <v/>
      </c>
      <c r="H75" s="16"/>
      <c r="I75" s="10"/>
      <c r="J75" s="14"/>
      <c r="K75" s="10"/>
      <c r="L75" s="10"/>
      <c r="M75" s="10"/>
      <c r="N75" s="10"/>
      <c r="O75" s="14"/>
      <c r="Z75" s="29"/>
    </row>
    <row r="76" spans="4:26" ht="13" thickBot="1">
      <c r="D76">
        <v>34</v>
      </c>
      <c r="E76" s="9"/>
      <c r="F76" s="16"/>
      <c r="G76" s="10"/>
      <c r="H76" s="10"/>
      <c r="I76" s="10"/>
      <c r="J76" s="14"/>
      <c r="K76" s="10"/>
      <c r="L76" s="10"/>
      <c r="M76" s="10"/>
      <c r="N76" s="10"/>
      <c r="O76" s="14"/>
      <c r="Z76" s="29"/>
    </row>
    <row r="77" spans="4:26" ht="13" thickBot="1">
      <c r="E77" s="10"/>
      <c r="F77" s="10"/>
      <c r="G77" s="10"/>
      <c r="H77" s="10"/>
      <c r="I77" s="10"/>
      <c r="J77" s="14" t="s">
        <v>51</v>
      </c>
      <c r="K77" s="9" t="str">
        <f>IF(OR(J73="",J81=""),"",+IF(J73&gt;J81,I73,I81))</f>
        <v/>
      </c>
      <c r="L77" s="17"/>
      <c r="M77" s="10"/>
      <c r="N77" s="10"/>
      <c r="O77" s="14"/>
      <c r="Z77" s="29"/>
    </row>
    <row r="78" spans="4:26" ht="13" thickBot="1">
      <c r="D78">
        <v>35</v>
      </c>
      <c r="E78" s="10"/>
      <c r="F78" s="11"/>
      <c r="G78" s="10"/>
      <c r="H78" s="10"/>
      <c r="I78" s="10"/>
      <c r="J78" s="14"/>
      <c r="K78" s="10"/>
      <c r="L78" s="13"/>
      <c r="M78" s="10"/>
      <c r="N78" s="10"/>
      <c r="O78" s="14"/>
      <c r="Z78" s="29"/>
    </row>
    <row r="79" spans="4:26" ht="13" thickBot="1">
      <c r="E79" s="12"/>
      <c r="F79" s="13" t="s">
        <v>17</v>
      </c>
      <c r="G79" s="9" t="str">
        <f>IF(OR(F78="",F80=""),"",+IF(F78&gt;F80,E78,E80))</f>
        <v/>
      </c>
      <c r="H79" s="17"/>
      <c r="I79" s="10"/>
      <c r="J79" s="14"/>
      <c r="K79" s="10"/>
      <c r="L79" s="14"/>
      <c r="M79" s="10"/>
      <c r="N79" s="10"/>
      <c r="O79" s="14"/>
      <c r="Z79" s="29"/>
    </row>
    <row r="80" spans="4:26" ht="13" thickBot="1">
      <c r="D80">
        <v>36</v>
      </c>
      <c r="E80" s="10"/>
      <c r="F80" s="16"/>
      <c r="G80" s="10"/>
      <c r="H80" s="14"/>
      <c r="I80" s="10"/>
      <c r="J80" s="14"/>
      <c r="K80" s="10"/>
      <c r="L80" s="14"/>
      <c r="M80" s="10"/>
      <c r="N80" s="10"/>
      <c r="O80" s="14"/>
      <c r="Z80" s="29"/>
    </row>
    <row r="81" spans="4:26" ht="13" thickBot="1">
      <c r="E81" s="12"/>
      <c r="F81" s="10"/>
      <c r="G81" s="10"/>
      <c r="H81" s="14" t="s">
        <v>40</v>
      </c>
      <c r="I81" s="9" t="str">
        <f>IF(OR(H79="",H83=""),"",+IF(H79&gt;H83,G79,G83))</f>
        <v/>
      </c>
      <c r="J81" s="16"/>
      <c r="K81" s="10"/>
      <c r="L81" s="14"/>
      <c r="M81" s="10"/>
      <c r="N81" s="10"/>
      <c r="O81" s="14"/>
      <c r="Z81" s="29"/>
    </row>
    <row r="82" spans="4:26" ht="13" thickBot="1">
      <c r="D82">
        <v>37</v>
      </c>
      <c r="E82" s="10"/>
      <c r="F82" s="11"/>
      <c r="G82" s="10"/>
      <c r="H82" s="14"/>
      <c r="I82" s="10"/>
      <c r="J82" s="10"/>
      <c r="K82" s="10"/>
      <c r="L82" s="14"/>
      <c r="M82" s="10"/>
      <c r="N82" s="10"/>
      <c r="O82" s="14"/>
      <c r="Z82" s="29"/>
    </row>
    <row r="83" spans="4:26" ht="13" thickBot="1">
      <c r="E83" s="12"/>
      <c r="F83" s="13" t="s">
        <v>18</v>
      </c>
      <c r="G83" s="9" t="str">
        <f>IF(OR(F82="",F84=""),"",+IF(F82&gt;F84,E82,E84))</f>
        <v/>
      </c>
      <c r="H83" s="16"/>
      <c r="I83" s="10"/>
      <c r="J83" s="10"/>
      <c r="K83" s="10"/>
      <c r="L83" s="14"/>
      <c r="M83" s="10"/>
      <c r="N83" s="10"/>
      <c r="O83" s="14"/>
      <c r="Z83" s="29"/>
    </row>
    <row r="84" spans="4:26" ht="13" thickBot="1">
      <c r="D84">
        <v>38</v>
      </c>
      <c r="E84" s="10"/>
      <c r="F84" s="16"/>
      <c r="G84" s="10"/>
      <c r="H84" s="10"/>
      <c r="I84" s="10"/>
      <c r="J84" s="10"/>
      <c r="K84" s="10"/>
      <c r="L84" s="14"/>
      <c r="M84" s="10"/>
      <c r="N84" s="10"/>
      <c r="O84" s="14"/>
      <c r="Z84" s="29"/>
    </row>
    <row r="85" spans="4:26" ht="13" thickBot="1">
      <c r="E85" s="12"/>
      <c r="F85" s="10"/>
      <c r="G85" s="10"/>
      <c r="H85" s="10"/>
      <c r="I85" s="10"/>
      <c r="J85" s="10"/>
      <c r="K85" s="10"/>
      <c r="L85" s="14" t="s">
        <v>57</v>
      </c>
      <c r="M85" s="9" t="str">
        <f>IF(OR(L77="",L93=""),"",+IF(L77&gt;L93,K77,K93))</f>
        <v/>
      </c>
      <c r="N85" s="17"/>
      <c r="O85" s="14"/>
      <c r="Z85" s="29"/>
    </row>
    <row r="86" spans="4:26" ht="13" thickBot="1">
      <c r="D86">
        <v>39</v>
      </c>
      <c r="E86" s="10"/>
      <c r="F86" s="11"/>
      <c r="G86" s="10"/>
      <c r="H86" s="10"/>
      <c r="I86" s="10"/>
      <c r="J86" s="10"/>
      <c r="K86" s="10"/>
      <c r="L86" s="14"/>
      <c r="M86" s="10"/>
      <c r="N86" s="14"/>
      <c r="O86" s="14"/>
      <c r="Z86" s="29"/>
    </row>
    <row r="87" spans="4:26" ht="13" thickBot="1">
      <c r="E87" s="12"/>
      <c r="F87" s="13" t="s">
        <v>19</v>
      </c>
      <c r="G87" s="9" t="str">
        <f>IF(OR(F86="",F88=""),"",+IF(F86&gt;F88,E86,E88))</f>
        <v/>
      </c>
      <c r="H87" s="17"/>
      <c r="I87" s="10"/>
      <c r="J87" s="10"/>
      <c r="K87" s="10"/>
      <c r="L87" s="14"/>
      <c r="M87" s="10"/>
      <c r="N87" s="14"/>
      <c r="O87" s="14"/>
      <c r="Z87" s="29"/>
    </row>
    <row r="88" spans="4:26" ht="13" thickBot="1">
      <c r="D88">
        <v>40</v>
      </c>
      <c r="E88" s="10"/>
      <c r="F88" s="16"/>
      <c r="G88" s="10"/>
      <c r="H88" s="14"/>
      <c r="I88" s="10"/>
      <c r="J88" s="10"/>
      <c r="K88" s="10"/>
      <c r="L88" s="14"/>
      <c r="M88" s="10"/>
      <c r="N88" s="14"/>
      <c r="O88" s="14"/>
      <c r="Z88" s="29"/>
    </row>
    <row r="89" spans="4:26" ht="13" thickBot="1">
      <c r="E89" s="12"/>
      <c r="F89" s="10"/>
      <c r="G89" s="10"/>
      <c r="H89" s="14" t="s">
        <v>41</v>
      </c>
      <c r="I89" s="9" t="str">
        <f>IF(OR(H87="",H91=""),"",+IF(H87&gt;H91,G87,G91))</f>
        <v/>
      </c>
      <c r="J89" s="17"/>
      <c r="K89" s="10"/>
      <c r="L89" s="14"/>
      <c r="M89" s="10"/>
      <c r="N89" s="14"/>
      <c r="O89" s="14"/>
      <c r="Z89" s="29"/>
    </row>
    <row r="90" spans="4:26" ht="13" thickBot="1">
      <c r="D90">
        <v>41</v>
      </c>
      <c r="E90" s="10"/>
      <c r="F90" s="11"/>
      <c r="G90" s="10"/>
      <c r="H90" s="14"/>
      <c r="I90" s="10"/>
      <c r="J90" s="13"/>
      <c r="K90" s="10"/>
      <c r="L90" s="14"/>
      <c r="M90" s="10"/>
      <c r="N90" s="14"/>
      <c r="O90" s="14"/>
    </row>
    <row r="91" spans="4:26" ht="13" thickBot="1">
      <c r="E91" s="12"/>
      <c r="F91" s="13" t="s">
        <v>20</v>
      </c>
      <c r="G91" s="9" t="str">
        <f>IF(OR(F90="",F92=""),"",+IF(F90&gt;F92,E90,E92))</f>
        <v/>
      </c>
      <c r="H91" s="16"/>
      <c r="I91" s="10"/>
      <c r="J91" s="14"/>
      <c r="K91" s="10"/>
      <c r="L91" s="14"/>
      <c r="M91" s="10"/>
      <c r="N91" s="14"/>
      <c r="O91" s="14"/>
    </row>
    <row r="92" spans="4:26" ht="13" thickBot="1">
      <c r="D92">
        <v>42</v>
      </c>
      <c r="E92" s="10"/>
      <c r="F92" s="16"/>
      <c r="G92" s="10"/>
      <c r="H92" s="10"/>
      <c r="I92" s="10"/>
      <c r="J92" s="14"/>
      <c r="K92" s="10"/>
      <c r="L92" s="14"/>
      <c r="M92" s="10"/>
      <c r="N92" s="14"/>
      <c r="O92" s="14"/>
    </row>
    <row r="93" spans="4:26" ht="13" thickBot="1">
      <c r="E93" s="12"/>
      <c r="F93" s="10"/>
      <c r="G93" s="10"/>
      <c r="H93" s="10"/>
      <c r="I93" s="10"/>
      <c r="J93" s="14" t="s">
        <v>52</v>
      </c>
      <c r="K93" s="9" t="str">
        <f>IF(OR(J89="",J97=""),"",+IF(J89&gt;J97,I89,I97))</f>
        <v/>
      </c>
      <c r="L93" s="16"/>
      <c r="M93" s="10"/>
      <c r="N93" s="14"/>
      <c r="O93" s="14"/>
    </row>
    <row r="94" spans="4:26" ht="13" thickBot="1">
      <c r="D94">
        <v>43</v>
      </c>
      <c r="E94" s="10"/>
      <c r="F94" s="11"/>
      <c r="G94" s="10"/>
      <c r="H94" s="10"/>
      <c r="I94" s="10"/>
      <c r="J94" s="14"/>
      <c r="K94" s="10"/>
      <c r="L94" s="10"/>
      <c r="M94" s="10"/>
      <c r="N94" s="14"/>
      <c r="O94" s="14"/>
    </row>
    <row r="95" spans="4:26" ht="13" thickBot="1">
      <c r="E95" s="12"/>
      <c r="F95" s="13" t="s">
        <v>21</v>
      </c>
      <c r="G95" s="9" t="str">
        <f>IF(OR(F94="",F96=""),"",+IF(F94&gt;F96,E94,E96))</f>
        <v/>
      </c>
      <c r="H95" s="17"/>
      <c r="I95" s="10"/>
      <c r="J95" s="14"/>
      <c r="K95" s="10"/>
      <c r="L95" s="10"/>
      <c r="M95" s="10"/>
      <c r="N95" s="14"/>
      <c r="O95" s="14"/>
    </row>
    <row r="96" spans="4:26" ht="13" thickBot="1">
      <c r="D96">
        <v>44</v>
      </c>
      <c r="E96" s="10"/>
      <c r="F96" s="16"/>
      <c r="G96" s="10"/>
      <c r="H96" s="14"/>
      <c r="I96" s="10"/>
      <c r="J96" s="14"/>
      <c r="K96" s="10"/>
      <c r="L96" s="10"/>
      <c r="M96" s="10"/>
      <c r="N96" s="14"/>
      <c r="O96" s="14"/>
    </row>
    <row r="97" spans="4:15" ht="13" thickBot="1">
      <c r="E97" s="12"/>
      <c r="F97" s="10"/>
      <c r="G97" s="10"/>
      <c r="H97" s="14" t="s">
        <v>42</v>
      </c>
      <c r="I97" s="9" t="str">
        <f>IF(OR(H95="",H99=""),"",+IF(H95&gt;H99,G95,G99))</f>
        <v/>
      </c>
      <c r="J97" s="16"/>
      <c r="K97" s="10"/>
      <c r="L97" s="10"/>
      <c r="M97" s="10"/>
      <c r="N97" s="14"/>
      <c r="O97" s="14"/>
    </row>
    <row r="98" spans="4:15" ht="13" thickBot="1">
      <c r="D98">
        <v>45</v>
      </c>
      <c r="E98" s="10"/>
      <c r="F98" s="11"/>
      <c r="G98" s="10"/>
      <c r="H98" s="14"/>
      <c r="I98" s="10"/>
      <c r="J98" s="10"/>
      <c r="K98" s="10"/>
      <c r="L98" s="10"/>
      <c r="M98" s="10"/>
      <c r="N98" s="14"/>
      <c r="O98" s="14"/>
    </row>
    <row r="99" spans="4:15" ht="13" thickBot="1">
      <c r="E99" s="12"/>
      <c r="F99" s="13" t="s">
        <v>22</v>
      </c>
      <c r="G99" s="9" t="str">
        <f>IF(OR(F98="",F100=""),"",+IF(F98&gt;F100,E98,E100))</f>
        <v/>
      </c>
      <c r="H99" s="16"/>
      <c r="I99" s="10"/>
      <c r="J99" s="10"/>
      <c r="K99" s="10"/>
      <c r="L99" s="10"/>
      <c r="M99" s="10"/>
      <c r="N99" s="14"/>
      <c r="O99" s="14"/>
    </row>
    <row r="100" spans="4:15" ht="13" thickBot="1">
      <c r="D100">
        <v>46</v>
      </c>
      <c r="E100" s="9"/>
      <c r="F100" s="16"/>
      <c r="G100" s="10"/>
      <c r="H100" s="10"/>
      <c r="I100" s="10"/>
      <c r="J100" s="10"/>
      <c r="K100" s="10"/>
      <c r="L100" s="10"/>
      <c r="M100" s="10"/>
      <c r="N100" s="14"/>
      <c r="O100" s="14"/>
    </row>
    <row r="101" spans="4:15" ht="13" thickBot="1">
      <c r="E101" s="10"/>
      <c r="F101" s="10"/>
      <c r="G101" s="10"/>
      <c r="H101" s="10"/>
      <c r="I101" s="10"/>
      <c r="J101" s="10"/>
      <c r="K101" s="10"/>
      <c r="L101" s="10"/>
      <c r="M101" s="10"/>
      <c r="N101" s="14" t="s">
        <v>60</v>
      </c>
      <c r="O101" s="67" t="str">
        <f>IF(OR(N85="",N117=""),"",+IF(N85&gt;N117,M85,M117))</f>
        <v/>
      </c>
    </row>
    <row r="102" spans="4:15" ht="13" thickBot="1">
      <c r="D102">
        <v>47</v>
      </c>
      <c r="E102" s="10"/>
      <c r="F102" s="11"/>
      <c r="G102" s="10"/>
      <c r="H102" s="10"/>
      <c r="I102" s="10"/>
      <c r="J102" s="10"/>
      <c r="K102" s="10"/>
      <c r="L102" s="10"/>
      <c r="M102" s="10"/>
      <c r="N102" s="14"/>
      <c r="O102" s="10"/>
    </row>
    <row r="103" spans="4:15" ht="13" thickBot="1">
      <c r="E103" s="12"/>
      <c r="F103" s="13" t="s">
        <v>23</v>
      </c>
      <c r="G103" s="9" t="str">
        <f>IF(OR(F102="",F104=""),"",+IF(F102&gt;F104,E102,E104))</f>
        <v/>
      </c>
      <c r="H103" s="17"/>
      <c r="I103" s="10"/>
      <c r="J103" s="10"/>
      <c r="K103" s="10"/>
      <c r="L103" s="10"/>
      <c r="M103" s="10"/>
      <c r="N103" s="14"/>
      <c r="O103" s="10"/>
    </row>
    <row r="104" spans="4:15" ht="13" thickBot="1">
      <c r="D104">
        <v>48</v>
      </c>
      <c r="E104" s="10"/>
      <c r="F104" s="16"/>
      <c r="G104" s="10"/>
      <c r="H104" s="14"/>
      <c r="I104" s="10"/>
      <c r="J104" s="10"/>
      <c r="K104" s="10"/>
      <c r="L104" s="10"/>
      <c r="M104" s="10"/>
      <c r="N104" s="14"/>
      <c r="O104" s="10"/>
    </row>
    <row r="105" spans="4:15" ht="13" thickBot="1">
      <c r="E105" s="12"/>
      <c r="F105" s="10"/>
      <c r="G105" s="10"/>
      <c r="H105" s="14" t="s">
        <v>43</v>
      </c>
      <c r="I105" s="9" t="str">
        <f>IF(OR(H103="",H107=""),"",+IF(H103&gt;H107,G103,G107))</f>
        <v/>
      </c>
      <c r="J105" s="17"/>
      <c r="K105" s="10"/>
      <c r="L105" s="10"/>
      <c r="M105" s="10"/>
      <c r="N105" s="14"/>
      <c r="O105" s="10"/>
    </row>
    <row r="106" spans="4:15" ht="13" thickBot="1">
      <c r="D106">
        <v>49</v>
      </c>
      <c r="E106" s="10"/>
      <c r="F106" s="11"/>
      <c r="G106" s="10"/>
      <c r="H106" s="14"/>
      <c r="I106" s="10"/>
      <c r="J106" s="13"/>
      <c r="K106" s="10"/>
      <c r="L106" s="10"/>
      <c r="M106" s="10"/>
      <c r="N106" s="14"/>
      <c r="O106" s="10"/>
    </row>
    <row r="107" spans="4:15" ht="13" thickBot="1">
      <c r="E107" s="12"/>
      <c r="F107" s="13" t="s">
        <v>24</v>
      </c>
      <c r="G107" s="9" t="str">
        <f>IF(OR(F106="",F108=""),"",+IF(F106&gt;F108,E106,E108))</f>
        <v/>
      </c>
      <c r="H107" s="16"/>
      <c r="I107" s="10"/>
      <c r="J107" s="14"/>
      <c r="K107" s="10"/>
      <c r="L107" s="10"/>
      <c r="M107" s="10"/>
      <c r="N107" s="14"/>
      <c r="O107" s="10"/>
    </row>
    <row r="108" spans="4:15" ht="13" thickBot="1">
      <c r="D108">
        <v>50</v>
      </c>
      <c r="E108" s="10"/>
      <c r="F108" s="16"/>
      <c r="G108" s="10"/>
      <c r="H108" s="10"/>
      <c r="I108" s="10"/>
      <c r="J108" s="14"/>
      <c r="K108" s="10"/>
      <c r="L108" s="10"/>
      <c r="M108" s="10"/>
      <c r="N108" s="14"/>
      <c r="O108" s="10"/>
    </row>
    <row r="109" spans="4:15" ht="13" thickBot="1">
      <c r="E109" s="12"/>
      <c r="F109" s="10"/>
      <c r="G109" s="10"/>
      <c r="H109" s="10"/>
      <c r="I109" s="10"/>
      <c r="J109" s="14" t="s">
        <v>53</v>
      </c>
      <c r="K109" s="9" t="str">
        <f>IF(OR(J105="",J113=""),"",+IF(J105&gt;J113,I105,I113))</f>
        <v/>
      </c>
      <c r="L109" s="17"/>
      <c r="M109" s="10"/>
      <c r="N109" s="14"/>
      <c r="O109" s="10"/>
    </row>
    <row r="110" spans="4:15" ht="13" thickBot="1">
      <c r="D110">
        <v>51</v>
      </c>
      <c r="E110" s="10"/>
      <c r="F110" s="11"/>
      <c r="G110" s="10"/>
      <c r="H110" s="10"/>
      <c r="I110" s="10"/>
      <c r="J110" s="14"/>
      <c r="K110" s="10"/>
      <c r="L110" s="13"/>
      <c r="M110" s="10"/>
      <c r="N110" s="14"/>
      <c r="O110" s="10"/>
    </row>
    <row r="111" spans="4:15" ht="13" thickBot="1">
      <c r="E111" s="12"/>
      <c r="F111" s="13" t="s">
        <v>25</v>
      </c>
      <c r="G111" s="9" t="str">
        <f>IF(OR(F110="",F112=""),"",+IF(F110&gt;F112,E110,E112))</f>
        <v/>
      </c>
      <c r="H111" s="17"/>
      <c r="I111" s="10"/>
      <c r="J111" s="14"/>
      <c r="K111" s="10"/>
      <c r="L111" s="14"/>
      <c r="M111" s="10"/>
      <c r="N111" s="14"/>
      <c r="O111" s="10"/>
    </row>
    <row r="112" spans="4:15" ht="13" thickBot="1">
      <c r="D112">
        <v>52</v>
      </c>
      <c r="E112" s="10"/>
      <c r="F112" s="16"/>
      <c r="G112" s="10"/>
      <c r="H112" s="14"/>
      <c r="I112" s="10"/>
      <c r="J112" s="14"/>
      <c r="K112" s="10"/>
      <c r="L112" s="14"/>
      <c r="M112" s="10"/>
      <c r="N112" s="14"/>
      <c r="O112" s="10"/>
    </row>
    <row r="113" spans="4:15" ht="13" thickBot="1">
      <c r="E113" s="12"/>
      <c r="F113" s="10"/>
      <c r="G113" s="10"/>
      <c r="H113" s="14" t="s">
        <v>44</v>
      </c>
      <c r="I113" s="9" t="str">
        <f>IF(OR(H111="",H115=""),"",+IF(H111&gt;H115,G111,G115))</f>
        <v/>
      </c>
      <c r="J113" s="16"/>
      <c r="K113" s="10"/>
      <c r="L113" s="14"/>
      <c r="M113" s="10"/>
      <c r="N113" s="14"/>
      <c r="O113" s="10"/>
    </row>
    <row r="114" spans="4:15" ht="13" thickBot="1">
      <c r="D114">
        <v>53</v>
      </c>
      <c r="E114" s="10"/>
      <c r="F114" s="11"/>
      <c r="G114" s="10"/>
      <c r="H114" s="14"/>
      <c r="I114" s="10"/>
      <c r="J114" s="10"/>
      <c r="K114" s="10"/>
      <c r="L114" s="14"/>
      <c r="M114" s="10"/>
      <c r="N114" s="14"/>
      <c r="O114" s="10"/>
    </row>
    <row r="115" spans="4:15" ht="13" thickBot="1">
      <c r="E115" s="12"/>
      <c r="F115" s="13" t="s">
        <v>26</v>
      </c>
      <c r="G115" s="9" t="str">
        <f>IF(OR(F114="",F116=""),"",+IF(F114&gt;F116,E114,E116))</f>
        <v/>
      </c>
      <c r="H115" s="16"/>
      <c r="I115" s="10"/>
      <c r="J115" s="10"/>
      <c r="K115" s="10"/>
      <c r="L115" s="14"/>
      <c r="M115" s="10"/>
      <c r="N115" s="14"/>
      <c r="O115" s="10"/>
    </row>
    <row r="116" spans="4:15" ht="13" thickBot="1">
      <c r="D116">
        <v>54</v>
      </c>
      <c r="E116" s="9"/>
      <c r="F116" s="26"/>
      <c r="G116" s="10"/>
      <c r="H116" s="10"/>
      <c r="I116" s="10"/>
      <c r="J116" s="10"/>
      <c r="K116" s="10"/>
      <c r="L116" s="14"/>
      <c r="M116" s="10"/>
      <c r="N116" s="14"/>
      <c r="O116" s="10"/>
    </row>
    <row r="117" spans="4:15" ht="13" thickBot="1">
      <c r="E117" s="10"/>
      <c r="F117" s="10"/>
      <c r="G117" s="10"/>
      <c r="H117" s="10"/>
      <c r="I117" s="10"/>
      <c r="J117" s="10"/>
      <c r="K117" s="10"/>
      <c r="L117" s="14" t="s">
        <v>58</v>
      </c>
      <c r="M117" s="9" t="str">
        <f>IF(OR(L109="",L125=""),"",+IF(L109&gt;L125,K109,K125))</f>
        <v/>
      </c>
      <c r="N117" s="16"/>
      <c r="O117" s="10"/>
    </row>
    <row r="118" spans="4:15" ht="13" thickBot="1">
      <c r="D118">
        <v>55</v>
      </c>
      <c r="E118" s="10"/>
      <c r="F118" s="11"/>
      <c r="G118" s="10"/>
      <c r="H118" s="10"/>
      <c r="I118" s="10"/>
      <c r="J118" s="10"/>
      <c r="K118" s="10"/>
      <c r="L118" s="14"/>
      <c r="M118" s="10"/>
      <c r="N118" s="10"/>
      <c r="O118" s="10"/>
    </row>
    <row r="119" spans="4:15" ht="13" thickBot="1">
      <c r="E119" s="12"/>
      <c r="F119" s="13" t="s">
        <v>27</v>
      </c>
      <c r="G119" s="9" t="str">
        <f>IF(OR(F118="",F120=""),"",+IF(F118&gt;F120,E118,E120))</f>
        <v/>
      </c>
      <c r="H119" s="17"/>
      <c r="I119" s="10"/>
      <c r="J119" s="10"/>
      <c r="K119" s="10"/>
      <c r="L119" s="14"/>
      <c r="M119" s="10"/>
      <c r="N119" s="10"/>
      <c r="O119" s="10"/>
    </row>
    <row r="120" spans="4:15" ht="13" thickBot="1">
      <c r="D120">
        <v>56</v>
      </c>
      <c r="E120" s="10"/>
      <c r="F120" s="16"/>
      <c r="G120" s="10"/>
      <c r="H120" s="14"/>
      <c r="I120" s="10"/>
      <c r="J120" s="10"/>
      <c r="K120" s="10"/>
      <c r="L120" s="14"/>
      <c r="M120" s="10"/>
      <c r="N120" s="10"/>
      <c r="O120" s="10"/>
    </row>
    <row r="121" spans="4:15" ht="13" thickBot="1">
      <c r="E121" s="12"/>
      <c r="F121" s="10"/>
      <c r="G121" s="10"/>
      <c r="H121" s="14" t="s">
        <v>45</v>
      </c>
      <c r="I121" s="9" t="str">
        <f>IF(OR(H119="",H123=""),"",+IF(H119&gt;H123,G119,G123))</f>
        <v/>
      </c>
      <c r="J121" s="17"/>
      <c r="K121" s="10"/>
      <c r="L121" s="14"/>
      <c r="M121" s="10"/>
      <c r="N121" s="10"/>
      <c r="O121" s="10"/>
    </row>
    <row r="122" spans="4:15" ht="13" thickBot="1">
      <c r="D122">
        <v>57</v>
      </c>
      <c r="E122" s="10"/>
      <c r="F122" s="11"/>
      <c r="G122" s="10"/>
      <c r="H122" s="14"/>
      <c r="I122" s="10"/>
      <c r="J122" s="13"/>
      <c r="K122" s="10"/>
      <c r="L122" s="14"/>
      <c r="M122" s="10"/>
      <c r="N122" s="10"/>
      <c r="O122" s="10"/>
    </row>
    <row r="123" spans="4:15" ht="13" thickBot="1">
      <c r="E123" s="12"/>
      <c r="F123" s="13" t="s">
        <v>28</v>
      </c>
      <c r="G123" s="9" t="str">
        <f>IF(OR(F122="",F124=""),"",+IF(F122&gt;F124,E122,E124))</f>
        <v/>
      </c>
      <c r="H123" s="16"/>
      <c r="I123" s="10"/>
      <c r="J123" s="14"/>
      <c r="K123" s="10"/>
      <c r="L123" s="14"/>
      <c r="M123" s="10"/>
      <c r="N123" s="10"/>
      <c r="O123" s="10"/>
    </row>
    <row r="124" spans="4:15" ht="13" thickBot="1">
      <c r="D124">
        <v>58</v>
      </c>
      <c r="E124" s="10"/>
      <c r="F124" s="16"/>
      <c r="G124" s="10"/>
      <c r="H124" s="10"/>
      <c r="I124" s="10"/>
      <c r="J124" s="14"/>
      <c r="K124" s="10"/>
      <c r="L124" s="14"/>
      <c r="M124" s="10"/>
      <c r="N124" s="10"/>
      <c r="O124" s="10"/>
    </row>
    <row r="125" spans="4:15" ht="13" thickBot="1">
      <c r="E125" s="12"/>
      <c r="F125" s="10"/>
      <c r="G125" s="10"/>
      <c r="H125" s="10"/>
      <c r="I125" s="10"/>
      <c r="J125" s="14" t="s">
        <v>54</v>
      </c>
      <c r="K125" s="9" t="str">
        <f>IF(OR(J121="",J129=""),"",+IF(J121&gt;J129,I121,I129))</f>
        <v/>
      </c>
      <c r="L125" s="16"/>
      <c r="M125" s="10"/>
      <c r="N125" s="10"/>
      <c r="O125" s="10"/>
    </row>
    <row r="126" spans="4:15" ht="13" thickBot="1">
      <c r="D126">
        <v>59</v>
      </c>
      <c r="E126" s="10"/>
      <c r="F126" s="11"/>
      <c r="G126" s="10"/>
      <c r="H126" s="10"/>
      <c r="I126" s="10"/>
      <c r="J126" s="14"/>
      <c r="K126" s="10"/>
      <c r="L126" s="10"/>
      <c r="M126" s="10"/>
      <c r="N126" s="10"/>
      <c r="O126" s="10"/>
    </row>
    <row r="127" spans="4:15" ht="13" thickBot="1">
      <c r="E127" s="12"/>
      <c r="F127" s="13" t="s">
        <v>29</v>
      </c>
      <c r="G127" s="9" t="str">
        <f>IF(OR(F126="",F128=""),"",+IF(F126&gt;F128,E126,E128))</f>
        <v/>
      </c>
      <c r="H127" s="17"/>
      <c r="I127" s="10"/>
      <c r="J127" s="14"/>
      <c r="K127" s="10"/>
      <c r="L127" s="10"/>
      <c r="M127" s="10"/>
      <c r="N127" s="10"/>
      <c r="O127" s="10"/>
    </row>
    <row r="128" spans="4:15" ht="13" thickBot="1">
      <c r="D128">
        <v>60</v>
      </c>
      <c r="E128" s="10"/>
      <c r="F128" s="16"/>
      <c r="G128" s="10"/>
      <c r="H128" s="14"/>
      <c r="I128" s="10"/>
      <c r="J128" s="14"/>
      <c r="K128" s="10"/>
      <c r="L128" s="10"/>
      <c r="M128" s="10"/>
      <c r="N128" s="10"/>
      <c r="O128" s="10"/>
    </row>
    <row r="129" spans="4:15" ht="13" thickBot="1">
      <c r="E129" s="12"/>
      <c r="F129" s="10"/>
      <c r="G129" s="10"/>
      <c r="H129" s="14" t="s">
        <v>46</v>
      </c>
      <c r="I129" s="9" t="str">
        <f>IF(OR(H127="",H131=""),"",+IF(H127&gt;H131,G127,G131))</f>
        <v/>
      </c>
      <c r="J129" s="16"/>
      <c r="K129" s="10"/>
      <c r="L129" s="10"/>
      <c r="M129" s="10"/>
      <c r="N129" s="10"/>
      <c r="O129" s="10"/>
    </row>
    <row r="130" spans="4:15" ht="13" thickBot="1">
      <c r="D130">
        <v>61</v>
      </c>
      <c r="E130" s="10"/>
      <c r="F130" s="11"/>
      <c r="G130" s="10"/>
      <c r="H130" s="14"/>
      <c r="I130" s="10"/>
      <c r="J130" s="10"/>
      <c r="K130" s="10"/>
      <c r="L130" s="10"/>
      <c r="M130" s="10"/>
      <c r="N130" s="10"/>
      <c r="O130" s="10"/>
    </row>
    <row r="131" spans="4:15" ht="13" thickBot="1">
      <c r="E131" s="12"/>
      <c r="F131" s="13" t="s">
        <v>30</v>
      </c>
      <c r="G131" s="9" t="str">
        <f>IF(OR(F130="",F132=""),"",+IF(F130&gt;F132,E130,E132))</f>
        <v/>
      </c>
      <c r="H131" s="16"/>
      <c r="I131" s="10"/>
      <c r="J131" s="10"/>
      <c r="K131" s="10"/>
      <c r="L131" s="10"/>
      <c r="M131" s="10"/>
      <c r="N131" s="10"/>
      <c r="O131" s="10"/>
    </row>
    <row r="132" spans="4:15" ht="13" thickBot="1">
      <c r="D132">
        <v>62</v>
      </c>
      <c r="E132" s="9"/>
      <c r="F132" s="16"/>
      <c r="G132" s="10"/>
      <c r="H132" s="10"/>
      <c r="I132" s="10"/>
      <c r="J132" s="10"/>
      <c r="K132" s="10"/>
      <c r="L132" s="10"/>
      <c r="M132" s="10"/>
      <c r="N132" s="10"/>
      <c r="O132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150" verticalDpi="15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63"/>
  <dimension ref="D4:AG131"/>
  <sheetViews>
    <sheetView showGridLines="0" topLeftCell="A21" zoomScale="50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64453125" customWidth="1"/>
    <col min="13" max="13" width="15.64453125" customWidth="1"/>
    <col min="14" max="14" width="3.64453125" customWidth="1"/>
    <col min="15" max="15" width="16" customWidth="1"/>
    <col min="16" max="16" width="4.41015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201</v>
      </c>
      <c r="I9" s="9" t="str">
        <f>IF(OR(H7="",H11=""),"",+IF(H7&gt;H11,G7,G11))</f>
        <v/>
      </c>
      <c r="J9" s="10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/>
      <c r="AE9" s="53" t="e">
        <f>LOOKUP(AD9,T$5:T$78,U$5:U$67)</f>
        <v>#N/A</v>
      </c>
      <c r="AF9" s="37" t="s">
        <v>157</v>
      </c>
      <c r="AG9" s="65" t="e">
        <f>LOOKUP(AD9,T$5:T$78,W$5:W$70)</f>
        <v>#N/A</v>
      </c>
    </row>
    <row r="10" spans="4:33" ht="13" thickBot="1">
      <c r="D10">
        <v>2</v>
      </c>
      <c r="E10" s="10"/>
      <c r="F10" s="11"/>
      <c r="G10" s="10"/>
      <c r="H10" s="14"/>
      <c r="I10" s="12"/>
      <c r="J10" s="15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/>
      <c r="AE10" s="53" t="e">
        <f>LOOKUP(AD10,T$5:T$78,U$5:U$67)</f>
        <v>#N/A</v>
      </c>
      <c r="AF10" s="37" t="s">
        <v>157</v>
      </c>
      <c r="AG10" s="65" t="e">
        <f>LOOKUP(AD10,T$5:T$78,W$5:W$70)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E34</f>
        <v>0</v>
      </c>
      <c r="V11" t="s">
        <v>77</v>
      </c>
      <c r="W11" s="29">
        <f>E36</f>
        <v>0</v>
      </c>
      <c r="Z11" s="34"/>
      <c r="AA11" s="40"/>
      <c r="AB11" s="40"/>
      <c r="AC11" s="38" t="s">
        <v>159</v>
      </c>
      <c r="AD11" s="48"/>
      <c r="AE11" s="53" t="e">
        <f>LOOKUP(AD11,T$5:T$78,U$5:U$67)</f>
        <v>#N/A</v>
      </c>
      <c r="AF11" s="37" t="s">
        <v>157</v>
      </c>
      <c r="AG11" s="65" t="e">
        <f>LOOKUP(AD11,T$5:T$78,W$5:W$70)</f>
        <v>#N/A</v>
      </c>
    </row>
    <row r="12" spans="4:33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E41</f>
        <v>0</v>
      </c>
      <c r="V12" t="s">
        <v>77</v>
      </c>
      <c r="W12" s="29">
        <f>E43</f>
        <v>0</v>
      </c>
      <c r="Z12" s="34"/>
      <c r="AA12" s="40"/>
      <c r="AB12" s="40"/>
      <c r="AC12" s="38" t="s">
        <v>159</v>
      </c>
      <c r="AD12" s="48"/>
      <c r="AE12" s="53" t="e">
        <f>LOOKUP(AD12,T$5:T$78,U$5:U$67)</f>
        <v>#N/A</v>
      </c>
      <c r="AF12" s="37" t="s">
        <v>157</v>
      </c>
      <c r="AG12" s="65" t="e">
        <f>LOOKUP(AD12,T$5:T$78,W$5:W$70)</f>
        <v>#N/A</v>
      </c>
    </row>
    <row r="13" spans="4:33" ht="13" thickBot="1">
      <c r="E13" s="10"/>
      <c r="F13" s="10"/>
      <c r="G13" s="10"/>
      <c r="H13" s="10"/>
      <c r="I13" s="10"/>
      <c r="J13" s="14" t="s">
        <v>203</v>
      </c>
      <c r="K13" s="9" t="str">
        <f>IF(OR(J10="",J17=""),"",+IF(J10&gt;J17,I9,I17))</f>
        <v/>
      </c>
      <c r="L13" s="17"/>
      <c r="M13" s="10"/>
      <c r="N13" s="10"/>
      <c r="O13" s="10"/>
      <c r="T13">
        <v>9</v>
      </c>
      <c r="U13" s="28">
        <f>E45</f>
        <v>0</v>
      </c>
      <c r="V13" t="s">
        <v>77</v>
      </c>
      <c r="W13" s="29">
        <f>E47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E49</f>
        <v>0</v>
      </c>
      <c r="V14" t="s">
        <v>77</v>
      </c>
      <c r="W14" s="29">
        <f>E51</f>
        <v>0</v>
      </c>
      <c r="Z14" s="34"/>
      <c r="AA14" s="40"/>
      <c r="AB14" s="40"/>
      <c r="AC14" s="38" t="s">
        <v>159</v>
      </c>
      <c r="AD14" s="48"/>
      <c r="AE14" s="53" t="e">
        <f>LOOKUP(AD14,T$5:T$78,U$5:U$67)</f>
        <v>#N/A</v>
      </c>
      <c r="AF14" s="37" t="s">
        <v>157</v>
      </c>
      <c r="AG14" s="65" t="e">
        <f>LOOKUP(AD14,T$5:T$78,W$5:W$70)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E53</f>
        <v>0</v>
      </c>
      <c r="V15" t="s">
        <v>77</v>
      </c>
      <c r="W15" s="29">
        <f>E55</f>
        <v>0</v>
      </c>
      <c r="Z15" s="34"/>
      <c r="AA15" s="40"/>
      <c r="AB15" s="40"/>
      <c r="AC15" s="38" t="s">
        <v>159</v>
      </c>
      <c r="AD15" s="48"/>
      <c r="AE15" s="53" t="e">
        <f>LOOKUP(AD15,T$5:T$78,U$5:U$67)</f>
        <v>#N/A</v>
      </c>
      <c r="AF15" s="37" t="s">
        <v>157</v>
      </c>
      <c r="AG15" s="65" t="e">
        <f>LOOKUP(AD15,T$5:T$78,W$5:W$70)</f>
        <v>#N/A</v>
      </c>
    </row>
    <row r="16" spans="4:33" ht="13" thickBot="1">
      <c r="D16">
        <v>5</v>
      </c>
      <c r="E16" s="10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E57</f>
        <v>0</v>
      </c>
      <c r="V16" t="s">
        <v>77</v>
      </c>
      <c r="W16" s="29">
        <f>E59</f>
        <v>0</v>
      </c>
      <c r="Z16" s="34"/>
      <c r="AA16" s="40"/>
      <c r="AB16" s="40"/>
      <c r="AC16" s="38" t="s">
        <v>159</v>
      </c>
      <c r="AD16" s="48"/>
      <c r="AE16" s="53" t="e">
        <f>LOOKUP(AD16,T$5:T$78,U$5:U$67)</f>
        <v>#N/A</v>
      </c>
      <c r="AF16" s="37" t="s">
        <v>157</v>
      </c>
      <c r="AG16" s="65" t="e">
        <f>LOOKUP(AD16,T$5:T$78,W$5:W$70)</f>
        <v>#N/A</v>
      </c>
    </row>
    <row r="17" spans="4:33" ht="13" thickBot="1">
      <c r="E17" s="12"/>
      <c r="F17" s="10"/>
      <c r="G17" s="10"/>
      <c r="H17" s="14" t="s">
        <v>205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E61</f>
        <v>0</v>
      </c>
      <c r="V17" t="s">
        <v>77</v>
      </c>
      <c r="W17" s="29">
        <f>E63</f>
        <v>0</v>
      </c>
      <c r="Z17" s="34"/>
      <c r="AA17" s="40"/>
      <c r="AB17" s="40"/>
      <c r="AC17" s="38" t="s">
        <v>159</v>
      </c>
      <c r="AD17" s="48"/>
      <c r="AE17" s="53" t="e">
        <f>LOOKUP(AD17,T$5:T$78,U$5:U$67)</f>
        <v>#N/A</v>
      </c>
      <c r="AF17" s="37" t="s">
        <v>157</v>
      </c>
      <c r="AG17" s="65" t="e">
        <f>LOOKUP(AD17,T$5:T$78,W$5:W$70)</f>
        <v>#N/A</v>
      </c>
    </row>
    <row r="18" spans="4:33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>
        <f>E65</f>
        <v>0</v>
      </c>
      <c r="V18" t="s">
        <v>77</v>
      </c>
      <c r="W18" s="29">
        <f>E67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>
        <f>E73</f>
        <v>0</v>
      </c>
      <c r="V19" t="s">
        <v>77</v>
      </c>
      <c r="W19" s="29">
        <f>E75</f>
        <v>0</v>
      </c>
      <c r="Z19" s="34"/>
      <c r="AA19" s="40"/>
      <c r="AB19" s="40"/>
      <c r="AC19" s="38" t="s">
        <v>159</v>
      </c>
      <c r="AD19" s="48"/>
      <c r="AE19" s="53" t="e">
        <f>LOOKUP(AD19,T$5:T$78,U$5:U$67)</f>
        <v>#N/A</v>
      </c>
      <c r="AF19" s="37" t="s">
        <v>157</v>
      </c>
      <c r="AG19" s="65" t="e">
        <f>LOOKUP(AD19,T$5:T$78,W$5:W$70)</f>
        <v>#N/A</v>
      </c>
    </row>
    <row r="20" spans="4:33" ht="13" thickBot="1">
      <c r="D20">
        <v>7</v>
      </c>
      <c r="E20" s="10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>
        <f>E77</f>
        <v>0</v>
      </c>
      <c r="V20" t="s">
        <v>77</v>
      </c>
      <c r="W20" s="29">
        <f>E79</f>
        <v>0</v>
      </c>
      <c r="Z20" s="34"/>
      <c r="AA20" s="40"/>
      <c r="AB20" s="40"/>
      <c r="AC20" s="38" t="s">
        <v>159</v>
      </c>
      <c r="AD20" s="48"/>
      <c r="AE20" s="53" t="e">
        <f>LOOKUP(AD20,T$5:T$78,U$5:U$67)</f>
        <v>#N/A</v>
      </c>
      <c r="AF20" s="37" t="s">
        <v>157</v>
      </c>
      <c r="AG20" s="65" t="e">
        <f>LOOKUP(AD20,T$5:T$78,W$5:W$70)</f>
        <v>#N/A</v>
      </c>
    </row>
    <row r="21" spans="4:33" ht="13" thickBot="1">
      <c r="E21" s="12"/>
      <c r="F21" s="10"/>
      <c r="G21" s="10"/>
      <c r="H21" s="10"/>
      <c r="I21" s="10"/>
      <c r="J21" s="10"/>
      <c r="K21" s="10"/>
      <c r="L21" s="14" t="s">
        <v>207</v>
      </c>
      <c r="M21" s="9" t="str">
        <f>IF(OR(L13="",L29=""),"",+IF(L13&gt;L29,K13,K29))</f>
        <v/>
      </c>
      <c r="N21" s="17"/>
      <c r="O21" s="10"/>
      <c r="T21">
        <v>17</v>
      </c>
      <c r="U21" s="28">
        <f>E81</f>
        <v>0</v>
      </c>
      <c r="V21" t="s">
        <v>77</v>
      </c>
      <c r="W21" s="29">
        <f>E83</f>
        <v>0</v>
      </c>
      <c r="Z21" s="34"/>
      <c r="AA21" s="40"/>
      <c r="AB21" s="40"/>
      <c r="AC21" s="38" t="s">
        <v>159</v>
      </c>
      <c r="AD21" s="48"/>
      <c r="AE21" s="53" t="e">
        <f>LOOKUP(AD21,T$5:T$78,U$5:U$67)</f>
        <v>#N/A</v>
      </c>
      <c r="AF21" s="37" t="s">
        <v>157</v>
      </c>
      <c r="AG21" s="65" t="e">
        <f>LOOKUP(AD21,T$5:T$78,W$5:W$70)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>
        <f>E85</f>
        <v>0</v>
      </c>
      <c r="V22" t="s">
        <v>77</v>
      </c>
      <c r="W22" s="29">
        <f>E87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28">
        <f>E89</f>
        <v>0</v>
      </c>
      <c r="V23" t="s">
        <v>77</v>
      </c>
      <c r="W23" s="29">
        <f>E91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28">
        <f>E93</f>
        <v>0</v>
      </c>
      <c r="V24" t="s">
        <v>77</v>
      </c>
      <c r="W24" s="29">
        <f>E95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0"/>
      <c r="G25" s="10"/>
      <c r="H25" s="14" t="s">
        <v>209</v>
      </c>
      <c r="I25" s="9" t="str">
        <f>IF(OR(H23="",H27=""),"",+IF(H23&gt;H27,G23,G27))</f>
        <v/>
      </c>
      <c r="J25" s="17"/>
      <c r="K25" s="10"/>
      <c r="L25" s="14"/>
      <c r="M25" s="10"/>
      <c r="N25" s="14"/>
      <c r="O25" s="10"/>
      <c r="T25">
        <v>21</v>
      </c>
      <c r="U25" s="28">
        <f>E97</f>
        <v>0</v>
      </c>
      <c r="V25" t="s">
        <v>77</v>
      </c>
      <c r="W25" s="29">
        <f>E99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1"/>
      <c r="G26" s="10"/>
      <c r="H26" s="14"/>
      <c r="I26" s="10"/>
      <c r="J26" s="13"/>
      <c r="K26" s="10"/>
      <c r="L26" s="14"/>
      <c r="M26" s="10"/>
      <c r="N26" s="14"/>
      <c r="O26" s="10"/>
      <c r="T26">
        <v>22</v>
      </c>
      <c r="U26" s="28">
        <f>E101</f>
        <v>0</v>
      </c>
      <c r="V26" t="s">
        <v>77</v>
      </c>
      <c r="W26" s="29">
        <f>E103</f>
        <v>0</v>
      </c>
      <c r="Z26" s="34"/>
      <c r="AA26" s="40"/>
      <c r="AB26" s="40"/>
      <c r="AC26" s="38" t="s">
        <v>159</v>
      </c>
      <c r="AD26" s="48"/>
      <c r="AE26" s="53" t="e">
        <f>LOOKUP(AD26,T$5:T$78,U$5:U$67)</f>
        <v>#N/A</v>
      </c>
      <c r="AF26" s="37" t="s">
        <v>157</v>
      </c>
      <c r="AG26" s="65" t="e">
        <f>LOOKUP(AD26,T$5:T$78,W$5:W$70)</f>
        <v>#N/A</v>
      </c>
    </row>
    <row r="27" spans="4:33" ht="13" thickBot="1">
      <c r="E27" s="12"/>
      <c r="F27" s="13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>
        <f>E105</f>
        <v>0</v>
      </c>
      <c r="V27" t="s">
        <v>77</v>
      </c>
      <c r="W27" s="29">
        <f>E107</f>
        <v>0</v>
      </c>
      <c r="Z27" s="34"/>
      <c r="AA27" s="40"/>
      <c r="AB27" s="40"/>
      <c r="AC27" s="38" t="s">
        <v>159</v>
      </c>
      <c r="AD27" s="48"/>
      <c r="AE27" s="53" t="e">
        <f>LOOKUP(AD27,T$5:T$78,U$5:U$67)</f>
        <v>#N/A</v>
      </c>
      <c r="AF27" s="37" t="s">
        <v>157</v>
      </c>
      <c r="AG27" s="65" t="e">
        <f>LOOKUP(AD27,T$5:T$78,W$5:W$70)</f>
        <v>#N/A</v>
      </c>
    </row>
    <row r="28" spans="4:33" ht="13" thickBot="1">
      <c r="D28">
        <v>11</v>
      </c>
      <c r="E28" s="10"/>
      <c r="F28" s="16"/>
      <c r="G28" s="10"/>
      <c r="H28" s="10"/>
      <c r="I28" s="10"/>
      <c r="J28" s="14"/>
      <c r="K28" s="10"/>
      <c r="L28" s="14"/>
      <c r="M28" s="10"/>
      <c r="N28" s="14"/>
      <c r="O28" s="10"/>
      <c r="T28">
        <v>24</v>
      </c>
      <c r="U28" s="28">
        <f>E109</f>
        <v>0</v>
      </c>
      <c r="V28" t="s">
        <v>77</v>
      </c>
      <c r="W28" s="29">
        <f>E111</f>
        <v>0</v>
      </c>
      <c r="Z28" s="34"/>
      <c r="AA28" s="40"/>
      <c r="AB28" s="40"/>
      <c r="AC28" s="38" t="s">
        <v>159</v>
      </c>
      <c r="AD28" s="48"/>
      <c r="AE28" s="53" t="e">
        <f>LOOKUP(AD28,T$5:T$78,U$5:U$67)</f>
        <v>#N/A</v>
      </c>
      <c r="AF28" s="37" t="s">
        <v>157</v>
      </c>
      <c r="AG28" s="65" t="e">
        <f>LOOKUP(AD28,T$5:T$78,W$5:W$70)</f>
        <v>#N/A</v>
      </c>
    </row>
    <row r="29" spans="4:33" ht="13" thickBot="1">
      <c r="E29" s="12"/>
      <c r="F29" s="10"/>
      <c r="G29" s="10"/>
      <c r="H29" s="10"/>
      <c r="I29" s="10"/>
      <c r="J29" s="14" t="s">
        <v>211</v>
      </c>
      <c r="K29" s="9" t="str">
        <f>IF(OR(J25="",J33=""),"",+IF(J25&gt;J33,I25,I33))</f>
        <v/>
      </c>
      <c r="L29" s="16"/>
      <c r="M29" s="10"/>
      <c r="N29" s="14"/>
      <c r="O29" s="10"/>
      <c r="T29">
        <v>25</v>
      </c>
      <c r="U29" s="28">
        <f>E113</f>
        <v>0</v>
      </c>
      <c r="V29" t="s">
        <v>77</v>
      </c>
      <c r="W29" s="29">
        <f>E115</f>
        <v>0</v>
      </c>
      <c r="Z29" s="34"/>
      <c r="AA29" s="40"/>
      <c r="AB29" s="40"/>
      <c r="AC29" s="38" t="s">
        <v>159</v>
      </c>
      <c r="AD29" s="48"/>
      <c r="AE29" s="53" t="e">
        <f>LOOKUP(AD29,T$5:T$78,U$5:U$67)</f>
        <v>#N/A</v>
      </c>
      <c r="AF29" s="37" t="s">
        <v>157</v>
      </c>
      <c r="AG29" s="65" t="e">
        <f>LOOKUP(AD29,T$5:T$78,W$5:W$70)</f>
        <v>#N/A</v>
      </c>
    </row>
    <row r="30" spans="4:33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>
        <f>E117</f>
        <v>0</v>
      </c>
      <c r="V30" t="s">
        <v>77</v>
      </c>
      <c r="W30" s="29">
        <f>E119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2"/>
      <c r="F31" s="13" t="s">
        <v>212</v>
      </c>
      <c r="G31" s="9" t="str">
        <f>IF(OR(F30="",F32=""),"",+IF(F30&gt;F32,E30,E32))</f>
        <v/>
      </c>
      <c r="H31" s="17"/>
      <c r="I31" s="10"/>
      <c r="J31" s="14"/>
      <c r="K31" s="10"/>
      <c r="L31" s="10"/>
      <c r="M31" s="10"/>
      <c r="N31" s="14"/>
      <c r="O31" s="10"/>
      <c r="T31">
        <v>27</v>
      </c>
      <c r="U31" s="28">
        <f>E121</f>
        <v>0</v>
      </c>
      <c r="V31" t="s">
        <v>77</v>
      </c>
      <c r="W31" s="29">
        <f>E123</f>
        <v>0</v>
      </c>
      <c r="Z31" s="34"/>
      <c r="AA31" s="40"/>
      <c r="AB31" s="40"/>
      <c r="AC31" s="38" t="s">
        <v>159</v>
      </c>
      <c r="AD31" s="48"/>
      <c r="AE31" s="53" t="e">
        <f>LOOKUP(AD31,T$5:T$78,U$5:U$67)</f>
        <v>#N/A</v>
      </c>
      <c r="AF31" s="37" t="s">
        <v>157</v>
      </c>
      <c r="AG31" s="65" t="e">
        <f>LOOKUP(AD31,T$5:T$78,W$5:W$70)</f>
        <v>#N/A</v>
      </c>
    </row>
    <row r="32" spans="4:33" ht="13" thickBot="1">
      <c r="D32">
        <v>13</v>
      </c>
      <c r="E32" s="10"/>
      <c r="F32" s="16"/>
      <c r="G32" s="10"/>
      <c r="H32" s="14"/>
      <c r="I32" s="10"/>
      <c r="J32" s="14"/>
      <c r="K32" s="10"/>
      <c r="L32" s="10"/>
      <c r="M32" s="10"/>
      <c r="N32" s="14"/>
      <c r="O32" s="10"/>
      <c r="T32">
        <v>28</v>
      </c>
      <c r="U32" s="28">
        <f>E125</f>
        <v>0</v>
      </c>
      <c r="V32" t="s">
        <v>77</v>
      </c>
      <c r="W32" s="29">
        <f>E127</f>
        <v>0</v>
      </c>
      <c r="Z32" s="34"/>
      <c r="AA32" s="40"/>
      <c r="AB32" s="40"/>
      <c r="AC32" s="38" t="s">
        <v>159</v>
      </c>
      <c r="AD32" s="48"/>
      <c r="AE32" s="53" t="e">
        <f>LOOKUP(AD32,T$5:T$78,U$5:U$67)</f>
        <v>#N/A</v>
      </c>
      <c r="AF32" s="37" t="s">
        <v>157</v>
      </c>
      <c r="AG32" s="65" t="e">
        <f>LOOKUP(AD32,T$5:T$78,W$5:W$70)</f>
        <v>#N/A</v>
      </c>
    </row>
    <row r="33" spans="4:33" ht="13" thickBot="1">
      <c r="E33" s="12"/>
      <c r="F33" s="10"/>
      <c r="G33" s="10"/>
      <c r="H33" s="14" t="s">
        <v>213</v>
      </c>
      <c r="I33" s="9" t="str">
        <f>IF(OR(H31="",H35=""),"",+IF(H31&gt;H35,G31,G35))</f>
        <v/>
      </c>
      <c r="J33" s="16"/>
      <c r="K33" s="10"/>
      <c r="L33" s="10"/>
      <c r="M33" s="10"/>
      <c r="N33" s="14"/>
      <c r="O33" s="10"/>
      <c r="T33">
        <v>29</v>
      </c>
      <c r="U33" s="28">
        <f>E129</f>
        <v>0</v>
      </c>
      <c r="V33" t="s">
        <v>77</v>
      </c>
      <c r="W33" s="29">
        <f>E131</f>
        <v>0</v>
      </c>
      <c r="Z33" s="34"/>
      <c r="AA33" s="40"/>
      <c r="AB33" s="40"/>
      <c r="AC33" s="38" t="s">
        <v>159</v>
      </c>
      <c r="AD33" s="48"/>
      <c r="AE33" s="53" t="e">
        <f>LOOKUP(AD33,T$5:T$78,U$5:U$67)</f>
        <v>#N/A</v>
      </c>
      <c r="AF33" s="37" t="s">
        <v>157</v>
      </c>
      <c r="AG33" s="65" t="e">
        <f>LOOKUP(AD33,T$5:T$78,W$5:W$70)</f>
        <v>#N/A</v>
      </c>
    </row>
    <row r="34" spans="4:33" ht="13" thickBot="1">
      <c r="D34">
        <v>14</v>
      </c>
      <c r="E34" s="10"/>
      <c r="F34" s="11"/>
      <c r="G34" s="10"/>
      <c r="H34" s="14"/>
      <c r="I34" s="10"/>
      <c r="J34" s="10"/>
      <c r="K34" s="10"/>
      <c r="L34" s="10"/>
      <c r="M34" s="10"/>
      <c r="N34" s="14"/>
      <c r="O34" s="10"/>
      <c r="T34">
        <v>30</v>
      </c>
      <c r="U34" s="28">
        <f>E7</f>
        <v>0</v>
      </c>
      <c r="V34" t="s">
        <v>77</v>
      </c>
      <c r="W34" s="29" t="s">
        <v>78</v>
      </c>
      <c r="Z34" s="34"/>
      <c r="AA34" s="40"/>
      <c r="AB34" s="40"/>
      <c r="AC34" s="38" t="s">
        <v>159</v>
      </c>
      <c r="AD34" s="48"/>
      <c r="AE34" s="53" t="e">
        <f>LOOKUP(AD34,T$5:T$78,U$5:U$67)</f>
        <v>#N/A</v>
      </c>
      <c r="AF34" s="37" t="s">
        <v>157</v>
      </c>
      <c r="AG34" s="65" t="e">
        <f>LOOKUP(AD34,T$5:T$78,W$5:W$70)</f>
        <v>#N/A</v>
      </c>
    </row>
    <row r="35" spans="4:33" ht="13" thickBot="1">
      <c r="E35" s="12"/>
      <c r="F35" s="13" t="s">
        <v>214</v>
      </c>
      <c r="G35" s="9" t="str">
        <f>IF(OR(F34="",F36=""),"",+IF(F34&gt;F36,E34,E36))</f>
        <v/>
      </c>
      <c r="H35" s="16"/>
      <c r="I35" s="10"/>
      <c r="J35" s="10"/>
      <c r="K35" s="10"/>
      <c r="L35" s="10"/>
      <c r="M35" s="10"/>
      <c r="N35" s="14"/>
      <c r="O35" s="10"/>
      <c r="T35">
        <v>31</v>
      </c>
      <c r="U35" s="28" t="s">
        <v>160</v>
      </c>
      <c r="V35" t="s">
        <v>77</v>
      </c>
      <c r="W35" s="29" t="s">
        <v>161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/>
      <c r="F36" s="16"/>
      <c r="G36" s="10"/>
      <c r="H36" s="10"/>
      <c r="I36" s="10"/>
      <c r="J36" s="10"/>
      <c r="K36" s="10"/>
      <c r="L36" s="10"/>
      <c r="M36" s="10"/>
      <c r="N36" s="14"/>
      <c r="O36" s="10"/>
      <c r="T36">
        <v>32</v>
      </c>
      <c r="U36" s="28" t="s">
        <v>81</v>
      </c>
      <c r="V36" t="s">
        <v>77</v>
      </c>
      <c r="W36" s="29" t="s">
        <v>162</v>
      </c>
      <c r="Z36" s="34"/>
      <c r="AA36" s="40"/>
      <c r="AB36" s="40"/>
      <c r="AC36" s="38" t="s">
        <v>159</v>
      </c>
      <c r="AD36" s="48"/>
      <c r="AE36" s="53" t="e">
        <f>LOOKUP(AD36,T$5:T$78,U$5:U$67)</f>
        <v>#N/A</v>
      </c>
      <c r="AF36" s="37" t="s">
        <v>157</v>
      </c>
      <c r="AG36" s="65" t="e">
        <f>LOOKUP(AD36,T$5:T$78,W$5:W$70)</f>
        <v>#N/A</v>
      </c>
    </row>
    <row r="37" spans="4:33" ht="13" thickBot="1">
      <c r="E37" s="10"/>
      <c r="F37" s="10"/>
      <c r="G37" s="10"/>
      <c r="H37" s="10"/>
      <c r="I37" s="10"/>
      <c r="J37" s="10"/>
      <c r="K37" s="10"/>
      <c r="L37" s="10"/>
      <c r="M37" s="10"/>
      <c r="N37" s="14" t="s">
        <v>215</v>
      </c>
      <c r="O37" s="9" t="str">
        <f>IF(OR(N21="",N52=""),"",+IF(N21&gt;N52,M21,M52))</f>
        <v/>
      </c>
      <c r="P37" s="7"/>
      <c r="T37">
        <v>33</v>
      </c>
      <c r="U37" s="28" t="s">
        <v>163</v>
      </c>
      <c r="V37" t="s">
        <v>77</v>
      </c>
      <c r="W37" s="29" t="s">
        <v>84</v>
      </c>
      <c r="Z37" s="34"/>
      <c r="AA37" s="40"/>
      <c r="AB37" s="40"/>
      <c r="AC37" s="38" t="s">
        <v>159</v>
      </c>
      <c r="AD37" s="48"/>
      <c r="AE37" s="53" t="e">
        <f>LOOKUP(AD37,T$5:T$78,U$5:U$67)</f>
        <v>#N/A</v>
      </c>
      <c r="AF37" s="37" t="s">
        <v>157</v>
      </c>
      <c r="AG37" s="65" t="e">
        <f>LOOKUP(AD37,T$5:T$78,W$5:W$70)</f>
        <v>#N/A</v>
      </c>
    </row>
    <row r="38" spans="4:33" ht="13" thickBot="1">
      <c r="D38">
        <v>16</v>
      </c>
      <c r="E38" s="10"/>
      <c r="F38" s="9"/>
      <c r="G38" s="9">
        <f>E38</f>
        <v>0</v>
      </c>
      <c r="H38" s="11"/>
      <c r="I38" s="10"/>
      <c r="J38" s="10"/>
      <c r="K38" s="10"/>
      <c r="L38" s="10"/>
      <c r="M38" s="10"/>
      <c r="N38" s="14"/>
      <c r="O38" s="10"/>
      <c r="Q38" s="8"/>
      <c r="T38">
        <v>34</v>
      </c>
      <c r="U38" s="28">
        <f>E38</f>
        <v>0</v>
      </c>
      <c r="V38" t="s">
        <v>77</v>
      </c>
      <c r="W38" s="29" t="s">
        <v>164</v>
      </c>
      <c r="Z38" s="34"/>
      <c r="AA38" s="40"/>
      <c r="AB38" s="40"/>
      <c r="AC38" s="38" t="s">
        <v>159</v>
      </c>
      <c r="AD38" s="48"/>
      <c r="AE38" s="53" t="e">
        <f>LOOKUP(AD38,T$5:T$78,U$5:U$67)</f>
        <v>#N/A</v>
      </c>
      <c r="AF38" s="37" t="s">
        <v>157</v>
      </c>
      <c r="AG38" s="65" t="e">
        <f>LOOKUP(AD38,T$5:T$78,W$5:W$70)</f>
        <v>#N/A</v>
      </c>
    </row>
    <row r="39" spans="4:33">
      <c r="E39" s="12"/>
      <c r="F39" s="10"/>
      <c r="G39" s="10"/>
      <c r="H39" s="13"/>
      <c r="I39" s="10"/>
      <c r="J39" s="10"/>
      <c r="K39" s="10"/>
      <c r="L39" s="10"/>
      <c r="M39" s="10"/>
      <c r="N39" s="14"/>
      <c r="O39" s="10"/>
      <c r="Q39" s="8"/>
      <c r="T39">
        <v>35</v>
      </c>
      <c r="U39" s="28" t="s">
        <v>200</v>
      </c>
      <c r="V39" t="s">
        <v>77</v>
      </c>
      <c r="W39" s="28" t="s">
        <v>87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E40" s="10"/>
      <c r="F40" s="10"/>
      <c r="G40" s="10"/>
      <c r="H40" s="14" t="s">
        <v>216</v>
      </c>
      <c r="I40" s="9" t="str">
        <f>IF(OR(H38="",H42=""),"",+IF(H38&gt;H42,G38,G42))</f>
        <v/>
      </c>
      <c r="J40" s="10"/>
      <c r="K40" s="10"/>
      <c r="L40" s="10"/>
      <c r="M40" s="10"/>
      <c r="N40" s="14"/>
      <c r="O40" s="10"/>
      <c r="Q40" s="8"/>
      <c r="T40">
        <v>36</v>
      </c>
      <c r="U40" s="29" t="s">
        <v>88</v>
      </c>
      <c r="V40" t="s">
        <v>77</v>
      </c>
      <c r="W40" s="28" t="s">
        <v>89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10"/>
      <c r="F41" s="11"/>
      <c r="G41" s="10"/>
      <c r="H41" s="14"/>
      <c r="I41" s="12"/>
      <c r="J41" s="15"/>
      <c r="K41" s="10"/>
      <c r="L41" s="10"/>
      <c r="M41" s="10"/>
      <c r="N41" s="14"/>
      <c r="O41" s="10"/>
      <c r="Q41" s="8"/>
      <c r="T41">
        <v>37</v>
      </c>
      <c r="U41" s="29" t="s">
        <v>90</v>
      </c>
      <c r="V41" t="s">
        <v>77</v>
      </c>
      <c r="W41" s="28" t="s">
        <v>91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2"/>
      <c r="F42" s="13" t="s">
        <v>217</v>
      </c>
      <c r="G42" s="9" t="str">
        <f>IF(OR(F41="",F43=""),"",+IF(F41&gt;F43,E41,E43))</f>
        <v/>
      </c>
      <c r="H42" s="16"/>
      <c r="I42" s="10"/>
      <c r="J42" s="14"/>
      <c r="K42" s="10"/>
      <c r="L42" s="10"/>
      <c r="M42" s="10"/>
      <c r="N42" s="14"/>
      <c r="O42" s="10"/>
      <c r="Q42" s="8"/>
      <c r="T42">
        <v>38</v>
      </c>
      <c r="U42" s="28">
        <f>E70</f>
        <v>0</v>
      </c>
      <c r="V42" t="s">
        <v>77</v>
      </c>
      <c r="W42" s="29" t="s">
        <v>92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9"/>
      <c r="F43" s="16"/>
      <c r="G43" s="10"/>
      <c r="H43" s="10"/>
      <c r="I43" s="10"/>
      <c r="J43" s="14"/>
      <c r="K43" s="10"/>
      <c r="L43" s="10"/>
      <c r="M43" s="10"/>
      <c r="N43" s="14"/>
      <c r="O43" s="10"/>
      <c r="Q43" s="8"/>
      <c r="T43">
        <v>39</v>
      </c>
      <c r="U43" s="28" t="s">
        <v>165</v>
      </c>
      <c r="V43" t="s">
        <v>77</v>
      </c>
      <c r="W43" s="29" t="s">
        <v>94</v>
      </c>
      <c r="Z43" s="34"/>
      <c r="AA43" s="40"/>
      <c r="AB43" s="40"/>
      <c r="AC43" s="38" t="s">
        <v>159</v>
      </c>
      <c r="AD43" s="48"/>
      <c r="AE43" s="53" t="e">
        <f>LOOKUP(AD43,T$5:T$78,U$5:U$67)</f>
        <v>#N/A</v>
      </c>
      <c r="AF43" s="37" t="s">
        <v>157</v>
      </c>
      <c r="AG43" s="65" t="e">
        <f>LOOKUP(AD43,T$5:T$78,W$5:W$70)</f>
        <v>#N/A</v>
      </c>
    </row>
    <row r="44" spans="4:33" ht="13" thickBot="1">
      <c r="E44" s="10"/>
      <c r="F44" s="10"/>
      <c r="G44" s="10"/>
      <c r="H44" s="10"/>
      <c r="I44" s="10"/>
      <c r="J44" s="14" t="s">
        <v>218</v>
      </c>
      <c r="K44" s="9" t="str">
        <f>IF(OR(J41="",J48=""),"",+IF(J41&gt;J48,I40,I48))</f>
        <v/>
      </c>
      <c r="L44" s="17"/>
      <c r="M44" s="10"/>
      <c r="N44" s="14"/>
      <c r="O44" s="10"/>
      <c r="Q44" s="8"/>
      <c r="T44">
        <v>40</v>
      </c>
      <c r="U44" s="28" t="s">
        <v>95</v>
      </c>
      <c r="V44" t="s">
        <v>77</v>
      </c>
      <c r="W44" s="29" t="s">
        <v>96</v>
      </c>
      <c r="Z44" s="34"/>
      <c r="AA44" s="40"/>
      <c r="AB44" s="40"/>
      <c r="AC44" s="38" t="s">
        <v>159</v>
      </c>
      <c r="AD44" s="48"/>
      <c r="AE44" s="53" t="e">
        <f>LOOKUP(AD44,T$5:T$78,U$5:U$67)</f>
        <v>#N/A</v>
      </c>
      <c r="AF44" s="37" t="s">
        <v>157</v>
      </c>
      <c r="AG44" s="65" t="e">
        <f>LOOKUP(AD44,T$5:T$78,W$5:W$70)</f>
        <v>#N/A</v>
      </c>
    </row>
    <row r="45" spans="4:33" ht="13" thickBot="1">
      <c r="D45">
        <v>19</v>
      </c>
      <c r="E45" s="10"/>
      <c r="F45" s="11"/>
      <c r="G45" s="10"/>
      <c r="H45" s="10"/>
      <c r="I45" s="10"/>
      <c r="J45" s="14"/>
      <c r="K45" s="10"/>
      <c r="L45" s="13"/>
      <c r="M45" s="10"/>
      <c r="N45" s="14"/>
      <c r="O45" s="10"/>
      <c r="Q45" s="8"/>
      <c r="T45">
        <v>41</v>
      </c>
      <c r="U45" s="28" t="s">
        <v>97</v>
      </c>
      <c r="V45" t="s">
        <v>77</v>
      </c>
      <c r="W45" s="29" t="s">
        <v>98</v>
      </c>
      <c r="Z45" s="34"/>
      <c r="AA45" s="40"/>
      <c r="AB45" s="40"/>
      <c r="AC45" s="38" t="s">
        <v>159</v>
      </c>
      <c r="AD45" s="48"/>
      <c r="AE45" s="53" t="e">
        <f>LOOKUP(AD45,T$5:T$78,U$5:U$67)</f>
        <v>#N/A</v>
      </c>
      <c r="AF45" s="37" t="s">
        <v>157</v>
      </c>
      <c r="AG45" s="65" t="e">
        <f>LOOKUP(AD45,T$5:T$78,W$5:W$70)</f>
        <v>#N/A</v>
      </c>
    </row>
    <row r="46" spans="4:33" ht="13" thickBot="1">
      <c r="E46" s="12"/>
      <c r="F46" s="13" t="s">
        <v>219</v>
      </c>
      <c r="G46" s="9" t="str">
        <f>IF(OR(F45="",F47=""),"",+IF(F45&gt;F47,E45,E47))</f>
        <v/>
      </c>
      <c r="H46" s="17"/>
      <c r="I46" s="10"/>
      <c r="J46" s="14"/>
      <c r="K46" s="10"/>
      <c r="L46" s="14"/>
      <c r="M46" s="10"/>
      <c r="N46" s="14"/>
      <c r="O46" s="10"/>
      <c r="Q46" s="8"/>
      <c r="T46">
        <v>42</v>
      </c>
      <c r="U46" s="28" t="s">
        <v>99</v>
      </c>
      <c r="V46" t="s">
        <v>77</v>
      </c>
      <c r="W46" s="29" t="s">
        <v>100</v>
      </c>
      <c r="Z46" s="34"/>
      <c r="AA46" s="40"/>
      <c r="AB46" s="40"/>
      <c r="AC46" s="38" t="s">
        <v>159</v>
      </c>
      <c r="AD46" s="48"/>
      <c r="AE46" s="53" t="e">
        <f>LOOKUP(AD46,T$5:T$78,U$5:U$67)</f>
        <v>#N/A</v>
      </c>
      <c r="AF46" s="37" t="s">
        <v>157</v>
      </c>
      <c r="AG46" s="65" t="e">
        <f>LOOKUP(AD46,T$5:T$78,W$5:W$70)</f>
        <v>#N/A</v>
      </c>
    </row>
    <row r="47" spans="4:33" ht="13" thickBot="1">
      <c r="D47">
        <v>20</v>
      </c>
      <c r="E47" s="10"/>
      <c r="F47" s="16"/>
      <c r="G47" s="10"/>
      <c r="H47" s="14"/>
      <c r="I47" s="10"/>
      <c r="J47" s="14"/>
      <c r="K47" s="10"/>
      <c r="L47" s="14"/>
      <c r="M47" s="10"/>
      <c r="N47" s="14"/>
      <c r="O47" s="10"/>
      <c r="Q47" s="8"/>
      <c r="T47">
        <v>43</v>
      </c>
      <c r="U47" s="28" t="s">
        <v>101</v>
      </c>
      <c r="V47" t="s">
        <v>77</v>
      </c>
      <c r="W47" s="29" t="s">
        <v>102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0"/>
      <c r="G48" s="10"/>
      <c r="H48" s="14" t="s">
        <v>220</v>
      </c>
      <c r="I48" s="9" t="str">
        <f>IF(OR(H46="",H50=""),"",+IF(H46&gt;H50,G46,G50))</f>
        <v/>
      </c>
      <c r="J48" s="16"/>
      <c r="K48" s="10"/>
      <c r="L48" s="14"/>
      <c r="M48" s="10"/>
      <c r="N48" s="14"/>
      <c r="O48" s="10"/>
      <c r="Q48" s="8"/>
      <c r="T48">
        <v>44</v>
      </c>
      <c r="U48" s="28" t="s">
        <v>103</v>
      </c>
      <c r="V48" t="s">
        <v>77</v>
      </c>
      <c r="W48" s="29" t="s">
        <v>104</v>
      </c>
      <c r="Z48" s="34"/>
      <c r="AA48" s="40"/>
      <c r="AB48" s="40"/>
      <c r="AC48" s="38" t="s">
        <v>159</v>
      </c>
      <c r="AD48" s="48"/>
      <c r="AE48" s="53" t="e">
        <f>LOOKUP(AD48,T$5:T$78,U$5:U$67)</f>
        <v>#N/A</v>
      </c>
      <c r="AF48" s="37" t="s">
        <v>157</v>
      </c>
      <c r="AG48" s="65" t="e">
        <f>LOOKUP(AD48,T$5:T$78,W$5:W$70)</f>
        <v>#N/A</v>
      </c>
    </row>
    <row r="49" spans="4:33" ht="13" thickBot="1">
      <c r="D49">
        <v>21</v>
      </c>
      <c r="E49" s="10"/>
      <c r="F49" s="11"/>
      <c r="G49" s="10"/>
      <c r="H49" s="14"/>
      <c r="I49" s="10"/>
      <c r="J49" s="10"/>
      <c r="K49" s="10"/>
      <c r="L49" s="14"/>
      <c r="M49" s="10"/>
      <c r="N49" s="14"/>
      <c r="O49" s="10"/>
      <c r="Q49" s="8"/>
      <c r="T49">
        <v>45</v>
      </c>
      <c r="U49" s="28" t="s">
        <v>105</v>
      </c>
      <c r="V49" t="s">
        <v>77</v>
      </c>
      <c r="W49" s="29" t="s">
        <v>106</v>
      </c>
      <c r="Z49" s="34"/>
      <c r="AA49" s="40"/>
      <c r="AB49" s="40"/>
      <c r="AC49" s="38" t="s">
        <v>159</v>
      </c>
      <c r="AD49" s="48"/>
      <c r="AE49" s="53" t="e">
        <f>LOOKUP(AD49,T$5:T$78,U$5:U$67)</f>
        <v>#N/A</v>
      </c>
      <c r="AF49" s="37" t="s">
        <v>157</v>
      </c>
      <c r="AG49" s="65" t="e">
        <f>LOOKUP(AD49,T$5:T$78,W$5:W$70)</f>
        <v>#N/A</v>
      </c>
    </row>
    <row r="50" spans="4:33" ht="13" thickBot="1">
      <c r="E50" s="12"/>
      <c r="F50" s="13" t="s">
        <v>221</v>
      </c>
      <c r="G50" s="9" t="str">
        <f>IF(OR(F49="",F51=""),"",+IF(F49&gt;F51,E49,E51))</f>
        <v/>
      </c>
      <c r="H50" s="16"/>
      <c r="I50" s="10"/>
      <c r="J50" s="10"/>
      <c r="K50" s="10"/>
      <c r="L50" s="14"/>
      <c r="M50" s="10"/>
      <c r="N50" s="14"/>
      <c r="O50" s="10"/>
      <c r="Q50" s="8"/>
      <c r="T50">
        <v>46</v>
      </c>
      <c r="U50" s="28" t="s">
        <v>107</v>
      </c>
      <c r="V50" t="s">
        <v>77</v>
      </c>
      <c r="W50" s="29" t="s">
        <v>108</v>
      </c>
      <c r="Z50" s="34"/>
      <c r="AA50" s="40"/>
      <c r="AB50" s="40"/>
      <c r="AC50" s="38" t="s">
        <v>159</v>
      </c>
      <c r="AD50" s="48"/>
      <c r="AE50" s="53" t="e">
        <f>LOOKUP(AD50,T$5:T$78,U$5:U$67)</f>
        <v>#N/A</v>
      </c>
      <c r="AF50" s="37" t="s">
        <v>157</v>
      </c>
      <c r="AG50" s="65" t="e">
        <f>LOOKUP(AD50,T$5:T$78,W$5:W$70)</f>
        <v>#N/A</v>
      </c>
    </row>
    <row r="51" spans="4:33" ht="13" thickBot="1">
      <c r="D51">
        <v>22</v>
      </c>
      <c r="E51" s="10"/>
      <c r="F51" s="16"/>
      <c r="G51" s="10"/>
      <c r="H51" s="10"/>
      <c r="I51" s="10"/>
      <c r="J51" s="10"/>
      <c r="K51" s="10"/>
      <c r="L51" s="14"/>
      <c r="M51" s="10"/>
      <c r="N51" s="14"/>
      <c r="O51" s="10"/>
      <c r="Q51" s="8"/>
      <c r="T51">
        <v>47</v>
      </c>
      <c r="U51" s="28" t="s">
        <v>109</v>
      </c>
      <c r="V51" t="s">
        <v>77</v>
      </c>
      <c r="W51" s="29" t="s">
        <v>110</v>
      </c>
      <c r="Z51" s="34"/>
      <c r="AA51" s="40"/>
      <c r="AB51" s="40"/>
      <c r="AC51" s="38" t="s">
        <v>159</v>
      </c>
      <c r="AD51" s="48"/>
      <c r="AE51" s="53" t="e">
        <f>LOOKUP(AD51,T$5:T$78,U$5:U$67)</f>
        <v>#N/A</v>
      </c>
      <c r="AF51" s="37" t="s">
        <v>157</v>
      </c>
      <c r="AG51" s="65" t="e">
        <f>LOOKUP(AD51,T$5:T$78,W$5:W$70)</f>
        <v>#N/A</v>
      </c>
    </row>
    <row r="52" spans="4:33" ht="13" thickBot="1">
      <c r="E52" s="12"/>
      <c r="F52" s="10"/>
      <c r="G52" s="10"/>
      <c r="H52" s="10"/>
      <c r="I52" s="10"/>
      <c r="J52" s="10"/>
      <c r="K52" s="10"/>
      <c r="L52" s="14" t="s">
        <v>222</v>
      </c>
      <c r="M52" s="9" t="str">
        <f>IF(OR(L44="",L60=""),"",+IF(L44&gt;L60,K44,K60))</f>
        <v/>
      </c>
      <c r="N52" s="16"/>
      <c r="O52" s="10"/>
      <c r="Q52" s="8"/>
      <c r="T52">
        <v>48</v>
      </c>
      <c r="U52" s="28" t="s">
        <v>111</v>
      </c>
      <c r="V52" t="s">
        <v>77</v>
      </c>
      <c r="W52" s="29" t="s">
        <v>112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10"/>
      <c r="F53" s="11"/>
      <c r="G53" s="10"/>
      <c r="H53" s="10"/>
      <c r="I53" s="10"/>
      <c r="J53" s="10"/>
      <c r="K53" s="10"/>
      <c r="L53" s="14"/>
      <c r="M53" s="10"/>
      <c r="N53" s="10"/>
      <c r="O53" s="10"/>
      <c r="Q53" s="8"/>
      <c r="T53">
        <v>49</v>
      </c>
      <c r="U53" s="28" t="s">
        <v>113</v>
      </c>
      <c r="V53" t="s">
        <v>77</v>
      </c>
      <c r="W53" s="29" t="s">
        <v>114</v>
      </c>
      <c r="Z53" s="34"/>
      <c r="AA53" s="40"/>
      <c r="AB53" s="40"/>
      <c r="AC53" s="38" t="s">
        <v>159</v>
      </c>
      <c r="AD53" s="48"/>
      <c r="AE53" s="53" t="e">
        <f>LOOKUP(AD53,T$5:T$78,U$5:U$67)</f>
        <v>#N/A</v>
      </c>
      <c r="AF53" s="37" t="s">
        <v>157</v>
      </c>
      <c r="AG53" s="65" t="e">
        <f>LOOKUP(AD53,T$5:T$78,W$5:W$70)</f>
        <v>#N/A</v>
      </c>
    </row>
    <row r="54" spans="4:33" ht="13" thickBot="1">
      <c r="E54" s="12"/>
      <c r="F54" s="13" t="s">
        <v>223</v>
      </c>
      <c r="G54" s="9" t="str">
        <f>IF(OR(F53="",F55=""),"",+IF(F53&gt;F55,E53,E55))</f>
        <v/>
      </c>
      <c r="H54" s="17"/>
      <c r="I54" s="10"/>
      <c r="J54" s="10"/>
      <c r="K54" s="10"/>
      <c r="L54" s="14"/>
      <c r="M54" s="10"/>
      <c r="N54" s="10"/>
      <c r="O54" s="10"/>
      <c r="Q54" s="8"/>
      <c r="T54">
        <v>50</v>
      </c>
      <c r="U54" s="28" t="s">
        <v>115</v>
      </c>
      <c r="V54" t="s">
        <v>77</v>
      </c>
      <c r="W54" s="29" t="s">
        <v>116</v>
      </c>
      <c r="Z54" s="34"/>
      <c r="AA54" s="40"/>
      <c r="AB54" s="40"/>
      <c r="AC54" s="38" t="s">
        <v>159</v>
      </c>
      <c r="AD54" s="48"/>
      <c r="AE54" s="53" t="e">
        <f>LOOKUP(AD54,T$5:T$78,U$5:U$67)</f>
        <v>#N/A</v>
      </c>
      <c r="AF54" s="37" t="s">
        <v>157</v>
      </c>
      <c r="AG54" s="65" t="e">
        <f>LOOKUP(AD54,T$5:T$78,W$5:W$70)</f>
        <v>#N/A</v>
      </c>
    </row>
    <row r="55" spans="4:33" ht="13" thickBot="1">
      <c r="D55">
        <v>24</v>
      </c>
      <c r="E55" s="10"/>
      <c r="F55" s="16"/>
      <c r="G55" s="10"/>
      <c r="H55" s="14"/>
      <c r="I55" s="10"/>
      <c r="J55" s="10"/>
      <c r="K55" s="10"/>
      <c r="L55" s="14"/>
      <c r="M55" s="10"/>
      <c r="N55" s="10"/>
      <c r="O55" s="10"/>
      <c r="Q55" s="8"/>
      <c r="T55">
        <v>51</v>
      </c>
      <c r="U55" s="28" t="s">
        <v>117</v>
      </c>
      <c r="V55" t="s">
        <v>77</v>
      </c>
      <c r="W55" s="29" t="s">
        <v>118</v>
      </c>
      <c r="Z55" s="34"/>
      <c r="AA55" s="40"/>
      <c r="AB55" s="40"/>
      <c r="AC55" s="38" t="s">
        <v>159</v>
      </c>
      <c r="AD55" s="48"/>
      <c r="AE55" s="53" t="e">
        <f>LOOKUP(AD55,T$5:T$78,U$5:U$67)</f>
        <v>#N/A</v>
      </c>
      <c r="AF55" s="37" t="s">
        <v>157</v>
      </c>
      <c r="AG55" s="65" t="e">
        <f>LOOKUP(AD55,T$5:T$78,W$5:W$70)</f>
        <v>#N/A</v>
      </c>
    </row>
    <row r="56" spans="4:33" ht="13" thickBot="1">
      <c r="E56" s="12"/>
      <c r="F56" s="10"/>
      <c r="G56" s="10"/>
      <c r="H56" s="14" t="s">
        <v>224</v>
      </c>
      <c r="I56" s="9" t="str">
        <f>IF(OR(H54="",H58=""),"",+IF(H54&gt;H58,G54,G58))</f>
        <v/>
      </c>
      <c r="J56" s="17"/>
      <c r="K56" s="10"/>
      <c r="L56" s="14"/>
      <c r="M56" s="10"/>
      <c r="N56" s="10"/>
      <c r="O56" s="10"/>
      <c r="Q56" s="8"/>
      <c r="T56">
        <v>52</v>
      </c>
      <c r="U56" s="28" t="s">
        <v>119</v>
      </c>
      <c r="V56" t="s">
        <v>77</v>
      </c>
      <c r="W56" s="29" t="s">
        <v>120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10"/>
      <c r="F57" s="11"/>
      <c r="G57" s="10"/>
      <c r="H57" s="14"/>
      <c r="I57" s="10"/>
      <c r="J57" s="13"/>
      <c r="K57" s="10"/>
      <c r="L57" s="14"/>
      <c r="M57" s="10"/>
      <c r="N57" s="10"/>
      <c r="O57" s="10"/>
      <c r="Q57" s="8"/>
      <c r="T57">
        <v>53</v>
      </c>
      <c r="U57" s="28" t="s">
        <v>121</v>
      </c>
      <c r="V57" t="s">
        <v>77</v>
      </c>
      <c r="W57" s="29" t="s">
        <v>122</v>
      </c>
    </row>
    <row r="58" spans="4:33" ht="13" thickBot="1">
      <c r="E58" s="12"/>
      <c r="F58" s="13" t="s">
        <v>225</v>
      </c>
      <c r="G58" s="9" t="str">
        <f>IF(OR(F57="",F59=""),"",+IF(F57&gt;F59,E57,E59))</f>
        <v/>
      </c>
      <c r="H58" s="16"/>
      <c r="I58" s="10"/>
      <c r="J58" s="14"/>
      <c r="K58" s="10"/>
      <c r="L58" s="14"/>
      <c r="M58" s="10"/>
      <c r="N58" s="10"/>
      <c r="O58" s="10"/>
      <c r="Q58" s="8"/>
      <c r="T58">
        <v>54</v>
      </c>
      <c r="U58" s="28" t="s">
        <v>123</v>
      </c>
      <c r="V58" t="s">
        <v>77</v>
      </c>
      <c r="W58" s="29" t="s">
        <v>124</v>
      </c>
    </row>
    <row r="59" spans="4:33" ht="13" thickBot="1">
      <c r="D59">
        <v>26</v>
      </c>
      <c r="E59" s="10"/>
      <c r="F59" s="16"/>
      <c r="G59" s="10"/>
      <c r="H59" s="10"/>
      <c r="I59" s="10"/>
      <c r="J59" s="14"/>
      <c r="K59" s="10"/>
      <c r="L59" s="14"/>
      <c r="M59" s="10"/>
      <c r="N59" s="10"/>
      <c r="O59" s="10"/>
      <c r="Q59" s="8"/>
      <c r="T59">
        <v>55</v>
      </c>
      <c r="U59" s="28" t="s">
        <v>125</v>
      </c>
      <c r="V59" t="s">
        <v>77</v>
      </c>
      <c r="W59" s="29" t="s">
        <v>126</v>
      </c>
    </row>
    <row r="60" spans="4:33" ht="13" thickBot="1">
      <c r="E60" s="12"/>
      <c r="F60" s="10"/>
      <c r="G60" s="10"/>
      <c r="H60" s="10"/>
      <c r="I60" s="10"/>
      <c r="J60" s="14" t="s">
        <v>226</v>
      </c>
      <c r="K60" s="9" t="str">
        <f>IF(OR(J56="",J64=""),"",+IF(J56&gt;J64,I56,I64))</f>
        <v/>
      </c>
      <c r="L60" s="16"/>
      <c r="M60" s="10"/>
      <c r="N60" s="10"/>
      <c r="O60" s="10"/>
      <c r="Q60" s="8"/>
      <c r="T60">
        <v>56</v>
      </c>
      <c r="U60" s="28" t="s">
        <v>127</v>
      </c>
      <c r="V60" t="s">
        <v>77</v>
      </c>
      <c r="W60" s="29" t="s">
        <v>130</v>
      </c>
    </row>
    <row r="61" spans="4:33" ht="13" thickBot="1">
      <c r="D61">
        <v>27</v>
      </c>
      <c r="E61" s="10"/>
      <c r="F61" s="11"/>
      <c r="G61" s="10"/>
      <c r="H61" s="10"/>
      <c r="I61" s="10"/>
      <c r="J61" s="14"/>
      <c r="K61" s="10"/>
      <c r="L61" s="10"/>
      <c r="M61" s="10"/>
      <c r="N61" s="10"/>
      <c r="O61" s="10"/>
      <c r="Q61" s="8"/>
      <c r="T61">
        <v>57</v>
      </c>
      <c r="U61" s="28" t="s">
        <v>128</v>
      </c>
      <c r="V61" t="s">
        <v>77</v>
      </c>
      <c r="W61" s="29" t="s">
        <v>129</v>
      </c>
    </row>
    <row r="62" spans="4:33" ht="13" thickBot="1">
      <c r="E62" s="12"/>
      <c r="F62" s="13" t="s">
        <v>227</v>
      </c>
      <c r="G62" s="9" t="str">
        <f>IF(OR(F61="",F63=""),"",+IF(F61&gt;F63,E61,E63))</f>
        <v/>
      </c>
      <c r="H62" s="17"/>
      <c r="I62" s="10"/>
      <c r="J62" s="14"/>
      <c r="K62" s="10"/>
      <c r="L62" s="10"/>
      <c r="M62" s="10"/>
      <c r="N62" s="10"/>
      <c r="O62" s="10"/>
      <c r="Q62" s="8"/>
      <c r="T62">
        <v>58</v>
      </c>
      <c r="U62" s="28" t="s">
        <v>131</v>
      </c>
      <c r="V62" t="s">
        <v>77</v>
      </c>
      <c r="W62" s="29" t="s">
        <v>132</v>
      </c>
    </row>
    <row r="63" spans="4:33" ht="13" thickBot="1">
      <c r="D63">
        <v>28</v>
      </c>
      <c r="E63" s="10"/>
      <c r="F63" s="16"/>
      <c r="G63" s="10"/>
      <c r="H63" s="14"/>
      <c r="I63" s="10"/>
      <c r="J63" s="14"/>
      <c r="K63" s="10"/>
      <c r="L63" s="10"/>
      <c r="M63" s="10"/>
      <c r="N63" s="10"/>
      <c r="O63" s="10"/>
      <c r="Q63" s="8"/>
      <c r="T63">
        <v>59</v>
      </c>
      <c r="U63" s="28" t="s">
        <v>133</v>
      </c>
      <c r="V63" t="s">
        <v>77</v>
      </c>
      <c r="W63" s="29" t="s">
        <v>134</v>
      </c>
    </row>
    <row r="64" spans="4:33" ht="13" thickBot="1">
      <c r="E64" s="12"/>
      <c r="F64" s="10"/>
      <c r="G64" s="10"/>
      <c r="H64" s="14" t="s">
        <v>228</v>
      </c>
      <c r="I64" s="9" t="str">
        <f>IF(OR(H62="",H66=""),"",+IF(H62&gt;H66,G62,G66))</f>
        <v/>
      </c>
      <c r="J64" s="16"/>
      <c r="K64" s="10"/>
      <c r="L64" s="10"/>
      <c r="M64" s="10"/>
      <c r="N64" s="10"/>
      <c r="O64" s="10"/>
      <c r="Q64" s="8"/>
      <c r="T64">
        <v>60</v>
      </c>
      <c r="U64" s="28" t="s">
        <v>135</v>
      </c>
      <c r="V64" t="s">
        <v>77</v>
      </c>
      <c r="W64" s="29" t="s">
        <v>136</v>
      </c>
    </row>
    <row r="65" spans="4:23" ht="13" thickBot="1">
      <c r="D65">
        <v>29</v>
      </c>
      <c r="E65" s="10"/>
      <c r="F65" s="11"/>
      <c r="G65" s="10"/>
      <c r="H65" s="14"/>
      <c r="I65" s="10"/>
      <c r="J65" s="10"/>
      <c r="K65" s="10"/>
      <c r="L65" s="10"/>
      <c r="M65" s="10"/>
      <c r="N65" s="10"/>
      <c r="O65" s="10"/>
      <c r="Q65" s="8"/>
    </row>
    <row r="66" spans="4:23" ht="13" thickBot="1">
      <c r="E66" s="12"/>
      <c r="F66" s="13" t="s">
        <v>229</v>
      </c>
      <c r="G66" s="9" t="str">
        <f>IF(OR(F65="",F67=""),"",+IF(F65&gt;F67,E65,E67))</f>
        <v/>
      </c>
      <c r="H66" s="16"/>
      <c r="I66" s="10"/>
      <c r="J66" s="10"/>
      <c r="K66" s="10"/>
      <c r="L66" s="10"/>
      <c r="M66" s="10"/>
      <c r="N66" s="10"/>
      <c r="O66" s="10"/>
      <c r="Q66" s="8"/>
      <c r="W66" s="28"/>
    </row>
    <row r="67" spans="4:23" ht="13" thickBot="1">
      <c r="D67">
        <v>30</v>
      </c>
      <c r="E67" s="9"/>
      <c r="F67" s="16"/>
      <c r="G67" s="10"/>
      <c r="H67" s="10"/>
      <c r="I67" s="10"/>
      <c r="J67" s="10"/>
      <c r="K67" s="10"/>
      <c r="L67" s="10"/>
      <c r="M67" s="10"/>
      <c r="N67" s="10"/>
      <c r="O67" s="10"/>
      <c r="Q67" s="8"/>
    </row>
    <row r="68" spans="4:23" ht="13" thickBot="1">
      <c r="P68" t="s">
        <v>230</v>
      </c>
      <c r="Q68" s="27"/>
      <c r="R68" s="7"/>
      <c r="S68" s="7"/>
    </row>
    <row r="69" spans="4:23">
      <c r="Q69" s="8"/>
    </row>
    <row r="70" spans="4:23" ht="13" thickBot="1">
      <c r="D70">
        <v>31</v>
      </c>
      <c r="E70" s="10"/>
      <c r="F70" s="9"/>
      <c r="G70" s="9">
        <f>E70</f>
        <v>0</v>
      </c>
      <c r="H70" s="11"/>
      <c r="I70" s="10"/>
      <c r="J70" s="10"/>
      <c r="K70" s="10"/>
      <c r="L70" s="10"/>
      <c r="M70" s="10"/>
      <c r="N70" s="10"/>
      <c r="O70" s="10"/>
      <c r="Q70" s="8"/>
    </row>
    <row r="71" spans="4:23">
      <c r="E71" s="12"/>
      <c r="F71" s="10"/>
      <c r="G71" s="10"/>
      <c r="H71" s="13"/>
      <c r="I71" s="10"/>
      <c r="J71" s="10"/>
      <c r="K71" s="10"/>
      <c r="L71" s="10"/>
      <c r="M71" s="10"/>
      <c r="N71" s="10"/>
      <c r="O71" s="10"/>
      <c r="Q71" s="8"/>
    </row>
    <row r="72" spans="4:23" ht="13" thickBot="1">
      <c r="E72" s="10"/>
      <c r="F72" s="10"/>
      <c r="G72" s="10"/>
      <c r="H72" s="14" t="s">
        <v>231</v>
      </c>
      <c r="I72" s="9" t="str">
        <f>IF(OR(H70="",H74=""),"",+IF(H70&gt;H74,G70,G74))</f>
        <v/>
      </c>
      <c r="J72" s="11"/>
      <c r="K72" s="10"/>
      <c r="L72" s="10"/>
      <c r="M72" s="10"/>
      <c r="N72" s="10"/>
      <c r="O72" s="10"/>
      <c r="Q72" s="8"/>
    </row>
    <row r="73" spans="4:23" ht="13" thickBot="1">
      <c r="D73">
        <v>32</v>
      </c>
      <c r="E73" s="10"/>
      <c r="F73" s="11"/>
      <c r="G73" s="10"/>
      <c r="H73" s="14"/>
      <c r="I73" s="12"/>
      <c r="J73" s="20"/>
      <c r="K73" s="10"/>
      <c r="L73" s="10"/>
      <c r="M73" s="10"/>
      <c r="N73" s="10"/>
      <c r="O73" s="10"/>
      <c r="Q73" s="8"/>
    </row>
    <row r="74" spans="4:23" ht="13" thickBot="1">
      <c r="E74" s="12"/>
      <c r="F74" s="13" t="s">
        <v>232</v>
      </c>
      <c r="G74" s="9" t="str">
        <f>IF(OR(F73="",F75=""),"",+IF(F73&gt;F75,E73,E75))</f>
        <v/>
      </c>
      <c r="H74" s="16"/>
      <c r="I74" s="10"/>
      <c r="J74" s="14"/>
      <c r="K74" s="10"/>
      <c r="L74" s="10"/>
      <c r="M74" s="10"/>
      <c r="N74" s="10"/>
      <c r="O74" s="10"/>
      <c r="Q74" s="8"/>
    </row>
    <row r="75" spans="4:23" ht="13" thickBot="1">
      <c r="D75">
        <v>33</v>
      </c>
      <c r="E75" s="9"/>
      <c r="F75" s="16"/>
      <c r="G75" s="10"/>
      <c r="H75" s="10"/>
      <c r="I75" s="10"/>
      <c r="J75" s="14"/>
      <c r="K75" s="10"/>
      <c r="L75" s="10"/>
      <c r="M75" s="10"/>
      <c r="N75" s="10"/>
      <c r="O75" s="10"/>
      <c r="Q75" s="8"/>
    </row>
    <row r="76" spans="4:23" ht="13" thickBot="1">
      <c r="E76" s="10"/>
      <c r="F76" s="10"/>
      <c r="G76" s="10"/>
      <c r="H76" s="10"/>
      <c r="I76" s="10"/>
      <c r="J76" s="14" t="s">
        <v>233</v>
      </c>
      <c r="K76" s="9" t="str">
        <f>IF(OR(J72="",J80=""),"",+IF(J72&gt;J80,I72,I80))</f>
        <v/>
      </c>
      <c r="L76" s="17"/>
      <c r="M76" s="10"/>
      <c r="N76" s="10"/>
      <c r="O76" s="10"/>
      <c r="Q76" s="8"/>
    </row>
    <row r="77" spans="4:23" ht="13" thickBot="1">
      <c r="D77">
        <v>34</v>
      </c>
      <c r="E77" s="10"/>
      <c r="F77" s="11"/>
      <c r="G77" s="10"/>
      <c r="H77" s="10"/>
      <c r="I77" s="10"/>
      <c r="J77" s="14"/>
      <c r="K77" s="10"/>
      <c r="L77" s="13"/>
      <c r="M77" s="10"/>
      <c r="N77" s="10"/>
      <c r="O77" s="10"/>
      <c r="Q77" s="8"/>
    </row>
    <row r="78" spans="4:23" ht="13" thickBot="1">
      <c r="E78" s="12"/>
      <c r="F78" s="13" t="s">
        <v>234</v>
      </c>
      <c r="G78" s="9" t="str">
        <f>IF(OR(F77="",F79=""),"",+IF(F77&gt;F79,E77,E79))</f>
        <v/>
      </c>
      <c r="H78" s="17"/>
      <c r="I78" s="10"/>
      <c r="J78" s="14"/>
      <c r="K78" s="10"/>
      <c r="L78" s="14"/>
      <c r="M78" s="10"/>
      <c r="N78" s="10"/>
      <c r="O78" s="10"/>
      <c r="Q78" s="8"/>
    </row>
    <row r="79" spans="4:23" ht="13" thickBot="1">
      <c r="D79">
        <v>35</v>
      </c>
      <c r="E79" s="10"/>
      <c r="F79" s="16"/>
      <c r="G79" s="10"/>
      <c r="H79" s="14"/>
      <c r="I79" s="10"/>
      <c r="J79" s="14"/>
      <c r="K79" s="10"/>
      <c r="L79" s="14"/>
      <c r="M79" s="10"/>
      <c r="N79" s="10"/>
      <c r="O79" s="10"/>
      <c r="Q79" s="8"/>
    </row>
    <row r="80" spans="4:23" ht="13" thickBot="1">
      <c r="E80" s="12"/>
      <c r="F80" s="10"/>
      <c r="G80" s="10"/>
      <c r="H80" s="14" t="s">
        <v>235</v>
      </c>
      <c r="I80" s="9" t="str">
        <f>IF(OR(H78="",H82=""),"",+IF(H78&gt;H82,G78,G82))</f>
        <v/>
      </c>
      <c r="J80" s="16"/>
      <c r="K80" s="10"/>
      <c r="L80" s="14"/>
      <c r="M80" s="10"/>
      <c r="N80" s="10"/>
      <c r="O80" s="10"/>
      <c r="Q80" s="8"/>
    </row>
    <row r="81" spans="4:17" ht="13" thickBot="1">
      <c r="D81">
        <v>36</v>
      </c>
      <c r="E81" s="10"/>
      <c r="F81" s="11"/>
      <c r="G81" s="10"/>
      <c r="H81" s="14"/>
      <c r="I81" s="10"/>
      <c r="J81" s="10"/>
      <c r="K81" s="10"/>
      <c r="L81" s="14"/>
      <c r="M81" s="10"/>
      <c r="N81" s="10"/>
      <c r="O81" s="10"/>
      <c r="Q81" s="8"/>
    </row>
    <row r="82" spans="4:17" ht="13" thickBot="1">
      <c r="E82" s="12"/>
      <c r="F82" s="13" t="s">
        <v>236</v>
      </c>
      <c r="G82" s="9" t="str">
        <f>IF(OR(F81="",F83=""),"",+IF(F81&gt;F83,E81,E83))</f>
        <v/>
      </c>
      <c r="H82" s="16"/>
      <c r="I82" s="10"/>
      <c r="J82" s="10"/>
      <c r="K82" s="10"/>
      <c r="L82" s="14"/>
      <c r="M82" s="10"/>
      <c r="N82" s="10"/>
      <c r="O82" s="10"/>
      <c r="Q82" s="8"/>
    </row>
    <row r="83" spans="4:17" ht="13" thickBot="1">
      <c r="D83">
        <v>37</v>
      </c>
      <c r="E83" s="10"/>
      <c r="F83" s="16"/>
      <c r="G83" s="10"/>
      <c r="H83" s="10"/>
      <c r="I83" s="10"/>
      <c r="J83" s="10"/>
      <c r="K83" s="10"/>
      <c r="L83" s="14"/>
      <c r="M83" s="10"/>
      <c r="N83" s="10"/>
      <c r="O83" s="10"/>
      <c r="Q83" s="8"/>
    </row>
    <row r="84" spans="4:17" ht="13" thickBot="1">
      <c r="E84" s="12"/>
      <c r="F84" s="10"/>
      <c r="G84" s="10"/>
      <c r="H84" s="10"/>
      <c r="I84" s="10"/>
      <c r="J84" s="10"/>
      <c r="K84" s="10"/>
      <c r="L84" s="14" t="s">
        <v>237</v>
      </c>
      <c r="M84" s="9" t="str">
        <f>IF(OR(L76="",L92=""),"",+IF(L76&gt;L92,K76,K92))</f>
        <v/>
      </c>
      <c r="N84" s="17"/>
      <c r="O84" s="10"/>
      <c r="Q84" s="8"/>
    </row>
    <row r="85" spans="4:17" ht="13" thickBot="1">
      <c r="D85">
        <v>38</v>
      </c>
      <c r="E85" s="10"/>
      <c r="F85" s="11"/>
      <c r="G85" s="10"/>
      <c r="H85" s="10"/>
      <c r="I85" s="10"/>
      <c r="J85" s="10"/>
      <c r="K85" s="10"/>
      <c r="L85" s="14"/>
      <c r="M85" s="10"/>
      <c r="N85" s="14"/>
      <c r="O85" s="10"/>
      <c r="Q85" s="8"/>
    </row>
    <row r="86" spans="4:17" ht="13" thickBot="1">
      <c r="E86" s="12"/>
      <c r="F86" s="13" t="s">
        <v>238</v>
      </c>
      <c r="G86" s="9" t="str">
        <f>IF(OR(F85="",F87=""),"",+IF(F85&gt;F87,E85,E87))</f>
        <v/>
      </c>
      <c r="H86" s="17"/>
      <c r="I86" s="10"/>
      <c r="J86" s="10"/>
      <c r="K86" s="10"/>
      <c r="L86" s="14"/>
      <c r="M86" s="10"/>
      <c r="N86" s="14"/>
      <c r="O86" s="10"/>
      <c r="Q86" s="8"/>
    </row>
    <row r="87" spans="4:17" ht="13" thickBot="1">
      <c r="D87">
        <v>39</v>
      </c>
      <c r="E87" s="10"/>
      <c r="F87" s="16"/>
      <c r="G87" s="10"/>
      <c r="H87" s="14"/>
      <c r="I87" s="10"/>
      <c r="J87" s="10"/>
      <c r="K87" s="10"/>
      <c r="L87" s="14"/>
      <c r="M87" s="10"/>
      <c r="N87" s="14"/>
      <c r="O87" s="10"/>
      <c r="Q87" s="8"/>
    </row>
    <row r="88" spans="4:17" ht="13" thickBot="1">
      <c r="E88" s="12"/>
      <c r="F88" s="10"/>
      <c r="G88" s="10"/>
      <c r="H88" s="14" t="s">
        <v>239</v>
      </c>
      <c r="I88" s="9" t="str">
        <f>IF(OR(H86="",H90=""),"",+IF(H86&gt;H90,G86,G90))</f>
        <v/>
      </c>
      <c r="J88" s="17"/>
      <c r="K88" s="10"/>
      <c r="L88" s="14"/>
      <c r="M88" s="10"/>
      <c r="N88" s="14"/>
      <c r="O88" s="10"/>
      <c r="Q88" s="8"/>
    </row>
    <row r="89" spans="4:17" ht="13" thickBot="1">
      <c r="D89">
        <v>40</v>
      </c>
      <c r="E89" s="10"/>
      <c r="F89" s="11"/>
      <c r="G89" s="10"/>
      <c r="H89" s="14"/>
      <c r="I89" s="10"/>
      <c r="J89" s="13"/>
      <c r="K89" s="10"/>
      <c r="L89" s="14"/>
      <c r="M89" s="10"/>
      <c r="N89" s="14"/>
      <c r="O89" s="10"/>
      <c r="Q89" s="8"/>
    </row>
    <row r="90" spans="4:17" ht="13" thickBot="1">
      <c r="E90" s="12"/>
      <c r="F90" s="13" t="s">
        <v>240</v>
      </c>
      <c r="G90" s="9" t="str">
        <f>IF(OR(F89="",F91=""),"",+IF(F89&gt;F91,E89,E91))</f>
        <v/>
      </c>
      <c r="H90" s="16"/>
      <c r="I90" s="10"/>
      <c r="J90" s="14"/>
      <c r="K90" s="10"/>
      <c r="L90" s="14"/>
      <c r="M90" s="10"/>
      <c r="N90" s="14"/>
      <c r="O90" s="10"/>
      <c r="Q90" s="8"/>
    </row>
    <row r="91" spans="4:17" ht="13" thickBot="1">
      <c r="D91">
        <v>41</v>
      </c>
      <c r="E91" s="10"/>
      <c r="F91" s="16"/>
      <c r="G91" s="10"/>
      <c r="H91" s="10"/>
      <c r="I91" s="10"/>
      <c r="J91" s="14"/>
      <c r="K91" s="10"/>
      <c r="L91" s="14"/>
      <c r="M91" s="10"/>
      <c r="N91" s="14"/>
      <c r="O91" s="10"/>
      <c r="Q91" s="8"/>
    </row>
    <row r="92" spans="4:17" ht="13" thickBot="1">
      <c r="E92" s="12"/>
      <c r="F92" s="10"/>
      <c r="G92" s="10"/>
      <c r="H92" s="10"/>
      <c r="I92" s="10"/>
      <c r="J92" s="14" t="s">
        <v>241</v>
      </c>
      <c r="K92" s="9" t="str">
        <f>IF(OR(J88="",J96=""),"",+IF(J88&gt;J96,I88,I96))</f>
        <v/>
      </c>
      <c r="L92" s="16"/>
      <c r="M92" s="10"/>
      <c r="N92" s="14"/>
      <c r="O92" s="10"/>
      <c r="Q92" s="8"/>
    </row>
    <row r="93" spans="4:17" ht="13" thickBot="1">
      <c r="D93">
        <v>42</v>
      </c>
      <c r="E93" s="10"/>
      <c r="F93" s="11"/>
      <c r="G93" s="10"/>
      <c r="H93" s="10"/>
      <c r="I93" s="10"/>
      <c r="J93" s="14"/>
      <c r="K93" s="10"/>
      <c r="L93" s="10"/>
      <c r="M93" s="10"/>
      <c r="N93" s="14"/>
      <c r="O93" s="10"/>
      <c r="Q93" s="8"/>
    </row>
    <row r="94" spans="4:17" ht="13" thickBot="1">
      <c r="E94" s="12"/>
      <c r="F94" s="13" t="s">
        <v>242</v>
      </c>
      <c r="G94" s="9" t="str">
        <f>IF(OR(F93="",F95=""),"",+IF(F93&gt;F95,E93,E95))</f>
        <v/>
      </c>
      <c r="H94" s="17"/>
      <c r="I94" s="10"/>
      <c r="J94" s="14"/>
      <c r="K94" s="10"/>
      <c r="L94" s="10"/>
      <c r="M94" s="10"/>
      <c r="N94" s="14"/>
      <c r="O94" s="10"/>
      <c r="Q94" s="8"/>
    </row>
    <row r="95" spans="4:17" ht="13" thickBot="1">
      <c r="D95">
        <v>43</v>
      </c>
      <c r="E95" s="10"/>
      <c r="F95" s="16"/>
      <c r="G95" s="10"/>
      <c r="H95" s="14"/>
      <c r="I95" s="10"/>
      <c r="J95" s="14"/>
      <c r="K95" s="10"/>
      <c r="L95" s="10"/>
      <c r="M95" s="10"/>
      <c r="N95" s="14"/>
      <c r="O95" s="10"/>
      <c r="Q95" s="8"/>
    </row>
    <row r="96" spans="4:17" ht="13" thickBot="1">
      <c r="E96" s="12"/>
      <c r="F96" s="10"/>
      <c r="G96" s="10"/>
      <c r="H96" s="14" t="s">
        <v>243</v>
      </c>
      <c r="I96" s="9" t="str">
        <f>IF(OR(H94="",H98=""),"",+IF(H94&gt;H98,G94,G98))</f>
        <v/>
      </c>
      <c r="J96" s="16"/>
      <c r="K96" s="10"/>
      <c r="L96" s="10"/>
      <c r="M96" s="10"/>
      <c r="N96" s="14"/>
      <c r="O96" s="10"/>
      <c r="Q96" s="8"/>
    </row>
    <row r="97" spans="4:17" ht="13" thickBot="1">
      <c r="D97">
        <v>44</v>
      </c>
      <c r="E97" s="10"/>
      <c r="F97" s="11"/>
      <c r="G97" s="10"/>
      <c r="H97" s="14"/>
      <c r="I97" s="10"/>
      <c r="J97" s="10"/>
      <c r="K97" s="10"/>
      <c r="L97" s="10"/>
      <c r="M97" s="10"/>
      <c r="N97" s="14"/>
      <c r="O97" s="10"/>
      <c r="Q97" s="8"/>
    </row>
    <row r="98" spans="4:17" ht="13" thickBot="1">
      <c r="E98" s="12"/>
      <c r="F98" s="13" t="s">
        <v>244</v>
      </c>
      <c r="G98" s="9" t="str">
        <f>IF(OR(F97="",F99=""),"",+IF(F97&gt;F99,E97,E99))</f>
        <v/>
      </c>
      <c r="H98" s="16"/>
      <c r="I98" s="10"/>
      <c r="J98" s="10"/>
      <c r="K98" s="10"/>
      <c r="L98" s="10"/>
      <c r="M98" s="10"/>
      <c r="N98" s="14"/>
      <c r="O98" s="10"/>
      <c r="Q98" s="8"/>
    </row>
    <row r="99" spans="4:17" ht="13" thickBot="1">
      <c r="D99">
        <v>45</v>
      </c>
      <c r="E99" s="9"/>
      <c r="F99" s="16"/>
      <c r="G99" s="10"/>
      <c r="H99" s="10"/>
      <c r="I99" s="10"/>
      <c r="J99" s="10"/>
      <c r="K99" s="10"/>
      <c r="L99" s="10"/>
      <c r="M99" s="10"/>
      <c r="N99" s="14"/>
      <c r="O99" s="10"/>
      <c r="Q99" s="8"/>
    </row>
    <row r="100" spans="4:17" ht="13" thickBot="1">
      <c r="E100" s="10"/>
      <c r="F100" s="10"/>
      <c r="G100" s="10"/>
      <c r="H100" s="10"/>
      <c r="I100" s="10"/>
      <c r="J100" s="10"/>
      <c r="K100" s="10"/>
      <c r="L100" s="10"/>
      <c r="M100" s="10"/>
      <c r="N100" s="14" t="s">
        <v>245</v>
      </c>
      <c r="O100" s="9" t="str">
        <f>IF(OR(N84="",N116=""),"",+IF(N84&gt;N116,M84,M116))</f>
        <v/>
      </c>
      <c r="P100" s="7"/>
      <c r="Q100" s="8"/>
    </row>
    <row r="101" spans="4:17" ht="13" thickBot="1">
      <c r="D101">
        <v>46</v>
      </c>
      <c r="E101" s="10"/>
      <c r="F101" s="11"/>
      <c r="G101" s="10"/>
      <c r="H101" s="10"/>
      <c r="I101" s="10"/>
      <c r="J101" s="10"/>
      <c r="K101" s="10"/>
      <c r="L101" s="10"/>
      <c r="M101" s="10"/>
      <c r="N101" s="14"/>
      <c r="O101" s="10"/>
    </row>
    <row r="102" spans="4:17" ht="13" thickBot="1">
      <c r="E102" s="12"/>
      <c r="F102" s="13" t="s">
        <v>246</v>
      </c>
      <c r="G102" s="9" t="str">
        <f>IF(OR(F101="",F103=""),"",+IF(F101&gt;F103,E101,E103))</f>
        <v/>
      </c>
      <c r="H102" s="17"/>
      <c r="I102" s="10"/>
      <c r="J102" s="10"/>
      <c r="K102" s="10"/>
      <c r="L102" s="10"/>
      <c r="M102" s="10"/>
      <c r="N102" s="14"/>
      <c r="O102" s="10"/>
    </row>
    <row r="103" spans="4:17" ht="13" thickBot="1">
      <c r="D103">
        <v>47</v>
      </c>
      <c r="E103" s="10"/>
      <c r="F103" s="16"/>
      <c r="G103" s="10"/>
      <c r="H103" s="14"/>
      <c r="I103" s="10"/>
      <c r="J103" s="10"/>
      <c r="K103" s="10"/>
      <c r="L103" s="10"/>
      <c r="M103" s="10"/>
      <c r="N103" s="14"/>
      <c r="O103" s="10"/>
    </row>
    <row r="104" spans="4:17" ht="13" thickBot="1">
      <c r="E104" s="12"/>
      <c r="F104" s="10"/>
      <c r="G104" s="10"/>
      <c r="H104" s="14" t="s">
        <v>247</v>
      </c>
      <c r="I104" s="9" t="str">
        <f>IF(OR(H102="",H106=""),"",+IF(H102&gt;H106,G102,G106))</f>
        <v/>
      </c>
      <c r="J104" s="17"/>
      <c r="K104" s="10"/>
      <c r="L104" s="10"/>
      <c r="M104" s="10"/>
      <c r="N104" s="14"/>
      <c r="O104" s="10"/>
    </row>
    <row r="105" spans="4:17" ht="13" thickBot="1">
      <c r="D105">
        <v>48</v>
      </c>
      <c r="E105" s="10"/>
      <c r="F105" s="11"/>
      <c r="G105" s="10"/>
      <c r="H105" s="14"/>
      <c r="I105" s="10"/>
      <c r="J105" s="13"/>
      <c r="K105" s="10"/>
      <c r="L105" s="10"/>
      <c r="M105" s="10"/>
      <c r="N105" s="14"/>
      <c r="O105" s="10"/>
    </row>
    <row r="106" spans="4:17" ht="13" thickBot="1">
      <c r="E106" s="12"/>
      <c r="F106" s="13" t="s">
        <v>248</v>
      </c>
      <c r="G106" s="9" t="str">
        <f>IF(OR(F105="",F107=""),"",+IF(F105&gt;F107,E105,E107))</f>
        <v/>
      </c>
      <c r="H106" s="16"/>
      <c r="I106" s="10"/>
      <c r="J106" s="14"/>
      <c r="K106" s="10"/>
      <c r="L106" s="10"/>
      <c r="M106" s="10"/>
      <c r="N106" s="14"/>
      <c r="O106" s="10"/>
    </row>
    <row r="107" spans="4:17" ht="13" thickBot="1">
      <c r="D107">
        <v>49</v>
      </c>
      <c r="E107" s="10"/>
      <c r="F107" s="16"/>
      <c r="G107" s="10"/>
      <c r="H107" s="10"/>
      <c r="I107" s="10"/>
      <c r="J107" s="14"/>
      <c r="K107" s="10"/>
      <c r="L107" s="10"/>
      <c r="M107" s="10"/>
      <c r="N107" s="14"/>
      <c r="O107" s="10"/>
    </row>
    <row r="108" spans="4:17" ht="13" thickBot="1">
      <c r="E108" s="12"/>
      <c r="F108" s="10"/>
      <c r="G108" s="10"/>
      <c r="H108" s="10"/>
      <c r="I108" s="10"/>
      <c r="J108" s="14" t="s">
        <v>249</v>
      </c>
      <c r="K108" s="9" t="str">
        <f>IF(OR(J104="",J112=""),"",+IF(J104&gt;J112,I104,I112))</f>
        <v/>
      </c>
      <c r="L108" s="17"/>
      <c r="M108" s="10"/>
      <c r="N108" s="14"/>
      <c r="O108" s="10"/>
    </row>
    <row r="109" spans="4:17" ht="13" thickBot="1">
      <c r="D109">
        <v>50</v>
      </c>
      <c r="E109" s="10"/>
      <c r="F109" s="11"/>
      <c r="G109" s="10"/>
      <c r="H109" s="10"/>
      <c r="I109" s="10"/>
      <c r="J109" s="14"/>
      <c r="K109" s="10"/>
      <c r="L109" s="13"/>
      <c r="M109" s="10"/>
      <c r="N109" s="14"/>
      <c r="O109" s="10"/>
    </row>
    <row r="110" spans="4:17" ht="13" thickBot="1">
      <c r="E110" s="12"/>
      <c r="F110" s="13" t="s">
        <v>250</v>
      </c>
      <c r="G110" s="9" t="str">
        <f>IF(OR(F109="",F111=""),"",+IF(F109&gt;F111,E109,E111))</f>
        <v/>
      </c>
      <c r="H110" s="17"/>
      <c r="I110" s="10"/>
      <c r="J110" s="14"/>
      <c r="K110" s="10"/>
      <c r="L110" s="14"/>
      <c r="M110" s="10"/>
      <c r="N110" s="14"/>
      <c r="O110" s="10"/>
    </row>
    <row r="111" spans="4:17" ht="13" thickBot="1">
      <c r="D111">
        <v>51</v>
      </c>
      <c r="E111" s="10"/>
      <c r="F111" s="16"/>
      <c r="G111" s="10"/>
      <c r="H111" s="14"/>
      <c r="I111" s="10"/>
      <c r="J111" s="14"/>
      <c r="K111" s="10"/>
      <c r="L111" s="14"/>
      <c r="M111" s="10"/>
      <c r="N111" s="14"/>
      <c r="O111" s="10"/>
    </row>
    <row r="112" spans="4:17" ht="13" thickBot="1">
      <c r="E112" s="12"/>
      <c r="F112" s="10"/>
      <c r="G112" s="10"/>
      <c r="H112" s="14" t="s">
        <v>251</v>
      </c>
      <c r="I112" s="9" t="str">
        <f>IF(OR(H110="",H114=""),"",+IF(H110&gt;H114,G110,G114))</f>
        <v/>
      </c>
      <c r="J112" s="16"/>
      <c r="K112" s="10"/>
      <c r="L112" s="14"/>
      <c r="M112" s="10"/>
      <c r="N112" s="14"/>
      <c r="O112" s="10"/>
    </row>
    <row r="113" spans="4:15" ht="13" thickBot="1">
      <c r="D113">
        <v>52</v>
      </c>
      <c r="E113" s="10"/>
      <c r="F113" s="11"/>
      <c r="G113" s="10"/>
      <c r="H113" s="14"/>
      <c r="I113" s="10"/>
      <c r="J113" s="10"/>
      <c r="K113" s="10"/>
      <c r="L113" s="14"/>
      <c r="M113" s="10"/>
      <c r="N113" s="14"/>
      <c r="O113" s="10"/>
    </row>
    <row r="114" spans="4:15" ht="13" thickBot="1">
      <c r="E114" s="12"/>
      <c r="F114" s="13" t="s">
        <v>252</v>
      </c>
      <c r="G114" s="9" t="str">
        <f>IF(OR(F113="",F115=""),"",+IF(F113&gt;F115,E113,E115))</f>
        <v/>
      </c>
      <c r="H114" s="16"/>
      <c r="I114" s="10"/>
      <c r="J114" s="10"/>
      <c r="K114" s="10"/>
      <c r="L114" s="14"/>
      <c r="M114" s="10"/>
      <c r="N114" s="14"/>
      <c r="O114" s="10"/>
    </row>
    <row r="115" spans="4:15" ht="13" thickBot="1">
      <c r="D115">
        <v>53</v>
      </c>
      <c r="E115" s="9"/>
      <c r="F115" s="16"/>
      <c r="G115" s="10"/>
      <c r="H115" s="10"/>
      <c r="I115" s="10"/>
      <c r="J115" s="10"/>
      <c r="K115" s="10"/>
      <c r="L115" s="14"/>
      <c r="M115" s="10"/>
      <c r="N115" s="14"/>
      <c r="O115" s="10"/>
    </row>
    <row r="116" spans="4:15" ht="13" thickBot="1">
      <c r="E116" s="10"/>
      <c r="F116" s="10"/>
      <c r="G116" s="10"/>
      <c r="H116" s="10"/>
      <c r="I116" s="10"/>
      <c r="J116" s="10"/>
      <c r="K116" s="10"/>
      <c r="L116" s="14" t="s">
        <v>253</v>
      </c>
      <c r="M116" s="9" t="str">
        <f>IF(OR(L108="",L124=""),"",+IF(L108&gt;L124,K108,K124))</f>
        <v/>
      </c>
      <c r="N116" s="16"/>
      <c r="O116" s="10"/>
    </row>
    <row r="117" spans="4:15" ht="13" thickBot="1">
      <c r="D117">
        <v>54</v>
      </c>
      <c r="E117" s="10"/>
      <c r="F117" s="11"/>
      <c r="G117" s="10"/>
      <c r="H117" s="10"/>
      <c r="I117" s="10"/>
      <c r="J117" s="10"/>
      <c r="K117" s="10"/>
      <c r="L117" s="14"/>
      <c r="M117" s="10"/>
      <c r="N117" s="10"/>
      <c r="O117" s="10"/>
    </row>
    <row r="118" spans="4:15" ht="13" thickBot="1">
      <c r="E118" s="12"/>
      <c r="F118" s="13" t="s">
        <v>254</v>
      </c>
      <c r="G118" s="9" t="str">
        <f>IF(OR(F117="",F119=""),"",+IF(F117&gt;F119,E117,E119))</f>
        <v/>
      </c>
      <c r="H118" s="17"/>
      <c r="I118" s="10"/>
      <c r="J118" s="10"/>
      <c r="K118" s="10"/>
      <c r="L118" s="14"/>
      <c r="M118" s="10"/>
      <c r="N118" s="10"/>
      <c r="O118" s="10"/>
    </row>
    <row r="119" spans="4:15" ht="13" thickBot="1">
      <c r="D119">
        <v>55</v>
      </c>
      <c r="E119" s="10"/>
      <c r="F119" s="16"/>
      <c r="G119" s="10"/>
      <c r="H119" s="14"/>
      <c r="I119" s="10"/>
      <c r="J119" s="10"/>
      <c r="K119" s="10"/>
      <c r="L119" s="14"/>
      <c r="M119" s="10"/>
      <c r="N119" s="10"/>
      <c r="O119" s="10"/>
    </row>
    <row r="120" spans="4:15" ht="13" thickBot="1">
      <c r="E120" s="12"/>
      <c r="F120" s="10"/>
      <c r="G120" s="10"/>
      <c r="H120" s="14" t="s">
        <v>255</v>
      </c>
      <c r="I120" s="9" t="str">
        <f>IF(OR(H118="",H122=""),"",+IF(H118&gt;H122,G118,G122))</f>
        <v/>
      </c>
      <c r="J120" s="17"/>
      <c r="K120" s="10"/>
      <c r="L120" s="14"/>
      <c r="M120" s="10"/>
      <c r="N120" s="10"/>
      <c r="O120" s="10"/>
    </row>
    <row r="121" spans="4:15" ht="13" thickBot="1">
      <c r="D121">
        <v>56</v>
      </c>
      <c r="E121" s="10"/>
      <c r="F121" s="11"/>
      <c r="G121" s="10"/>
      <c r="H121" s="14"/>
      <c r="I121" s="10"/>
      <c r="J121" s="13"/>
      <c r="K121" s="10"/>
      <c r="L121" s="14"/>
      <c r="M121" s="10"/>
      <c r="N121" s="10"/>
      <c r="O121" s="10"/>
    </row>
    <row r="122" spans="4:15" ht="13" thickBot="1">
      <c r="E122" s="12"/>
      <c r="F122" s="13" t="s">
        <v>256</v>
      </c>
      <c r="G122" s="9" t="str">
        <f>IF(OR(F121="",F123=""),"",+IF(F121&gt;F123,E121,E123))</f>
        <v/>
      </c>
      <c r="H122" s="16"/>
      <c r="I122" s="10"/>
      <c r="J122" s="14"/>
      <c r="K122" s="10"/>
      <c r="L122" s="14"/>
      <c r="M122" s="10"/>
      <c r="N122" s="10"/>
      <c r="O122" s="10"/>
    </row>
    <row r="123" spans="4:15" ht="13" thickBot="1">
      <c r="D123">
        <v>57</v>
      </c>
      <c r="E123" s="10"/>
      <c r="F123" s="16"/>
      <c r="G123" s="10"/>
      <c r="H123" s="10"/>
      <c r="I123" s="10"/>
      <c r="J123" s="14"/>
      <c r="K123" s="10"/>
      <c r="L123" s="14"/>
      <c r="M123" s="10"/>
      <c r="N123" s="10"/>
      <c r="O123" s="10"/>
    </row>
    <row r="124" spans="4:15" ht="13" thickBot="1">
      <c r="E124" s="12"/>
      <c r="F124" s="10"/>
      <c r="G124" s="10"/>
      <c r="H124" s="10"/>
      <c r="I124" s="10"/>
      <c r="J124" s="14" t="s">
        <v>257</v>
      </c>
      <c r="K124" s="9" t="str">
        <f>IF(OR(J120="",J128=""),"",+IF(J120&gt;J128,I120,I128))</f>
        <v/>
      </c>
      <c r="L124" s="16"/>
      <c r="M124" s="10"/>
      <c r="N124" s="10"/>
      <c r="O124" s="10"/>
    </row>
    <row r="125" spans="4:15" ht="13" thickBot="1">
      <c r="D125">
        <v>58</v>
      </c>
      <c r="E125" s="10"/>
      <c r="F125" s="11"/>
      <c r="G125" s="10"/>
      <c r="H125" s="10"/>
      <c r="I125" s="10"/>
      <c r="J125" s="14"/>
      <c r="K125" s="10"/>
      <c r="L125" s="10"/>
      <c r="M125" s="10"/>
      <c r="N125" s="10"/>
      <c r="O125" s="10"/>
    </row>
    <row r="126" spans="4:15" ht="13" thickBot="1">
      <c r="E126" s="12"/>
      <c r="F126" s="13" t="s">
        <v>258</v>
      </c>
      <c r="G126" s="9" t="str">
        <f>IF(OR(F125="",F127=""),"",+IF(F125&gt;F127,E125,E127))</f>
        <v/>
      </c>
      <c r="H126" s="17"/>
      <c r="I126" s="10"/>
      <c r="J126" s="14"/>
      <c r="K126" s="10"/>
      <c r="L126" s="10"/>
      <c r="M126" s="10"/>
      <c r="N126" s="10"/>
      <c r="O126" s="10"/>
    </row>
    <row r="127" spans="4:15" ht="13" thickBot="1">
      <c r="D127">
        <v>59</v>
      </c>
      <c r="E127" s="10"/>
      <c r="F127" s="16"/>
      <c r="G127" s="10"/>
      <c r="H127" s="14"/>
      <c r="I127" s="10"/>
      <c r="J127" s="14"/>
      <c r="K127" s="10"/>
      <c r="L127" s="10"/>
      <c r="M127" s="10"/>
      <c r="N127" s="10"/>
      <c r="O127" s="10"/>
    </row>
    <row r="128" spans="4:15" ht="13" thickBot="1">
      <c r="E128" s="12"/>
      <c r="F128" s="10"/>
      <c r="G128" s="10"/>
      <c r="H128" s="14" t="s">
        <v>259</v>
      </c>
      <c r="I128" s="9" t="str">
        <f>IF(OR(H126="",H130=""),"",+IF(H126&gt;H130,G126,G130))</f>
        <v/>
      </c>
      <c r="J128" s="16"/>
      <c r="K128" s="10"/>
      <c r="L128" s="10"/>
      <c r="M128" s="10"/>
      <c r="N128" s="10"/>
      <c r="O128" s="10"/>
    </row>
    <row r="129" spans="4:15" ht="13" thickBot="1">
      <c r="D129">
        <v>60</v>
      </c>
      <c r="E129" s="10"/>
      <c r="F129" s="11"/>
      <c r="G129" s="10"/>
      <c r="H129" s="14"/>
      <c r="I129" s="10"/>
      <c r="J129" s="10"/>
      <c r="K129" s="10"/>
      <c r="L129" s="10"/>
      <c r="M129" s="10"/>
      <c r="N129" s="10"/>
      <c r="O129" s="10"/>
    </row>
    <row r="130" spans="4:15" ht="13" thickBot="1">
      <c r="E130" s="12"/>
      <c r="F130" s="13" t="s">
        <v>260</v>
      </c>
      <c r="G130" s="9" t="str">
        <f>IF(OR(F129="",F131=""),"",+IF(F129&gt;F131,E129,E131))</f>
        <v/>
      </c>
      <c r="H130" s="16"/>
      <c r="I130" s="10"/>
      <c r="J130" s="10"/>
      <c r="K130" s="10"/>
      <c r="L130" s="10"/>
      <c r="M130" s="10"/>
      <c r="N130" s="10"/>
      <c r="O130" s="10"/>
    </row>
    <row r="131" spans="4:15" ht="13" thickBot="1">
      <c r="D131">
        <v>61</v>
      </c>
      <c r="E131" s="9"/>
      <c r="F131" s="16"/>
      <c r="G131" s="10"/>
      <c r="H131" s="10"/>
      <c r="I131" s="10"/>
      <c r="J131" s="10"/>
      <c r="K131" s="10"/>
      <c r="L131" s="10"/>
      <c r="M131" s="10"/>
      <c r="N131" s="10"/>
      <c r="O131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64"/>
  <dimension ref="D4:AG130"/>
  <sheetViews>
    <sheetView showGridLines="0" topLeftCell="A25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64453125" customWidth="1"/>
    <col min="13" max="13" width="15.64453125" customWidth="1"/>
    <col min="14" max="14" width="3.64453125" customWidth="1"/>
    <col min="15" max="15" width="16" customWidth="1"/>
    <col min="16" max="16" width="4.527343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260</v>
      </c>
      <c r="I9" s="9" t="str">
        <f>IF(OR(H7="",H11=""),"",+IF(H7&gt;H11,G7,G11))</f>
        <v/>
      </c>
      <c r="J9" s="10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/>
      <c r="AE9" s="53" t="e">
        <f>LOOKUP(AD9,T$5:T$78,U$5:U$66)</f>
        <v>#N/A</v>
      </c>
      <c r="AF9" s="37" t="s">
        <v>157</v>
      </c>
      <c r="AG9" s="65" t="e">
        <f>LOOKUP(AD9,T$5:T$78,W$5:W$69)</f>
        <v>#N/A</v>
      </c>
    </row>
    <row r="10" spans="4:33" ht="13" thickBot="1">
      <c r="D10">
        <v>2</v>
      </c>
      <c r="E10" s="10"/>
      <c r="F10" s="11"/>
      <c r="G10" s="10"/>
      <c r="H10" s="14"/>
      <c r="I10" s="12"/>
      <c r="J10" s="15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/>
      <c r="AE10" s="53" t="e">
        <f>LOOKUP(AD10,T$5:T$78,U$5:U$66)</f>
        <v>#N/A</v>
      </c>
      <c r="AF10" s="37" t="s">
        <v>157</v>
      </c>
      <c r="AG10" s="65" t="e">
        <f>LOOKUP(AD10,T$5:T$78,W$5:W$69)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E34</f>
        <v>0</v>
      </c>
      <c r="V11" t="s">
        <v>77</v>
      </c>
      <c r="W11" s="29">
        <f>E36</f>
        <v>0</v>
      </c>
      <c r="Z11" s="34"/>
      <c r="AA11" s="40"/>
      <c r="AB11" s="40"/>
      <c r="AC11" s="38" t="s">
        <v>159</v>
      </c>
      <c r="AD11" s="48"/>
      <c r="AE11" s="53" t="e">
        <f>LOOKUP(AD11,T$5:T$78,U$5:U$66)</f>
        <v>#N/A</v>
      </c>
      <c r="AF11" s="37" t="s">
        <v>157</v>
      </c>
      <c r="AG11" s="65" t="e">
        <f>LOOKUP(AD11,T$5:T$78,W$5:W$69)</f>
        <v>#N/A</v>
      </c>
    </row>
    <row r="12" spans="4:33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E41</f>
        <v>0</v>
      </c>
      <c r="V12" t="s">
        <v>77</v>
      </c>
      <c r="W12" s="29">
        <f>E43</f>
        <v>0</v>
      </c>
      <c r="Z12" s="34"/>
      <c r="AA12" s="40"/>
      <c r="AB12" s="40"/>
      <c r="AC12" s="38" t="s">
        <v>159</v>
      </c>
      <c r="AD12" s="48"/>
      <c r="AE12" s="53" t="e">
        <f>LOOKUP(AD12,T$5:T$78,U$5:U$66)</f>
        <v>#N/A</v>
      </c>
      <c r="AF12" s="37" t="s">
        <v>157</v>
      </c>
      <c r="AG12" s="65" t="e">
        <f>LOOKUP(AD12,T$5:T$78,W$5:W$69)</f>
        <v>#N/A</v>
      </c>
    </row>
    <row r="13" spans="4:33" ht="13" thickBot="1">
      <c r="E13" s="10"/>
      <c r="F13" s="10"/>
      <c r="G13" s="10"/>
      <c r="H13" s="10"/>
      <c r="I13" s="10"/>
      <c r="J13" s="14" t="s">
        <v>259</v>
      </c>
      <c r="K13" s="9" t="str">
        <f>IF(OR(J10="",J17=""),"",+IF(J10&gt;J17,I9,I17))</f>
        <v/>
      </c>
      <c r="L13" s="17"/>
      <c r="M13" s="10"/>
      <c r="N13" s="10"/>
      <c r="O13" s="10"/>
      <c r="T13">
        <v>9</v>
      </c>
      <c r="U13" s="28">
        <f>E45</f>
        <v>0</v>
      </c>
      <c r="V13" t="s">
        <v>77</v>
      </c>
      <c r="W13" s="29">
        <f>E47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E49</f>
        <v>0</v>
      </c>
      <c r="V14" t="s">
        <v>77</v>
      </c>
      <c r="W14" s="29">
        <f>E51</f>
        <v>0</v>
      </c>
      <c r="Z14" s="34"/>
      <c r="AA14" s="40"/>
      <c r="AB14" s="40"/>
      <c r="AC14" s="38" t="s">
        <v>159</v>
      </c>
      <c r="AD14" s="48"/>
      <c r="AE14" s="53" t="e">
        <f>LOOKUP(AD14,T$5:T$78,U$5:U$66)</f>
        <v>#N/A</v>
      </c>
      <c r="AF14" s="37" t="s">
        <v>157</v>
      </c>
      <c r="AG14" s="65" t="e">
        <f>LOOKUP(AD14,T$5:T$78,W$5:W$69)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E53</f>
        <v>0</v>
      </c>
      <c r="V15" t="s">
        <v>77</v>
      </c>
      <c r="W15" s="29">
        <f>E55</f>
        <v>0</v>
      </c>
      <c r="Z15" s="34"/>
      <c r="AA15" s="40"/>
      <c r="AB15" s="40"/>
      <c r="AC15" s="38" t="s">
        <v>159</v>
      </c>
      <c r="AD15" s="48"/>
      <c r="AE15" s="53" t="e">
        <f>LOOKUP(AD15,T$5:T$78,U$5:U$66)</f>
        <v>#N/A</v>
      </c>
      <c r="AF15" s="37" t="s">
        <v>157</v>
      </c>
      <c r="AG15" s="65" t="e">
        <f>LOOKUP(AD15,T$5:T$78,W$5:W$69)</f>
        <v>#N/A</v>
      </c>
    </row>
    <row r="16" spans="4:33" ht="13" thickBot="1">
      <c r="D16">
        <v>5</v>
      </c>
      <c r="E16" s="10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E57</f>
        <v>0</v>
      </c>
      <c r="V16" t="s">
        <v>77</v>
      </c>
      <c r="W16" s="29">
        <f>E59</f>
        <v>0</v>
      </c>
      <c r="Z16" s="34"/>
      <c r="AA16" s="40"/>
      <c r="AB16" s="40"/>
      <c r="AC16" s="38" t="s">
        <v>159</v>
      </c>
      <c r="AD16" s="48"/>
      <c r="AE16" s="53" t="e">
        <f>LOOKUP(AD16,T$5:T$78,U$5:U$66)</f>
        <v>#N/A</v>
      </c>
      <c r="AF16" s="37" t="s">
        <v>157</v>
      </c>
      <c r="AG16" s="65" t="e">
        <f>LOOKUP(AD16,T$5:T$78,W$5:W$69)</f>
        <v>#N/A</v>
      </c>
    </row>
    <row r="17" spans="4:33" ht="13" thickBot="1">
      <c r="E17" s="12"/>
      <c r="F17" s="10"/>
      <c r="G17" s="10"/>
      <c r="H17" s="14" t="s">
        <v>201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E61</f>
        <v>0</v>
      </c>
      <c r="V17" t="s">
        <v>77</v>
      </c>
      <c r="W17" s="29">
        <f>E63</f>
        <v>0</v>
      </c>
      <c r="Z17" s="34"/>
      <c r="AA17" s="40"/>
      <c r="AB17" s="40"/>
      <c r="AC17" s="38" t="s">
        <v>159</v>
      </c>
      <c r="AD17" s="48"/>
      <c r="AE17" s="53" t="e">
        <f>LOOKUP(AD17,T$5:T$78,U$5:U$66)</f>
        <v>#N/A</v>
      </c>
      <c r="AF17" s="37" t="s">
        <v>157</v>
      </c>
      <c r="AG17" s="65" t="e">
        <f>LOOKUP(AD17,T$5:T$78,W$5:W$69)</f>
        <v>#N/A</v>
      </c>
    </row>
    <row r="18" spans="4:33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>
        <f>E65</f>
        <v>0</v>
      </c>
      <c r="V18" t="s">
        <v>77</v>
      </c>
      <c r="W18" s="29">
        <f>E67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>
        <f>E73</f>
        <v>0</v>
      </c>
      <c r="V19" t="s">
        <v>77</v>
      </c>
      <c r="W19" s="29">
        <f>E75</f>
        <v>0</v>
      </c>
      <c r="Z19" s="34"/>
      <c r="AA19" s="40"/>
      <c r="AB19" s="40"/>
      <c r="AC19" s="38" t="s">
        <v>159</v>
      </c>
      <c r="AD19" s="48"/>
      <c r="AE19" s="53" t="e">
        <f>LOOKUP(AD19,T$5:T$78,U$5:U$66)</f>
        <v>#N/A</v>
      </c>
      <c r="AF19" s="37" t="s">
        <v>157</v>
      </c>
      <c r="AG19" s="65" t="e">
        <f>LOOKUP(AD19,T$5:T$78,W$5:W$69)</f>
        <v>#N/A</v>
      </c>
    </row>
    <row r="20" spans="4:33" ht="13" thickBot="1">
      <c r="D20">
        <v>7</v>
      </c>
      <c r="E20" s="10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>
        <f>E77</f>
        <v>0</v>
      </c>
      <c r="V20" t="s">
        <v>77</v>
      </c>
      <c r="W20" s="29">
        <f>E79</f>
        <v>0</v>
      </c>
      <c r="Z20" s="34"/>
      <c r="AA20" s="40"/>
      <c r="AB20" s="40"/>
      <c r="AC20" s="38" t="s">
        <v>159</v>
      </c>
      <c r="AD20" s="48"/>
      <c r="AE20" s="53" t="e">
        <f>LOOKUP(AD20,T$5:T$78,U$5:U$66)</f>
        <v>#N/A</v>
      </c>
      <c r="AF20" s="37" t="s">
        <v>157</v>
      </c>
      <c r="AG20" s="65" t="e">
        <f>LOOKUP(AD20,T$5:T$78,W$5:W$69)</f>
        <v>#N/A</v>
      </c>
    </row>
    <row r="21" spans="4:33" ht="13" thickBot="1">
      <c r="E21" s="12"/>
      <c r="F21" s="10"/>
      <c r="G21" s="10"/>
      <c r="H21" s="10"/>
      <c r="I21" s="10"/>
      <c r="J21" s="10"/>
      <c r="K21" s="10"/>
      <c r="L21" s="14" t="s">
        <v>257</v>
      </c>
      <c r="M21" s="9" t="str">
        <f>IF(OR(L13="",L29=""),"",+IF(L13&gt;L29,K13,K29))</f>
        <v/>
      </c>
      <c r="N21" s="17"/>
      <c r="O21" s="10"/>
      <c r="T21">
        <v>17</v>
      </c>
      <c r="U21" s="28">
        <f>E81</f>
        <v>0</v>
      </c>
      <c r="V21" t="s">
        <v>77</v>
      </c>
      <c r="W21" s="29">
        <f>E83</f>
        <v>0</v>
      </c>
      <c r="Z21" s="34"/>
      <c r="AA21" s="40"/>
      <c r="AB21" s="40"/>
      <c r="AC21" s="38" t="s">
        <v>159</v>
      </c>
      <c r="AD21" s="48"/>
      <c r="AE21" s="53" t="e">
        <f>LOOKUP(AD21,T$5:T$78,U$5:U$66)</f>
        <v>#N/A</v>
      </c>
      <c r="AF21" s="37" t="s">
        <v>157</v>
      </c>
      <c r="AG21" s="65" t="e">
        <f>LOOKUP(AD21,T$5:T$78,W$5:W$69)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>
        <f>E85</f>
        <v>0</v>
      </c>
      <c r="V22" t="s">
        <v>77</v>
      </c>
      <c r="W22" s="29">
        <f>E87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28">
        <f>E89</f>
        <v>0</v>
      </c>
      <c r="V23" t="s">
        <v>77</v>
      </c>
      <c r="W23" s="29">
        <f>E91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28">
        <f>E93</f>
        <v>0</v>
      </c>
      <c r="V24" t="s">
        <v>77</v>
      </c>
      <c r="W24" s="29">
        <f>E95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0"/>
      <c r="G25" s="10"/>
      <c r="H25" s="14" t="s">
        <v>205</v>
      </c>
      <c r="I25" s="9" t="str">
        <f>IF(OR(H23="",H27=""),"",+IF(H23&gt;H27,G23,G27))</f>
        <v/>
      </c>
      <c r="J25" s="17"/>
      <c r="K25" s="10"/>
      <c r="L25" s="14"/>
      <c r="M25" s="10"/>
      <c r="N25" s="14"/>
      <c r="O25" s="10"/>
      <c r="T25">
        <v>21</v>
      </c>
      <c r="U25" s="28">
        <f>E97</f>
        <v>0</v>
      </c>
      <c r="V25" t="s">
        <v>77</v>
      </c>
      <c r="W25" s="29">
        <f>E99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1"/>
      <c r="G26" s="10"/>
      <c r="H26" s="14"/>
      <c r="I26" s="10"/>
      <c r="J26" s="13"/>
      <c r="K26" s="10"/>
      <c r="L26" s="14"/>
      <c r="M26" s="10"/>
      <c r="N26" s="14"/>
      <c r="O26" s="10"/>
      <c r="T26">
        <v>22</v>
      </c>
      <c r="U26" s="28">
        <f>E104</f>
        <v>0</v>
      </c>
      <c r="V26" t="s">
        <v>77</v>
      </c>
      <c r="W26" s="29">
        <f>E106</f>
        <v>0</v>
      </c>
      <c r="Z26" s="34"/>
      <c r="AA26" s="40"/>
      <c r="AB26" s="40"/>
      <c r="AC26" s="38" t="s">
        <v>159</v>
      </c>
      <c r="AD26" s="48"/>
      <c r="AE26" s="53" t="e">
        <f>LOOKUP(AD26,T$5:T$78,U$5:U$66)</f>
        <v>#N/A</v>
      </c>
      <c r="AF26" s="37" t="s">
        <v>157</v>
      </c>
      <c r="AG26" s="65" t="e">
        <f>LOOKUP(AD26,T$5:T$78,W$5:W$69)</f>
        <v>#N/A</v>
      </c>
    </row>
    <row r="27" spans="4:33" ht="13" thickBot="1">
      <c r="E27" s="12"/>
      <c r="F27" s="13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>
        <f>E108</f>
        <v>0</v>
      </c>
      <c r="V27" t="s">
        <v>77</v>
      </c>
      <c r="W27" s="29">
        <f>E110</f>
        <v>0</v>
      </c>
      <c r="Z27" s="34"/>
      <c r="AA27" s="40"/>
      <c r="AB27" s="40"/>
      <c r="AC27" s="38" t="s">
        <v>159</v>
      </c>
      <c r="AD27" s="48"/>
      <c r="AE27" s="53" t="e">
        <f>LOOKUP(AD27,T$5:T$78,U$5:U$66)</f>
        <v>#N/A</v>
      </c>
      <c r="AF27" s="37" t="s">
        <v>157</v>
      </c>
      <c r="AG27" s="65" t="e">
        <f>LOOKUP(AD27,T$5:T$78,W$5:W$69)</f>
        <v>#N/A</v>
      </c>
    </row>
    <row r="28" spans="4:33" ht="13" thickBot="1">
      <c r="D28">
        <v>11</v>
      </c>
      <c r="E28" s="10"/>
      <c r="F28" s="16"/>
      <c r="G28" s="10"/>
      <c r="H28" s="10"/>
      <c r="I28" s="10"/>
      <c r="J28" s="14"/>
      <c r="K28" s="10"/>
      <c r="L28" s="14"/>
      <c r="M28" s="10"/>
      <c r="N28" s="14"/>
      <c r="O28" s="10"/>
      <c r="T28">
        <v>24</v>
      </c>
      <c r="U28" s="28">
        <f>E112</f>
        <v>0</v>
      </c>
      <c r="V28" t="s">
        <v>77</v>
      </c>
      <c r="W28" s="29">
        <f>E114</f>
        <v>0</v>
      </c>
      <c r="Z28" s="34"/>
      <c r="AA28" s="40"/>
      <c r="AB28" s="40"/>
      <c r="AC28" s="38" t="s">
        <v>159</v>
      </c>
      <c r="AD28" s="48"/>
      <c r="AE28" s="53" t="e">
        <f>LOOKUP(AD28,T$5:T$78,U$5:U$66)</f>
        <v>#N/A</v>
      </c>
      <c r="AF28" s="37" t="s">
        <v>157</v>
      </c>
      <c r="AG28" s="65" t="e">
        <f>LOOKUP(AD28,T$5:T$78,W$5:W$69)</f>
        <v>#N/A</v>
      </c>
    </row>
    <row r="29" spans="4:33" ht="13" thickBot="1">
      <c r="E29" s="12"/>
      <c r="F29" s="10"/>
      <c r="G29" s="10"/>
      <c r="H29" s="10"/>
      <c r="I29" s="10"/>
      <c r="J29" s="14" t="s">
        <v>203</v>
      </c>
      <c r="K29" s="9" t="str">
        <f>IF(OR(J25="",J33=""),"",+IF(J25&gt;J33,I25,I33))</f>
        <v/>
      </c>
      <c r="L29" s="16"/>
      <c r="M29" s="10"/>
      <c r="N29" s="14"/>
      <c r="O29" s="10"/>
      <c r="T29">
        <v>25</v>
      </c>
      <c r="U29" s="28">
        <f>E116</f>
        <v>0</v>
      </c>
      <c r="V29" t="s">
        <v>77</v>
      </c>
      <c r="W29" s="29">
        <f>E118</f>
        <v>0</v>
      </c>
      <c r="Z29" s="34"/>
      <c r="AA29" s="40"/>
      <c r="AB29" s="40"/>
      <c r="AC29" s="38" t="s">
        <v>159</v>
      </c>
      <c r="AD29" s="48"/>
      <c r="AE29" s="53" t="e">
        <f>LOOKUP(AD29,T$5:T$78,U$5:U$66)</f>
        <v>#N/A</v>
      </c>
      <c r="AF29" s="37" t="s">
        <v>157</v>
      </c>
      <c r="AG29" s="65" t="e">
        <f>LOOKUP(AD29,T$5:T$78,W$5:W$69)</f>
        <v>#N/A</v>
      </c>
    </row>
    <row r="30" spans="4:33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>
        <f>E120</f>
        <v>0</v>
      </c>
      <c r="V30" t="s">
        <v>77</v>
      </c>
      <c r="W30" s="29">
        <f>E122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2"/>
      <c r="F31" s="13" t="s">
        <v>212</v>
      </c>
      <c r="G31" s="9" t="str">
        <f>IF(OR(F30="",F32=""),"",+IF(F30&gt;F32,E30,E32))</f>
        <v/>
      </c>
      <c r="H31" s="17"/>
      <c r="I31" s="10"/>
      <c r="J31" s="14"/>
      <c r="K31" s="10"/>
      <c r="L31" s="10"/>
      <c r="M31" s="10"/>
      <c r="N31" s="14"/>
      <c r="O31" s="10"/>
      <c r="T31">
        <v>27</v>
      </c>
      <c r="U31" s="28">
        <f>E124</f>
        <v>0</v>
      </c>
      <c r="V31" t="s">
        <v>77</v>
      </c>
      <c r="W31" s="29">
        <f>E126</f>
        <v>0</v>
      </c>
      <c r="Z31" s="34"/>
      <c r="AA31" s="40"/>
      <c r="AB31" s="40"/>
      <c r="AC31" s="38" t="s">
        <v>159</v>
      </c>
      <c r="AD31" s="48"/>
      <c r="AE31" s="53" t="e">
        <f>LOOKUP(AD31,T$5:T$78,U$5:U$66)</f>
        <v>#N/A</v>
      </c>
      <c r="AF31" s="37" t="s">
        <v>157</v>
      </c>
      <c r="AG31" s="65" t="e">
        <f>LOOKUP(AD31,T$5:T$78,W$5:W$69)</f>
        <v>#N/A</v>
      </c>
    </row>
    <row r="32" spans="4:33" ht="13" thickBot="1">
      <c r="D32">
        <v>13</v>
      </c>
      <c r="E32" s="10"/>
      <c r="F32" s="16"/>
      <c r="G32" s="10"/>
      <c r="H32" s="14"/>
      <c r="I32" s="10"/>
      <c r="J32" s="14"/>
      <c r="K32" s="10"/>
      <c r="L32" s="10"/>
      <c r="M32" s="10"/>
      <c r="N32" s="14"/>
      <c r="O32" s="10"/>
      <c r="T32">
        <v>28</v>
      </c>
      <c r="U32" s="28">
        <f>E128</f>
        <v>0</v>
      </c>
      <c r="V32" t="s">
        <v>77</v>
      </c>
      <c r="W32" s="29">
        <f>E130</f>
        <v>0</v>
      </c>
      <c r="Z32" s="34"/>
      <c r="AA32" s="40"/>
      <c r="AB32" s="40"/>
      <c r="AC32" s="38" t="s">
        <v>159</v>
      </c>
      <c r="AD32" s="48"/>
      <c r="AE32" s="53" t="e">
        <f>LOOKUP(AD32,T$5:T$78,U$5:U$66)</f>
        <v>#N/A</v>
      </c>
      <c r="AF32" s="37" t="s">
        <v>157</v>
      </c>
      <c r="AG32" s="65" t="e">
        <f>LOOKUP(AD32,T$5:T$78,W$5:W$69)</f>
        <v>#N/A</v>
      </c>
    </row>
    <row r="33" spans="4:33" ht="13" thickBot="1">
      <c r="E33" s="12"/>
      <c r="F33" s="10"/>
      <c r="G33" s="10"/>
      <c r="H33" s="14" t="s">
        <v>209</v>
      </c>
      <c r="I33" s="9" t="str">
        <f>IF(OR(H31="",H35=""),"",+IF(H31&gt;H35,G31,G35))</f>
        <v/>
      </c>
      <c r="J33" s="16"/>
      <c r="K33" s="10"/>
      <c r="L33" s="10"/>
      <c r="M33" s="10"/>
      <c r="N33" s="14"/>
      <c r="O33" s="10"/>
      <c r="T33">
        <v>29</v>
      </c>
      <c r="U33" s="28">
        <f>E7</f>
        <v>0</v>
      </c>
      <c r="V33" t="s">
        <v>77</v>
      </c>
      <c r="W33" s="29" t="s">
        <v>78</v>
      </c>
      <c r="Z33" s="34"/>
      <c r="AA33" s="40"/>
      <c r="AB33" s="40"/>
      <c r="AC33" s="38" t="s">
        <v>159</v>
      </c>
      <c r="AD33" s="48"/>
      <c r="AE33" s="53" t="e">
        <f>LOOKUP(AD33,T$5:T$78,U$5:U$66)</f>
        <v>#N/A</v>
      </c>
      <c r="AF33" s="37" t="s">
        <v>157</v>
      </c>
      <c r="AG33" s="65" t="e">
        <f>LOOKUP(AD33,T$5:T$78,W$5:W$69)</f>
        <v>#N/A</v>
      </c>
    </row>
    <row r="34" spans="4:33" ht="13" thickBot="1">
      <c r="D34">
        <v>14</v>
      </c>
      <c r="E34" s="10"/>
      <c r="F34" s="11"/>
      <c r="G34" s="10"/>
      <c r="H34" s="14"/>
      <c r="I34" s="10"/>
      <c r="J34" s="10"/>
      <c r="K34" s="10"/>
      <c r="L34" s="10"/>
      <c r="M34" s="10"/>
      <c r="N34" s="14"/>
      <c r="O34" s="10"/>
      <c r="T34">
        <v>30</v>
      </c>
      <c r="U34" s="28" t="s">
        <v>160</v>
      </c>
      <c r="V34" t="s">
        <v>77</v>
      </c>
      <c r="W34" s="29" t="s">
        <v>161</v>
      </c>
      <c r="Z34" s="34"/>
      <c r="AA34" s="40"/>
      <c r="AB34" s="40"/>
      <c r="AC34" s="38" t="s">
        <v>159</v>
      </c>
      <c r="AD34" s="48"/>
      <c r="AE34" s="53" t="e">
        <f>LOOKUP(AD34,T$5:T$78,U$5:U$66)</f>
        <v>#N/A</v>
      </c>
      <c r="AF34" s="37" t="s">
        <v>157</v>
      </c>
      <c r="AG34" s="65" t="e">
        <f>LOOKUP(AD34,T$5:T$78,W$5:W$69)</f>
        <v>#N/A</v>
      </c>
    </row>
    <row r="35" spans="4:33" ht="13" thickBot="1">
      <c r="E35" s="12"/>
      <c r="F35" s="13" t="s">
        <v>214</v>
      </c>
      <c r="G35" s="9" t="str">
        <f>IF(OR(F34="",F36=""),"",+IF(F34&gt;F36,E34,E36))</f>
        <v/>
      </c>
      <c r="H35" s="16"/>
      <c r="I35" s="10"/>
      <c r="J35" s="10"/>
      <c r="K35" s="10"/>
      <c r="L35" s="10"/>
      <c r="M35" s="10"/>
      <c r="N35" s="14"/>
      <c r="O35" s="10"/>
      <c r="T35">
        <v>31</v>
      </c>
      <c r="U35" s="28" t="s">
        <v>81</v>
      </c>
      <c r="V35" t="s">
        <v>77</v>
      </c>
      <c r="W35" s="29" t="s">
        <v>162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9"/>
      <c r="F36" s="16"/>
      <c r="G36" s="10"/>
      <c r="H36" s="10"/>
      <c r="I36" s="10"/>
      <c r="J36" s="10"/>
      <c r="K36" s="10"/>
      <c r="L36" s="10"/>
      <c r="M36" s="10"/>
      <c r="N36" s="14"/>
      <c r="O36" s="10"/>
      <c r="T36">
        <v>32</v>
      </c>
      <c r="U36" s="28" t="s">
        <v>163</v>
      </c>
      <c r="V36" t="s">
        <v>77</v>
      </c>
      <c r="W36" s="29" t="s">
        <v>84</v>
      </c>
      <c r="Z36" s="34"/>
      <c r="AA36" s="40"/>
      <c r="AB36" s="40"/>
      <c r="AC36" s="38" t="s">
        <v>159</v>
      </c>
      <c r="AD36" s="48"/>
      <c r="AE36" s="53" t="e">
        <f>LOOKUP(AD36,T$5:T$78,U$5:U$66)</f>
        <v>#N/A</v>
      </c>
      <c r="AF36" s="37" t="s">
        <v>157</v>
      </c>
      <c r="AG36" s="65" t="e">
        <f>LOOKUP(AD36,T$5:T$78,W$5:W$69)</f>
        <v>#N/A</v>
      </c>
    </row>
    <row r="37" spans="4:33" ht="13" thickBot="1">
      <c r="E37" s="10"/>
      <c r="F37" s="10"/>
      <c r="G37" s="10"/>
      <c r="H37" s="10"/>
      <c r="I37" s="10"/>
      <c r="J37" s="10"/>
      <c r="K37" s="10"/>
      <c r="L37" s="10"/>
      <c r="M37" s="10"/>
      <c r="N37" s="14" t="s">
        <v>253</v>
      </c>
      <c r="O37" s="9" t="str">
        <f>IF(OR(N21="",N52=""),"",+IF(N21&gt;N52,M21,M52))</f>
        <v/>
      </c>
      <c r="P37" s="7"/>
      <c r="T37">
        <v>33</v>
      </c>
      <c r="U37" s="28">
        <f>E38</f>
        <v>0</v>
      </c>
      <c r="V37" t="s">
        <v>77</v>
      </c>
      <c r="W37" s="29" t="s">
        <v>164</v>
      </c>
      <c r="Z37" s="34"/>
      <c r="AA37" s="40"/>
      <c r="AB37" s="40"/>
      <c r="AC37" s="38" t="s">
        <v>159</v>
      </c>
      <c r="AD37" s="48"/>
      <c r="AE37" s="53" t="e">
        <f>LOOKUP(AD37,T$5:T$78,U$5:U$66)</f>
        <v>#N/A</v>
      </c>
      <c r="AF37" s="37" t="s">
        <v>157</v>
      </c>
      <c r="AG37" s="65" t="e">
        <f>LOOKUP(AD37,T$5:T$78,W$5:W$69)</f>
        <v>#N/A</v>
      </c>
    </row>
    <row r="38" spans="4:33" ht="13" thickBot="1">
      <c r="D38">
        <v>16</v>
      </c>
      <c r="E38" s="10"/>
      <c r="F38" s="9"/>
      <c r="G38" s="9">
        <f>E38</f>
        <v>0</v>
      </c>
      <c r="H38" s="11"/>
      <c r="I38" s="10"/>
      <c r="J38" s="10"/>
      <c r="K38" s="10"/>
      <c r="L38" s="10"/>
      <c r="M38" s="10"/>
      <c r="N38" s="14"/>
      <c r="O38" s="10"/>
      <c r="Q38" s="8"/>
      <c r="T38">
        <v>34</v>
      </c>
      <c r="U38" s="28" t="s">
        <v>200</v>
      </c>
      <c r="V38" t="s">
        <v>77</v>
      </c>
      <c r="W38" s="28" t="s">
        <v>87</v>
      </c>
      <c r="Z38" s="34"/>
      <c r="AA38" s="40"/>
      <c r="AB38" s="40"/>
      <c r="AC38" s="38" t="s">
        <v>159</v>
      </c>
      <c r="AD38" s="48"/>
      <c r="AE38" s="53" t="e">
        <f>LOOKUP(AD38,T$5:T$78,U$5:U$66)</f>
        <v>#N/A</v>
      </c>
      <c r="AF38" s="37" t="s">
        <v>157</v>
      </c>
      <c r="AG38" s="65" t="e">
        <f>LOOKUP(AD38,T$5:T$78,W$5:W$69)</f>
        <v>#N/A</v>
      </c>
    </row>
    <row r="39" spans="4:33">
      <c r="E39" s="12"/>
      <c r="F39" s="10"/>
      <c r="G39" s="10"/>
      <c r="H39" s="13"/>
      <c r="I39" s="10"/>
      <c r="J39" s="10"/>
      <c r="K39" s="10"/>
      <c r="L39" s="10"/>
      <c r="M39" s="10"/>
      <c r="N39" s="14"/>
      <c r="O39" s="10"/>
      <c r="Q39" s="8"/>
      <c r="T39">
        <v>35</v>
      </c>
      <c r="U39" s="29" t="s">
        <v>88</v>
      </c>
      <c r="V39" t="s">
        <v>77</v>
      </c>
      <c r="W39" s="28" t="s">
        <v>89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E40" s="10"/>
      <c r="F40" s="10"/>
      <c r="G40" s="10"/>
      <c r="H40" s="14" t="s">
        <v>213</v>
      </c>
      <c r="I40" s="9" t="str">
        <f>IF(OR(H38="",H42=""),"",+IF(H38&gt;H42,G38,G42))</f>
        <v/>
      </c>
      <c r="J40" s="10"/>
      <c r="K40" s="10"/>
      <c r="L40" s="10"/>
      <c r="M40" s="10"/>
      <c r="N40" s="14"/>
      <c r="O40" s="10"/>
      <c r="Q40" s="8"/>
      <c r="T40">
        <v>36</v>
      </c>
      <c r="U40" s="29" t="s">
        <v>90</v>
      </c>
      <c r="V40" t="s">
        <v>77</v>
      </c>
      <c r="W40" s="28" t="s">
        <v>91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10"/>
      <c r="F41" s="11"/>
      <c r="G41" s="10"/>
      <c r="H41" s="14"/>
      <c r="I41" s="12"/>
      <c r="J41" s="15"/>
      <c r="K41" s="10"/>
      <c r="L41" s="10"/>
      <c r="M41" s="10"/>
      <c r="N41" s="14"/>
      <c r="O41" s="10"/>
      <c r="Q41" s="8"/>
      <c r="T41">
        <v>37</v>
      </c>
      <c r="U41" s="28">
        <f>E70</f>
        <v>0</v>
      </c>
      <c r="V41" t="s">
        <v>77</v>
      </c>
      <c r="W41" s="29" t="s">
        <v>92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2"/>
      <c r="F42" s="13" t="s">
        <v>217</v>
      </c>
      <c r="G42" s="9" t="str">
        <f>IF(OR(F41="",F43=""),"",+IF(F41&gt;F43,E41,E43))</f>
        <v/>
      </c>
      <c r="H42" s="16"/>
      <c r="I42" s="10"/>
      <c r="J42" s="14"/>
      <c r="K42" s="10"/>
      <c r="L42" s="10"/>
      <c r="M42" s="10"/>
      <c r="N42" s="14"/>
      <c r="O42" s="10"/>
      <c r="Q42" s="8"/>
      <c r="T42">
        <v>38</v>
      </c>
      <c r="U42" s="28" t="s">
        <v>165</v>
      </c>
      <c r="V42" t="s">
        <v>77</v>
      </c>
      <c r="W42" s="29" t="s">
        <v>94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9"/>
      <c r="F43" s="16"/>
      <c r="G43" s="10"/>
      <c r="H43" s="10"/>
      <c r="I43" s="10"/>
      <c r="J43" s="14"/>
      <c r="K43" s="10"/>
      <c r="L43" s="10"/>
      <c r="M43" s="10"/>
      <c r="N43" s="14"/>
      <c r="O43" s="10"/>
      <c r="Q43" s="8"/>
      <c r="T43">
        <v>39</v>
      </c>
      <c r="U43" s="28" t="s">
        <v>95</v>
      </c>
      <c r="V43" t="s">
        <v>77</v>
      </c>
      <c r="W43" s="29" t="s">
        <v>96</v>
      </c>
      <c r="Z43" s="34"/>
      <c r="AA43" s="40"/>
      <c r="AB43" s="40"/>
      <c r="AC43" s="38" t="s">
        <v>159</v>
      </c>
      <c r="AD43" s="48"/>
      <c r="AE43" s="53" t="e">
        <f>LOOKUP(AD43,T$5:T$78,U$5:U$66)</f>
        <v>#N/A</v>
      </c>
      <c r="AF43" s="37" t="s">
        <v>157</v>
      </c>
      <c r="AG43" s="65" t="e">
        <f>LOOKUP(AD43,T$5:T$78,W$5:W$69)</f>
        <v>#N/A</v>
      </c>
    </row>
    <row r="44" spans="4:33" ht="13" thickBot="1">
      <c r="E44" s="10"/>
      <c r="F44" s="10"/>
      <c r="G44" s="10"/>
      <c r="H44" s="10"/>
      <c r="I44" s="10"/>
      <c r="J44" s="14" t="s">
        <v>211</v>
      </c>
      <c r="K44" s="9" t="str">
        <f>IF(OR(J41="",J48=""),"",+IF(J41&gt;J48,I40,I48))</f>
        <v/>
      </c>
      <c r="L44" s="17"/>
      <c r="M44" s="10"/>
      <c r="N44" s="14"/>
      <c r="O44" s="10"/>
      <c r="Q44" s="8"/>
      <c r="T44">
        <v>40</v>
      </c>
      <c r="U44" s="28" t="s">
        <v>97</v>
      </c>
      <c r="V44" t="s">
        <v>77</v>
      </c>
      <c r="W44" s="29" t="s">
        <v>98</v>
      </c>
      <c r="Z44" s="34"/>
      <c r="AA44" s="40"/>
      <c r="AB44" s="40"/>
      <c r="AC44" s="38" t="s">
        <v>159</v>
      </c>
      <c r="AD44" s="48"/>
      <c r="AE44" s="53" t="e">
        <f>LOOKUP(AD44,T$5:T$78,U$5:U$66)</f>
        <v>#N/A</v>
      </c>
      <c r="AF44" s="37" t="s">
        <v>157</v>
      </c>
      <c r="AG44" s="65" t="e">
        <f>LOOKUP(AD44,T$5:T$78,W$5:W$69)</f>
        <v>#N/A</v>
      </c>
    </row>
    <row r="45" spans="4:33" ht="13" thickBot="1">
      <c r="D45">
        <v>19</v>
      </c>
      <c r="E45" s="10"/>
      <c r="F45" s="11"/>
      <c r="G45" s="10"/>
      <c r="H45" s="10"/>
      <c r="I45" s="10"/>
      <c r="J45" s="14"/>
      <c r="K45" s="10"/>
      <c r="L45" s="13"/>
      <c r="M45" s="10"/>
      <c r="N45" s="14"/>
      <c r="O45" s="10"/>
      <c r="Q45" s="8"/>
      <c r="T45">
        <v>41</v>
      </c>
      <c r="U45" s="28">
        <f>E101</f>
        <v>0</v>
      </c>
      <c r="V45" t="s">
        <v>77</v>
      </c>
      <c r="W45" s="29" t="s">
        <v>99</v>
      </c>
      <c r="Z45" s="34"/>
      <c r="AA45" s="40"/>
      <c r="AB45" s="40"/>
      <c r="AC45" s="38" t="s">
        <v>159</v>
      </c>
      <c r="AD45" s="48"/>
      <c r="AE45" s="53" t="e">
        <f>LOOKUP(AD45,T$5:T$78,U$5:U$66)</f>
        <v>#N/A</v>
      </c>
      <c r="AF45" s="37" t="s">
        <v>157</v>
      </c>
      <c r="AG45" s="65" t="e">
        <f>LOOKUP(AD45,T$5:T$78,W$5:W$69)</f>
        <v>#N/A</v>
      </c>
    </row>
    <row r="46" spans="4:33" ht="13" thickBot="1">
      <c r="E46" s="12"/>
      <c r="F46" s="13" t="s">
        <v>219</v>
      </c>
      <c r="G46" s="9" t="str">
        <f>IF(OR(F45="",F47=""),"",+IF(F45&gt;F47,E45,E47))</f>
        <v/>
      </c>
      <c r="H46" s="17"/>
      <c r="I46" s="10"/>
      <c r="J46" s="14"/>
      <c r="K46" s="10"/>
      <c r="L46" s="14"/>
      <c r="M46" s="10"/>
      <c r="N46" s="14"/>
      <c r="O46" s="10"/>
      <c r="Q46" s="8"/>
      <c r="T46">
        <v>42</v>
      </c>
      <c r="U46" s="28" t="s">
        <v>100</v>
      </c>
      <c r="V46" t="s">
        <v>77</v>
      </c>
      <c r="W46" s="29" t="s">
        <v>101</v>
      </c>
      <c r="Z46" s="34"/>
      <c r="AA46" s="40"/>
      <c r="AB46" s="40"/>
      <c r="AC46" s="38" t="s">
        <v>159</v>
      </c>
      <c r="AD46" s="48"/>
      <c r="AE46" s="53" t="e">
        <f>LOOKUP(AD46,T$5:T$78,U$5:U$66)</f>
        <v>#N/A</v>
      </c>
      <c r="AF46" s="37" t="s">
        <v>157</v>
      </c>
      <c r="AG46" s="65" t="e">
        <f>LOOKUP(AD46,T$5:T$78,W$5:W$69)</f>
        <v>#N/A</v>
      </c>
    </row>
    <row r="47" spans="4:33" ht="13" thickBot="1">
      <c r="D47">
        <v>20</v>
      </c>
      <c r="E47" s="10"/>
      <c r="F47" s="16"/>
      <c r="G47" s="10"/>
      <c r="H47" s="14"/>
      <c r="I47" s="10"/>
      <c r="J47" s="14"/>
      <c r="K47" s="10"/>
      <c r="L47" s="14"/>
      <c r="M47" s="10"/>
      <c r="N47" s="14"/>
      <c r="O47" s="10"/>
      <c r="Q47" s="8"/>
      <c r="T47">
        <v>43</v>
      </c>
      <c r="U47" s="28" t="s">
        <v>102</v>
      </c>
      <c r="V47" t="s">
        <v>77</v>
      </c>
      <c r="W47" s="29" t="s">
        <v>103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0"/>
      <c r="G48" s="10"/>
      <c r="H48" s="14" t="s">
        <v>216</v>
      </c>
      <c r="I48" s="9" t="str">
        <f>IF(OR(H46="",H50=""),"",+IF(H46&gt;H50,G46,G50))</f>
        <v/>
      </c>
      <c r="J48" s="16"/>
      <c r="K48" s="10"/>
      <c r="L48" s="14"/>
      <c r="M48" s="10"/>
      <c r="N48" s="14"/>
      <c r="O48" s="10"/>
      <c r="Q48" s="8"/>
      <c r="T48">
        <v>44</v>
      </c>
      <c r="U48" s="28" t="s">
        <v>104</v>
      </c>
      <c r="V48" t="s">
        <v>77</v>
      </c>
      <c r="W48" s="29" t="s">
        <v>105</v>
      </c>
      <c r="Z48" s="34"/>
      <c r="AA48" s="40"/>
      <c r="AB48" s="40"/>
      <c r="AC48" s="38" t="s">
        <v>159</v>
      </c>
      <c r="AD48" s="48"/>
      <c r="AE48" s="53" t="e">
        <f>LOOKUP(AD48,T$5:T$78,U$5:U$66)</f>
        <v>#N/A</v>
      </c>
      <c r="AF48" s="37" t="s">
        <v>157</v>
      </c>
      <c r="AG48" s="65" t="e">
        <f>LOOKUP(AD48,T$5:T$78,W$5:W$69)</f>
        <v>#N/A</v>
      </c>
    </row>
    <row r="49" spans="4:33" ht="13" thickBot="1">
      <c r="D49">
        <v>21</v>
      </c>
      <c r="E49" s="10"/>
      <c r="F49" s="11"/>
      <c r="G49" s="10"/>
      <c r="H49" s="14"/>
      <c r="I49" s="10"/>
      <c r="J49" s="10"/>
      <c r="K49" s="10"/>
      <c r="L49" s="14"/>
      <c r="M49" s="10"/>
      <c r="N49" s="14"/>
      <c r="O49" s="10"/>
      <c r="Q49" s="8"/>
      <c r="T49">
        <v>45</v>
      </c>
      <c r="U49" s="28" t="s">
        <v>106</v>
      </c>
      <c r="V49" t="s">
        <v>77</v>
      </c>
      <c r="W49" s="29" t="s">
        <v>107</v>
      </c>
      <c r="Z49" s="34"/>
      <c r="AA49" s="40"/>
      <c r="AB49" s="40"/>
      <c r="AC49" s="38" t="s">
        <v>159</v>
      </c>
      <c r="AD49" s="48"/>
      <c r="AE49" s="53" t="e">
        <f>LOOKUP(AD49,T$5:T$78,U$5:U$66)</f>
        <v>#N/A</v>
      </c>
      <c r="AF49" s="37" t="s">
        <v>157</v>
      </c>
      <c r="AG49" s="65" t="e">
        <f>LOOKUP(AD49,T$5:T$78,W$5:W$69)</f>
        <v>#N/A</v>
      </c>
    </row>
    <row r="50" spans="4:33" ht="13" thickBot="1">
      <c r="E50" s="12"/>
      <c r="F50" s="13" t="s">
        <v>221</v>
      </c>
      <c r="G50" s="9" t="str">
        <f>IF(OR(F49="",F51=""),"",+IF(F49&gt;F51,E49,E51))</f>
        <v/>
      </c>
      <c r="H50" s="16"/>
      <c r="I50" s="10"/>
      <c r="J50" s="10"/>
      <c r="K50" s="10"/>
      <c r="L50" s="14"/>
      <c r="M50" s="10"/>
      <c r="N50" s="14"/>
      <c r="O50" s="10"/>
      <c r="Q50" s="8"/>
      <c r="T50">
        <v>46</v>
      </c>
      <c r="U50" s="28" t="s">
        <v>108</v>
      </c>
      <c r="V50" t="s">
        <v>77</v>
      </c>
      <c r="W50" s="29" t="s">
        <v>109</v>
      </c>
      <c r="Z50" s="34"/>
      <c r="AA50" s="40"/>
      <c r="AB50" s="40"/>
      <c r="AC50" s="38" t="s">
        <v>159</v>
      </c>
      <c r="AD50" s="48"/>
      <c r="AE50" s="53" t="e">
        <f>LOOKUP(AD50,T$5:T$78,U$5:U$66)</f>
        <v>#N/A</v>
      </c>
      <c r="AF50" s="37" t="s">
        <v>157</v>
      </c>
      <c r="AG50" s="65" t="e">
        <f>LOOKUP(AD50,T$5:T$78,W$5:W$69)</f>
        <v>#N/A</v>
      </c>
    </row>
    <row r="51" spans="4:33" ht="13" thickBot="1">
      <c r="D51">
        <v>22</v>
      </c>
      <c r="E51" s="10"/>
      <c r="F51" s="16"/>
      <c r="G51" s="10"/>
      <c r="H51" s="10"/>
      <c r="I51" s="10"/>
      <c r="J51" s="10"/>
      <c r="K51" s="10"/>
      <c r="L51" s="14"/>
      <c r="M51" s="10"/>
      <c r="N51" s="14"/>
      <c r="O51" s="10"/>
      <c r="Q51" s="8"/>
      <c r="T51">
        <v>47</v>
      </c>
      <c r="U51" s="28" t="s">
        <v>110</v>
      </c>
      <c r="V51" t="s">
        <v>77</v>
      </c>
      <c r="W51" s="29" t="s">
        <v>111</v>
      </c>
      <c r="Z51" s="34"/>
      <c r="AA51" s="40"/>
      <c r="AB51" s="40"/>
      <c r="AC51" s="38" t="s">
        <v>159</v>
      </c>
      <c r="AD51" s="48"/>
      <c r="AE51" s="53" t="e">
        <f>LOOKUP(AD51,T$5:T$78,U$5:U$66)</f>
        <v>#N/A</v>
      </c>
      <c r="AF51" s="37" t="s">
        <v>157</v>
      </c>
      <c r="AG51" s="65" t="e">
        <f>LOOKUP(AD51,T$5:T$78,W$5:W$69)</f>
        <v>#N/A</v>
      </c>
    </row>
    <row r="52" spans="4:33" ht="13" thickBot="1">
      <c r="E52" s="12"/>
      <c r="F52" s="10"/>
      <c r="G52" s="10"/>
      <c r="H52" s="10"/>
      <c r="I52" s="10"/>
      <c r="J52" s="10"/>
      <c r="K52" s="10"/>
      <c r="L52" s="14" t="s">
        <v>207</v>
      </c>
      <c r="M52" s="9" t="str">
        <f>IF(OR(L44="",L60=""),"",+IF(L44&gt;L60,K44,K60))</f>
        <v/>
      </c>
      <c r="N52" s="16"/>
      <c r="O52" s="10"/>
      <c r="Q52" s="8"/>
      <c r="T52">
        <v>48</v>
      </c>
      <c r="U52" s="28" t="s">
        <v>112</v>
      </c>
      <c r="V52" t="s">
        <v>77</v>
      </c>
      <c r="W52" s="29" t="s">
        <v>113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10"/>
      <c r="F53" s="11"/>
      <c r="G53" s="10"/>
      <c r="H53" s="10"/>
      <c r="I53" s="10"/>
      <c r="J53" s="10"/>
      <c r="K53" s="10"/>
      <c r="L53" s="14"/>
      <c r="M53" s="10"/>
      <c r="N53" s="10"/>
      <c r="O53" s="10"/>
      <c r="Q53" s="8"/>
      <c r="T53">
        <v>49</v>
      </c>
      <c r="U53" s="28" t="s">
        <v>114</v>
      </c>
      <c r="V53" t="s">
        <v>77</v>
      </c>
      <c r="W53" s="29" t="s">
        <v>115</v>
      </c>
      <c r="Z53" s="34"/>
      <c r="AA53" s="40"/>
      <c r="AB53" s="40"/>
      <c r="AC53" s="38" t="s">
        <v>159</v>
      </c>
      <c r="AD53" s="48"/>
      <c r="AE53" s="53" t="e">
        <f>LOOKUP(AD53,T$5:T$78,U$5:U$66)</f>
        <v>#N/A</v>
      </c>
      <c r="AF53" s="37" t="s">
        <v>157</v>
      </c>
      <c r="AG53" s="65" t="e">
        <f>LOOKUP(AD53,T$5:T$78,W$5:W$69)</f>
        <v>#N/A</v>
      </c>
    </row>
    <row r="54" spans="4:33" ht="13" thickBot="1">
      <c r="E54" s="12"/>
      <c r="F54" s="13" t="s">
        <v>223</v>
      </c>
      <c r="G54" s="9" t="str">
        <f>IF(OR(F53="",F55=""),"",+IF(F53&gt;F55,E53,E55))</f>
        <v/>
      </c>
      <c r="H54" s="17"/>
      <c r="I54" s="10"/>
      <c r="J54" s="10"/>
      <c r="K54" s="10"/>
      <c r="L54" s="14"/>
      <c r="M54" s="10"/>
      <c r="N54" s="10"/>
      <c r="O54" s="10"/>
      <c r="Q54" s="8"/>
      <c r="T54">
        <v>50</v>
      </c>
      <c r="U54" s="28" t="s">
        <v>116</v>
      </c>
      <c r="V54" t="s">
        <v>77</v>
      </c>
      <c r="W54" s="29" t="s">
        <v>117</v>
      </c>
      <c r="Z54" s="34"/>
      <c r="AA54" s="40"/>
      <c r="AB54" s="40"/>
      <c r="AC54" s="38" t="s">
        <v>159</v>
      </c>
      <c r="AD54" s="48"/>
      <c r="AE54" s="53" t="e">
        <f>LOOKUP(AD54,T$5:T$78,U$5:U$66)</f>
        <v>#N/A</v>
      </c>
      <c r="AF54" s="37" t="s">
        <v>157</v>
      </c>
      <c r="AG54" s="65" t="e">
        <f>LOOKUP(AD54,T$5:T$78,W$5:W$69)</f>
        <v>#N/A</v>
      </c>
    </row>
    <row r="55" spans="4:33" ht="13" thickBot="1">
      <c r="D55">
        <v>24</v>
      </c>
      <c r="E55" s="10"/>
      <c r="F55" s="16"/>
      <c r="G55" s="10"/>
      <c r="H55" s="14"/>
      <c r="I55" s="10"/>
      <c r="J55" s="10"/>
      <c r="K55" s="10"/>
      <c r="L55" s="14"/>
      <c r="M55" s="10"/>
      <c r="N55" s="10"/>
      <c r="O55" s="10"/>
      <c r="Q55" s="8"/>
      <c r="T55">
        <v>51</v>
      </c>
      <c r="U55" s="28" t="s">
        <v>118</v>
      </c>
      <c r="V55" t="s">
        <v>77</v>
      </c>
      <c r="W55" s="29" t="s">
        <v>119</v>
      </c>
      <c r="Z55" s="34"/>
      <c r="AA55" s="40"/>
      <c r="AB55" s="40"/>
      <c r="AC55" s="38" t="s">
        <v>159</v>
      </c>
      <c r="AD55" s="48"/>
      <c r="AE55" s="53" t="e">
        <f>LOOKUP(AD55,T$5:T$78,U$5:U$66)</f>
        <v>#N/A</v>
      </c>
      <c r="AF55" s="37" t="s">
        <v>157</v>
      </c>
      <c r="AG55" s="65" t="e">
        <f>LOOKUP(AD55,T$5:T$78,W$5:W$69)</f>
        <v>#N/A</v>
      </c>
    </row>
    <row r="56" spans="4:33" ht="13" thickBot="1">
      <c r="E56" s="12"/>
      <c r="F56" s="10"/>
      <c r="G56" s="10"/>
      <c r="H56" s="14" t="s">
        <v>220</v>
      </c>
      <c r="I56" s="9" t="str">
        <f>IF(OR(H54="",H58=""),"",+IF(H54&gt;H58,G54,G58))</f>
        <v/>
      </c>
      <c r="J56" s="17"/>
      <c r="K56" s="10"/>
      <c r="L56" s="14"/>
      <c r="M56" s="10"/>
      <c r="N56" s="10"/>
      <c r="O56" s="10"/>
      <c r="Q56" s="8"/>
      <c r="T56">
        <v>52</v>
      </c>
      <c r="U56" s="28" t="s">
        <v>120</v>
      </c>
      <c r="V56" t="s">
        <v>77</v>
      </c>
      <c r="W56" s="29" t="s">
        <v>121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10"/>
      <c r="F57" s="11"/>
      <c r="G57" s="10"/>
      <c r="H57" s="14"/>
      <c r="I57" s="10"/>
      <c r="J57" s="13"/>
      <c r="K57" s="10"/>
      <c r="L57" s="14"/>
      <c r="M57" s="10"/>
      <c r="N57" s="10"/>
      <c r="O57" s="10"/>
      <c r="Q57" s="8"/>
      <c r="T57">
        <v>53</v>
      </c>
      <c r="U57" s="28" t="s">
        <v>122</v>
      </c>
      <c r="V57" t="s">
        <v>77</v>
      </c>
      <c r="W57" s="29" t="s">
        <v>123</v>
      </c>
    </row>
    <row r="58" spans="4:33" ht="13" thickBot="1">
      <c r="E58" s="12"/>
      <c r="F58" s="13" t="s">
        <v>225</v>
      </c>
      <c r="G58" s="9" t="str">
        <f>IF(OR(F57="",F59=""),"",+IF(F57&gt;F59,E57,E59))</f>
        <v/>
      </c>
      <c r="H58" s="16"/>
      <c r="I58" s="10"/>
      <c r="J58" s="14"/>
      <c r="K58" s="10"/>
      <c r="L58" s="14"/>
      <c r="M58" s="10"/>
      <c r="N58" s="10"/>
      <c r="O58" s="10"/>
      <c r="Q58" s="8"/>
      <c r="T58">
        <v>54</v>
      </c>
      <c r="U58" s="28" t="s">
        <v>124</v>
      </c>
      <c r="V58" t="s">
        <v>77</v>
      </c>
      <c r="W58" s="29" t="s">
        <v>125</v>
      </c>
    </row>
    <row r="59" spans="4:33" ht="13" thickBot="1">
      <c r="D59">
        <v>26</v>
      </c>
      <c r="E59" s="10"/>
      <c r="F59" s="16"/>
      <c r="G59" s="10"/>
      <c r="H59" s="10"/>
      <c r="I59" s="10"/>
      <c r="J59" s="14"/>
      <c r="K59" s="10"/>
      <c r="L59" s="14"/>
      <c r="M59" s="10"/>
      <c r="N59" s="10"/>
      <c r="O59" s="10"/>
      <c r="Q59" s="8"/>
      <c r="T59">
        <v>55</v>
      </c>
      <c r="U59" s="28" t="s">
        <v>126</v>
      </c>
      <c r="V59" t="s">
        <v>77</v>
      </c>
      <c r="W59" s="29" t="s">
        <v>127</v>
      </c>
    </row>
    <row r="60" spans="4:33" ht="13" thickBot="1">
      <c r="E60" s="12"/>
      <c r="F60" s="10"/>
      <c r="G60" s="10"/>
      <c r="H60" s="10"/>
      <c r="I60" s="10"/>
      <c r="J60" s="14" t="s">
        <v>218</v>
      </c>
      <c r="K60" s="9" t="str">
        <f>IF(OR(J56="",J64=""),"",+IF(J56&gt;J64,I56,I64))</f>
        <v/>
      </c>
      <c r="L60" s="16"/>
      <c r="M60" s="10"/>
      <c r="N60" s="10"/>
      <c r="O60" s="10"/>
      <c r="Q60" s="8"/>
      <c r="T60">
        <v>56</v>
      </c>
      <c r="U60" s="28" t="s">
        <v>130</v>
      </c>
      <c r="V60" t="s">
        <v>77</v>
      </c>
      <c r="W60" s="29" t="s">
        <v>128</v>
      </c>
    </row>
    <row r="61" spans="4:33" ht="13" thickBot="1">
      <c r="D61">
        <v>27</v>
      </c>
      <c r="E61" s="10"/>
      <c r="F61" s="11"/>
      <c r="G61" s="10"/>
      <c r="H61" s="10"/>
      <c r="I61" s="10"/>
      <c r="J61" s="14"/>
      <c r="K61" s="10"/>
      <c r="L61" s="10"/>
      <c r="M61" s="10"/>
      <c r="N61" s="10"/>
      <c r="O61" s="10"/>
      <c r="Q61" s="8"/>
      <c r="T61">
        <v>57</v>
      </c>
      <c r="U61" s="28" t="s">
        <v>129</v>
      </c>
      <c r="V61" t="s">
        <v>77</v>
      </c>
      <c r="W61" s="29" t="s">
        <v>131</v>
      </c>
    </row>
    <row r="62" spans="4:33" ht="13" thickBot="1">
      <c r="E62" s="12"/>
      <c r="F62" s="13" t="s">
        <v>227</v>
      </c>
      <c r="G62" s="9" t="str">
        <f>IF(OR(F61="",F63=""),"",+IF(F61&gt;F63,E61,E63))</f>
        <v/>
      </c>
      <c r="H62" s="17"/>
      <c r="I62" s="10"/>
      <c r="J62" s="14"/>
      <c r="K62" s="10"/>
      <c r="L62" s="10"/>
      <c r="M62" s="10"/>
      <c r="N62" s="10"/>
      <c r="O62" s="10"/>
      <c r="Q62" s="8"/>
      <c r="T62">
        <v>58</v>
      </c>
      <c r="U62" s="28" t="s">
        <v>132</v>
      </c>
      <c r="V62" t="s">
        <v>77</v>
      </c>
      <c r="W62" s="29" t="s">
        <v>133</v>
      </c>
    </row>
    <row r="63" spans="4:33" ht="13" thickBot="1">
      <c r="D63">
        <v>28</v>
      </c>
      <c r="E63" s="10"/>
      <c r="F63" s="16"/>
      <c r="G63" s="10"/>
      <c r="H63" s="14"/>
      <c r="I63" s="10"/>
      <c r="J63" s="14"/>
      <c r="K63" s="10"/>
      <c r="L63" s="10"/>
      <c r="M63" s="10"/>
      <c r="N63" s="10"/>
      <c r="O63" s="10"/>
      <c r="Q63" s="8"/>
      <c r="T63">
        <v>59</v>
      </c>
      <c r="U63" s="28" t="s">
        <v>134</v>
      </c>
      <c r="V63" t="s">
        <v>77</v>
      </c>
      <c r="W63" s="29" t="s">
        <v>135</v>
      </c>
    </row>
    <row r="64" spans="4:33" ht="13" thickBot="1">
      <c r="E64" s="12"/>
      <c r="F64" s="10"/>
      <c r="G64" s="10"/>
      <c r="H64" s="14" t="s">
        <v>224</v>
      </c>
      <c r="I64" s="9" t="str">
        <f>IF(OR(H62="",H66=""),"",+IF(H62&gt;H66,G62,G66))</f>
        <v/>
      </c>
      <c r="J64" s="16"/>
      <c r="K64" s="10"/>
      <c r="L64" s="10"/>
      <c r="M64" s="10"/>
      <c r="N64" s="10"/>
      <c r="O64" s="10"/>
      <c r="Q64" s="8"/>
      <c r="U64" s="29"/>
    </row>
    <row r="65" spans="4:23" ht="13" thickBot="1">
      <c r="D65">
        <v>29</v>
      </c>
      <c r="E65" s="24"/>
      <c r="F65" s="11"/>
      <c r="G65" s="10"/>
      <c r="H65" s="14"/>
      <c r="I65" s="10"/>
      <c r="J65" s="10"/>
      <c r="K65" s="10"/>
      <c r="L65" s="10"/>
      <c r="M65" s="10"/>
      <c r="N65" s="10"/>
      <c r="O65" s="10"/>
      <c r="Q65" s="8"/>
      <c r="W65" s="28"/>
    </row>
    <row r="66" spans="4:23" ht="13" thickBot="1">
      <c r="E66" s="12"/>
      <c r="F66" s="13" t="s">
        <v>229</v>
      </c>
      <c r="G66" s="9" t="str">
        <f>IF(OR(F65="",F67=""),"",+IF(F65&gt;F67,E65,E67))</f>
        <v/>
      </c>
      <c r="H66" s="16"/>
      <c r="I66" s="10"/>
      <c r="J66" s="10"/>
      <c r="K66" s="10"/>
      <c r="L66" s="10"/>
      <c r="M66" s="10"/>
      <c r="N66" s="10"/>
      <c r="O66" s="10"/>
      <c r="Q66" s="8"/>
    </row>
    <row r="67" spans="4:23" ht="13" thickBot="1">
      <c r="D67">
        <v>30</v>
      </c>
      <c r="E67" s="9"/>
      <c r="F67" s="16"/>
      <c r="G67" s="10"/>
      <c r="H67" s="10"/>
      <c r="I67" s="10"/>
      <c r="J67" s="10"/>
      <c r="K67" s="10"/>
      <c r="L67" s="10"/>
      <c r="M67" s="10"/>
      <c r="N67" s="10"/>
      <c r="O67" s="10"/>
      <c r="Q67" s="8"/>
    </row>
    <row r="68" spans="4:23">
      <c r="Q68" s="8"/>
    </row>
    <row r="69" spans="4:23" ht="13" thickBot="1">
      <c r="P69" t="s">
        <v>245</v>
      </c>
      <c r="Q69" s="27"/>
      <c r="R69" s="7"/>
      <c r="S69" s="7"/>
    </row>
    <row r="70" spans="4:23" ht="13" thickBot="1">
      <c r="D70">
        <v>31</v>
      </c>
      <c r="E70" s="10"/>
      <c r="F70" s="9"/>
      <c r="G70" s="9">
        <f>E70</f>
        <v>0</v>
      </c>
      <c r="H70" s="11"/>
      <c r="I70" s="10"/>
      <c r="J70" s="10"/>
      <c r="K70" s="10"/>
      <c r="L70" s="10"/>
      <c r="M70" s="10"/>
      <c r="N70" s="10"/>
      <c r="O70" s="10"/>
      <c r="Q70" s="8"/>
    </row>
    <row r="71" spans="4:23">
      <c r="E71" s="12"/>
      <c r="F71" s="10"/>
      <c r="G71" s="10"/>
      <c r="H71" s="13"/>
      <c r="I71" s="10"/>
      <c r="J71" s="10"/>
      <c r="K71" s="10"/>
      <c r="L71" s="10"/>
      <c r="M71" s="10"/>
      <c r="N71" s="10"/>
      <c r="O71" s="10"/>
      <c r="Q71" s="8"/>
    </row>
    <row r="72" spans="4:23" ht="13" thickBot="1">
      <c r="E72" s="10"/>
      <c r="F72" s="10"/>
      <c r="G72" s="10"/>
      <c r="H72" s="14" t="s">
        <v>228</v>
      </c>
      <c r="I72" s="9" t="str">
        <f>IF(OR(H70="",H74=""),"",+IF(H70&gt;H74,G70,G74))</f>
        <v/>
      </c>
      <c r="J72" s="10"/>
      <c r="K72" s="10"/>
      <c r="L72" s="10"/>
      <c r="M72" s="10"/>
      <c r="N72" s="10"/>
      <c r="O72" s="10"/>
      <c r="Q72" s="8"/>
    </row>
    <row r="73" spans="4:23" ht="13" thickBot="1">
      <c r="D73">
        <v>32</v>
      </c>
      <c r="E73" s="10"/>
      <c r="F73" s="11"/>
      <c r="G73" s="10"/>
      <c r="H73" s="14"/>
      <c r="I73" s="12"/>
      <c r="J73" s="15"/>
      <c r="K73" s="10"/>
      <c r="L73" s="10"/>
      <c r="M73" s="10"/>
      <c r="N73" s="10"/>
      <c r="O73" s="10"/>
      <c r="Q73" s="8"/>
    </row>
    <row r="74" spans="4:23" ht="13" thickBot="1">
      <c r="E74" s="12"/>
      <c r="F74" s="13" t="s">
        <v>232</v>
      </c>
      <c r="G74" s="9" t="str">
        <f>IF(OR(F73="",F75=""),"",+IF(F73&gt;F75,E73,E75))</f>
        <v/>
      </c>
      <c r="H74" s="16"/>
      <c r="I74" s="10"/>
      <c r="J74" s="14"/>
      <c r="K74" s="10"/>
      <c r="L74" s="10"/>
      <c r="M74" s="10"/>
      <c r="N74" s="10"/>
      <c r="O74" s="10"/>
      <c r="Q74" s="8"/>
    </row>
    <row r="75" spans="4:23" ht="13" thickBot="1">
      <c r="D75">
        <v>33</v>
      </c>
      <c r="E75" s="9"/>
      <c r="F75" s="16"/>
      <c r="G75" s="10"/>
      <c r="H75" s="10"/>
      <c r="I75" s="10"/>
      <c r="J75" s="14"/>
      <c r="K75" s="10"/>
      <c r="L75" s="10"/>
      <c r="M75" s="10"/>
      <c r="N75" s="10"/>
      <c r="O75" s="10"/>
      <c r="Q75" s="8"/>
    </row>
    <row r="76" spans="4:23" ht="13" thickBot="1">
      <c r="E76" s="10"/>
      <c r="F76" s="10"/>
      <c r="G76" s="10"/>
      <c r="H76" s="10"/>
      <c r="I76" s="10"/>
      <c r="J76" s="14" t="s">
        <v>226</v>
      </c>
      <c r="K76" s="9" t="str">
        <f>IF(OR(J73="",J80=""),"",+IF(J73&gt;J80,I72,I80))</f>
        <v/>
      </c>
      <c r="L76" s="17"/>
      <c r="M76" s="10"/>
      <c r="N76" s="10"/>
      <c r="O76" s="10"/>
      <c r="Q76" s="8"/>
    </row>
    <row r="77" spans="4:23" ht="13" thickBot="1">
      <c r="D77">
        <v>34</v>
      </c>
      <c r="E77" s="10"/>
      <c r="F77" s="11"/>
      <c r="G77" s="10"/>
      <c r="H77" s="10"/>
      <c r="I77" s="10"/>
      <c r="J77" s="14"/>
      <c r="K77" s="10"/>
      <c r="L77" s="13"/>
      <c r="M77" s="10"/>
      <c r="N77" s="10"/>
      <c r="O77" s="10"/>
      <c r="Q77" s="8"/>
    </row>
    <row r="78" spans="4:23" ht="13" thickBot="1">
      <c r="E78" s="12"/>
      <c r="F78" s="13" t="s">
        <v>234</v>
      </c>
      <c r="G78" s="9" t="str">
        <f>IF(OR(F77="",F79=""),"",+IF(F77&gt;F79,E77,E79))</f>
        <v/>
      </c>
      <c r="H78" s="17"/>
      <c r="I78" s="10"/>
      <c r="J78" s="14"/>
      <c r="K78" s="10"/>
      <c r="L78" s="14"/>
      <c r="M78" s="10"/>
      <c r="N78" s="10"/>
      <c r="O78" s="10"/>
      <c r="Q78" s="8"/>
    </row>
    <row r="79" spans="4:23" ht="13" thickBot="1">
      <c r="D79">
        <v>35</v>
      </c>
      <c r="E79" s="10"/>
      <c r="F79" s="16"/>
      <c r="G79" s="10"/>
      <c r="H79" s="14"/>
      <c r="I79" s="10"/>
      <c r="J79" s="14"/>
      <c r="K79" s="10"/>
      <c r="L79" s="14"/>
      <c r="M79" s="10"/>
      <c r="N79" s="10"/>
      <c r="O79" s="10"/>
      <c r="Q79" s="8"/>
    </row>
    <row r="80" spans="4:23" ht="13" thickBot="1">
      <c r="E80" s="12"/>
      <c r="F80" s="10"/>
      <c r="G80" s="10"/>
      <c r="H80" s="14" t="s">
        <v>231</v>
      </c>
      <c r="I80" s="9" t="str">
        <f>IF(OR(H78="",H82=""),"",+IF(H78&gt;H82,G78,G82))</f>
        <v/>
      </c>
      <c r="J80" s="16"/>
      <c r="K80" s="10"/>
      <c r="L80" s="14"/>
      <c r="M80" s="10"/>
      <c r="N80" s="10"/>
      <c r="O80" s="10"/>
      <c r="Q80" s="8"/>
    </row>
    <row r="81" spans="4:17" ht="13" thickBot="1">
      <c r="D81">
        <v>36</v>
      </c>
      <c r="E81" s="10"/>
      <c r="F81" s="11"/>
      <c r="G81" s="10"/>
      <c r="H81" s="14"/>
      <c r="I81" s="10"/>
      <c r="J81" s="10"/>
      <c r="K81" s="10"/>
      <c r="L81" s="14"/>
      <c r="M81" s="10"/>
      <c r="N81" s="10"/>
      <c r="O81" s="10"/>
      <c r="Q81" s="8"/>
    </row>
    <row r="82" spans="4:17" ht="13" thickBot="1">
      <c r="E82" s="12"/>
      <c r="F82" s="13" t="s">
        <v>236</v>
      </c>
      <c r="G82" s="9" t="str">
        <f>IF(OR(F81="",F83=""),"",+IF(F81&gt;F83,E81,E83))</f>
        <v/>
      </c>
      <c r="H82" s="16"/>
      <c r="I82" s="10"/>
      <c r="J82" s="10"/>
      <c r="K82" s="10"/>
      <c r="L82" s="14"/>
      <c r="M82" s="10"/>
      <c r="N82" s="10"/>
      <c r="O82" s="10"/>
      <c r="Q82" s="8"/>
    </row>
    <row r="83" spans="4:17" ht="13" thickBot="1">
      <c r="D83">
        <v>37</v>
      </c>
      <c r="E83" s="10"/>
      <c r="F83" s="16"/>
      <c r="G83" s="10"/>
      <c r="H83" s="10"/>
      <c r="I83" s="10"/>
      <c r="J83" s="10"/>
      <c r="K83" s="10"/>
      <c r="L83" s="14"/>
      <c r="M83" s="10"/>
      <c r="N83" s="10"/>
      <c r="O83" s="10"/>
      <c r="Q83" s="8"/>
    </row>
    <row r="84" spans="4:17" ht="13" thickBot="1">
      <c r="E84" s="12"/>
      <c r="F84" s="10"/>
      <c r="G84" s="10"/>
      <c r="H84" s="10"/>
      <c r="I84" s="10"/>
      <c r="J84" s="10"/>
      <c r="K84" s="10"/>
      <c r="L84" s="14" t="s">
        <v>222</v>
      </c>
      <c r="M84" s="9" t="str">
        <f>IF(OR(L76="",L92=""),"",+IF(L76&gt;L92,K76,K92))</f>
        <v/>
      </c>
      <c r="N84" s="17"/>
      <c r="O84" s="10"/>
      <c r="Q84" s="8"/>
    </row>
    <row r="85" spans="4:17" ht="13" thickBot="1">
      <c r="D85">
        <v>38</v>
      </c>
      <c r="E85" s="10"/>
      <c r="F85" s="11"/>
      <c r="G85" s="10"/>
      <c r="H85" s="10"/>
      <c r="I85" s="10"/>
      <c r="J85" s="10"/>
      <c r="K85" s="10"/>
      <c r="L85" s="14"/>
      <c r="M85" s="10"/>
      <c r="N85" s="14"/>
      <c r="O85" s="10"/>
      <c r="Q85" s="8"/>
    </row>
    <row r="86" spans="4:17" ht="13" thickBot="1">
      <c r="E86" s="12"/>
      <c r="F86" s="13" t="s">
        <v>238</v>
      </c>
      <c r="G86" s="9" t="str">
        <f>IF(OR(F85="",F87=""),"",+IF(F85&gt;F87,E85,E87))</f>
        <v/>
      </c>
      <c r="H86" s="17"/>
      <c r="I86" s="10"/>
      <c r="J86" s="10"/>
      <c r="K86" s="10"/>
      <c r="L86" s="14"/>
      <c r="M86" s="10"/>
      <c r="N86" s="14"/>
      <c r="O86" s="10"/>
      <c r="Q86" s="8"/>
    </row>
    <row r="87" spans="4:17" ht="13" thickBot="1">
      <c r="D87">
        <v>39</v>
      </c>
      <c r="E87" s="10"/>
      <c r="F87" s="16"/>
      <c r="G87" s="10"/>
      <c r="H87" s="14"/>
      <c r="I87" s="10"/>
      <c r="J87" s="10"/>
      <c r="K87" s="10"/>
      <c r="L87" s="14"/>
      <c r="M87" s="10"/>
      <c r="N87" s="14"/>
      <c r="O87" s="10"/>
      <c r="Q87" s="8"/>
    </row>
    <row r="88" spans="4:17" ht="13" thickBot="1">
      <c r="E88" s="12"/>
      <c r="F88" s="10"/>
      <c r="G88" s="10"/>
      <c r="H88" s="14" t="s">
        <v>235</v>
      </c>
      <c r="I88" s="9" t="str">
        <f>IF(OR(H86="",H90=""),"",+IF(H86&gt;H90,G86,G90))</f>
        <v/>
      </c>
      <c r="J88" s="17"/>
      <c r="K88" s="10"/>
      <c r="L88" s="14"/>
      <c r="M88" s="10"/>
      <c r="N88" s="14"/>
      <c r="O88" s="10"/>
      <c r="Q88" s="8"/>
    </row>
    <row r="89" spans="4:17" ht="13" thickBot="1">
      <c r="D89">
        <v>40</v>
      </c>
      <c r="E89" s="10"/>
      <c r="F89" s="11"/>
      <c r="G89" s="10"/>
      <c r="H89" s="14"/>
      <c r="I89" s="10"/>
      <c r="J89" s="13"/>
      <c r="K89" s="10"/>
      <c r="L89" s="14"/>
      <c r="M89" s="10"/>
      <c r="N89" s="14"/>
      <c r="O89" s="10"/>
      <c r="Q89" s="8"/>
    </row>
    <row r="90" spans="4:17" ht="13" thickBot="1">
      <c r="E90" s="12"/>
      <c r="F90" s="13" t="s">
        <v>240</v>
      </c>
      <c r="G90" s="9" t="str">
        <f>IF(OR(F89="",F91=""),"",+IF(F89&gt;F91,E89,E91))</f>
        <v/>
      </c>
      <c r="H90" s="16"/>
      <c r="I90" s="10"/>
      <c r="J90" s="14"/>
      <c r="K90" s="10"/>
      <c r="L90" s="14"/>
      <c r="M90" s="10"/>
      <c r="N90" s="14"/>
      <c r="O90" s="10"/>
      <c r="Q90" s="8"/>
    </row>
    <row r="91" spans="4:17" ht="13" thickBot="1">
      <c r="D91">
        <v>41</v>
      </c>
      <c r="E91" s="10"/>
      <c r="F91" s="16"/>
      <c r="G91" s="10"/>
      <c r="H91" s="10"/>
      <c r="I91" s="10"/>
      <c r="J91" s="14"/>
      <c r="K91" s="10"/>
      <c r="L91" s="14"/>
      <c r="M91" s="10"/>
      <c r="N91" s="14"/>
      <c r="O91" s="10"/>
      <c r="Q91" s="8"/>
    </row>
    <row r="92" spans="4:17" ht="13" thickBot="1">
      <c r="E92" s="12"/>
      <c r="F92" s="10"/>
      <c r="G92" s="10"/>
      <c r="H92" s="10"/>
      <c r="I92" s="10"/>
      <c r="J92" s="14" t="s">
        <v>233</v>
      </c>
      <c r="K92" s="9" t="str">
        <f>IF(OR(J88="",J96=""),"",+IF(J88&gt;J96,I88,I96))</f>
        <v/>
      </c>
      <c r="L92" s="16"/>
      <c r="M92" s="10"/>
      <c r="N92" s="14"/>
      <c r="O92" s="10"/>
      <c r="Q92" s="8"/>
    </row>
    <row r="93" spans="4:17" ht="13" thickBot="1">
      <c r="D93">
        <v>42</v>
      </c>
      <c r="E93" s="10"/>
      <c r="F93" s="11"/>
      <c r="G93" s="10"/>
      <c r="H93" s="10"/>
      <c r="I93" s="10"/>
      <c r="J93" s="14"/>
      <c r="K93" s="10"/>
      <c r="L93" s="10"/>
      <c r="M93" s="10"/>
      <c r="N93" s="14"/>
      <c r="O93" s="10"/>
      <c r="Q93" s="8"/>
    </row>
    <row r="94" spans="4:17" ht="13" thickBot="1">
      <c r="E94" s="12"/>
      <c r="F94" s="13" t="s">
        <v>242</v>
      </c>
      <c r="G94" s="9" t="str">
        <f>IF(OR(F93="",F95=""),"",+IF(F93&gt;F95,E93,E95))</f>
        <v/>
      </c>
      <c r="H94" s="17"/>
      <c r="I94" s="10"/>
      <c r="J94" s="14"/>
      <c r="K94" s="10"/>
      <c r="L94" s="10"/>
      <c r="M94" s="10"/>
      <c r="N94" s="14"/>
      <c r="O94" s="10"/>
      <c r="Q94" s="8"/>
    </row>
    <row r="95" spans="4:17" ht="13" thickBot="1">
      <c r="D95">
        <v>43</v>
      </c>
      <c r="E95" s="10"/>
      <c r="F95" s="16"/>
      <c r="G95" s="10"/>
      <c r="H95" s="14"/>
      <c r="I95" s="10"/>
      <c r="J95" s="14"/>
      <c r="K95" s="10"/>
      <c r="L95" s="10"/>
      <c r="M95" s="10"/>
      <c r="N95" s="14"/>
      <c r="O95" s="10"/>
      <c r="Q95" s="8"/>
    </row>
    <row r="96" spans="4:17" ht="13" thickBot="1">
      <c r="E96" s="12"/>
      <c r="F96" s="10"/>
      <c r="G96" s="10"/>
      <c r="H96" s="14" t="s">
        <v>239</v>
      </c>
      <c r="I96" s="9" t="str">
        <f>IF(OR(H94="",H98=""),"",+IF(H94&gt;H98,G94,G98))</f>
        <v/>
      </c>
      <c r="J96" s="16"/>
      <c r="K96" s="10"/>
      <c r="L96" s="10"/>
      <c r="M96" s="10"/>
      <c r="N96" s="14"/>
      <c r="O96" s="10"/>
      <c r="Q96" s="8"/>
    </row>
    <row r="97" spans="4:17" ht="13" thickBot="1">
      <c r="D97">
        <v>44</v>
      </c>
      <c r="E97" s="10"/>
      <c r="F97" s="11"/>
      <c r="G97" s="10"/>
      <c r="H97" s="14"/>
      <c r="I97" s="10"/>
      <c r="J97" s="10"/>
      <c r="K97" s="10"/>
      <c r="L97" s="10"/>
      <c r="M97" s="10"/>
      <c r="N97" s="14"/>
      <c r="O97" s="10"/>
      <c r="Q97" s="8"/>
    </row>
    <row r="98" spans="4:17" ht="13" thickBot="1">
      <c r="E98" s="12"/>
      <c r="F98" s="13" t="s">
        <v>244</v>
      </c>
      <c r="G98" s="9" t="str">
        <f>IF(OR(F97="",F99=""),"",+IF(F97&gt;F99,E97,E99))</f>
        <v/>
      </c>
      <c r="H98" s="16"/>
      <c r="I98" s="10"/>
      <c r="J98" s="10"/>
      <c r="K98" s="10"/>
      <c r="L98" s="10"/>
      <c r="M98" s="10"/>
      <c r="N98" s="14"/>
      <c r="O98" s="10"/>
      <c r="Q98" s="8"/>
    </row>
    <row r="99" spans="4:17" ht="13" thickBot="1">
      <c r="D99">
        <v>45</v>
      </c>
      <c r="E99" s="9"/>
      <c r="F99" s="16"/>
      <c r="G99" s="10"/>
      <c r="H99" s="10"/>
      <c r="I99" s="10"/>
      <c r="J99" s="10"/>
      <c r="K99" s="10"/>
      <c r="L99" s="10"/>
      <c r="M99" s="10"/>
      <c r="N99" s="14"/>
      <c r="O99" s="10"/>
      <c r="Q99" s="8"/>
    </row>
    <row r="100" spans="4:17" ht="13" thickBot="1">
      <c r="E100" s="10"/>
      <c r="F100" s="10"/>
      <c r="G100" s="10"/>
      <c r="H100" s="10"/>
      <c r="I100" s="10"/>
      <c r="J100" s="10"/>
      <c r="K100" s="10"/>
      <c r="L100" s="10"/>
      <c r="M100" s="10"/>
      <c r="N100" s="14" t="s">
        <v>215</v>
      </c>
      <c r="O100" s="9" t="str">
        <f>IF(OR(N84="",N115=""),"",+IF(N84&gt;N115,M84,M115))</f>
        <v/>
      </c>
      <c r="P100" s="7"/>
      <c r="Q100" s="8"/>
    </row>
    <row r="101" spans="4:17" ht="13" thickBot="1">
      <c r="D101">
        <v>46</v>
      </c>
      <c r="E101" s="10"/>
      <c r="F101" s="9"/>
      <c r="G101" s="9">
        <f>E101</f>
        <v>0</v>
      </c>
      <c r="H101" s="11"/>
      <c r="I101" s="10"/>
      <c r="J101" s="10"/>
      <c r="K101" s="10"/>
      <c r="L101" s="10"/>
      <c r="M101" s="10"/>
      <c r="N101" s="14"/>
      <c r="O101" s="10"/>
    </row>
    <row r="102" spans="4:17">
      <c r="E102" s="12"/>
      <c r="F102" s="10"/>
      <c r="G102" s="10"/>
      <c r="H102" s="13"/>
      <c r="I102" s="10"/>
      <c r="J102" s="10"/>
      <c r="K102" s="10"/>
      <c r="L102" s="10"/>
      <c r="M102" s="10"/>
      <c r="N102" s="14"/>
      <c r="O102" s="10"/>
    </row>
    <row r="103" spans="4:17" ht="13" thickBot="1">
      <c r="E103" s="10"/>
      <c r="F103" s="10"/>
      <c r="G103" s="10"/>
      <c r="H103" s="14" t="s">
        <v>243</v>
      </c>
      <c r="I103" s="9" t="str">
        <f>IF(OR(H101="",H105=""),"",+IF(H101&gt;H105,G101,G105))</f>
        <v/>
      </c>
      <c r="J103" s="10"/>
      <c r="K103" s="10"/>
      <c r="L103" s="10"/>
      <c r="M103" s="10"/>
      <c r="N103" s="14"/>
      <c r="O103" s="10"/>
    </row>
    <row r="104" spans="4:17" ht="13" thickBot="1">
      <c r="D104">
        <v>47</v>
      </c>
      <c r="E104" s="10"/>
      <c r="F104" s="11"/>
      <c r="G104" s="10"/>
      <c r="H104" s="14"/>
      <c r="I104" s="12"/>
      <c r="J104" s="15"/>
      <c r="K104" s="10"/>
      <c r="L104" s="10"/>
      <c r="M104" s="10"/>
      <c r="N104" s="14"/>
      <c r="O104" s="10"/>
    </row>
    <row r="105" spans="4:17" ht="13" thickBot="1">
      <c r="E105" s="12"/>
      <c r="F105" s="13" t="s">
        <v>246</v>
      </c>
      <c r="G105" s="9" t="str">
        <f>IF(OR(F104="",F106=""),"",+IF(F104&gt;F106,E104,E106))</f>
        <v/>
      </c>
      <c r="H105" s="16"/>
      <c r="I105" s="10"/>
      <c r="J105" s="14"/>
      <c r="K105" s="10"/>
      <c r="L105" s="10"/>
      <c r="M105" s="10"/>
      <c r="N105" s="14"/>
      <c r="O105" s="10"/>
    </row>
    <row r="106" spans="4:17" ht="13" thickBot="1">
      <c r="D106">
        <v>48</v>
      </c>
      <c r="E106" s="9"/>
      <c r="F106" s="16"/>
      <c r="G106" s="10"/>
      <c r="H106" s="10"/>
      <c r="I106" s="10"/>
      <c r="J106" s="14"/>
      <c r="K106" s="10"/>
      <c r="L106" s="10"/>
      <c r="M106" s="10"/>
      <c r="N106" s="14"/>
      <c r="O106" s="10"/>
    </row>
    <row r="107" spans="4:17" ht="13" thickBot="1">
      <c r="E107" s="10"/>
      <c r="F107" s="10"/>
      <c r="G107" s="10"/>
      <c r="H107" s="10"/>
      <c r="I107" s="10"/>
      <c r="J107" s="14" t="s">
        <v>241</v>
      </c>
      <c r="K107" s="9" t="str">
        <f>IF(OR(J104="",J111=""),"",+IF(J104&gt;J111,I103,I111))</f>
        <v/>
      </c>
      <c r="L107" s="17"/>
      <c r="M107" s="10"/>
      <c r="N107" s="14"/>
      <c r="O107" s="10"/>
    </row>
    <row r="108" spans="4:17" ht="13" thickBot="1">
      <c r="D108">
        <v>49</v>
      </c>
      <c r="E108" s="10"/>
      <c r="F108" s="11"/>
      <c r="G108" s="10"/>
      <c r="H108" s="10"/>
      <c r="I108" s="10"/>
      <c r="J108" s="14"/>
      <c r="K108" s="10"/>
      <c r="L108" s="13"/>
      <c r="M108" s="10"/>
      <c r="N108" s="14"/>
      <c r="O108" s="10"/>
    </row>
    <row r="109" spans="4:17" ht="13" thickBot="1">
      <c r="E109" s="12"/>
      <c r="F109" s="13" t="s">
        <v>248</v>
      </c>
      <c r="G109" s="9" t="str">
        <f>IF(OR(F108="",F110=""),"",+IF(F108&gt;F110,E108,E110))</f>
        <v/>
      </c>
      <c r="H109" s="17"/>
      <c r="I109" s="10"/>
      <c r="J109" s="14"/>
      <c r="K109" s="10"/>
      <c r="L109" s="14"/>
      <c r="M109" s="10"/>
      <c r="N109" s="14"/>
      <c r="O109" s="10"/>
    </row>
    <row r="110" spans="4:17" ht="13" thickBot="1">
      <c r="D110">
        <v>50</v>
      </c>
      <c r="E110" s="10"/>
      <c r="F110" s="16"/>
      <c r="G110" s="10"/>
      <c r="H110" s="14"/>
      <c r="I110" s="10"/>
      <c r="J110" s="14"/>
      <c r="K110" s="10"/>
      <c r="L110" s="14"/>
      <c r="M110" s="10"/>
      <c r="N110" s="14"/>
      <c r="O110" s="10"/>
    </row>
    <row r="111" spans="4:17" ht="13" thickBot="1">
      <c r="E111" s="12"/>
      <c r="F111" s="10"/>
      <c r="G111" s="10"/>
      <c r="H111" s="14" t="s">
        <v>247</v>
      </c>
      <c r="I111" s="9" t="str">
        <f>IF(OR(H109="",H113=""),"",+IF(H109&gt;H113,G109,G113))</f>
        <v/>
      </c>
      <c r="J111" s="16"/>
      <c r="K111" s="10"/>
      <c r="L111" s="14"/>
      <c r="M111" s="10"/>
      <c r="N111" s="14"/>
      <c r="O111" s="10"/>
    </row>
    <row r="112" spans="4:17" ht="13" thickBot="1">
      <c r="D112">
        <v>51</v>
      </c>
      <c r="E112" s="10"/>
      <c r="F112" s="11"/>
      <c r="G112" s="10"/>
      <c r="H112" s="14"/>
      <c r="I112" s="10"/>
      <c r="J112" s="10"/>
      <c r="K112" s="10"/>
      <c r="L112" s="14"/>
      <c r="M112" s="10"/>
      <c r="N112" s="14"/>
      <c r="O112" s="10"/>
    </row>
    <row r="113" spans="4:15" ht="13" thickBot="1">
      <c r="E113" s="12"/>
      <c r="F113" s="13" t="s">
        <v>250</v>
      </c>
      <c r="G113" s="9" t="str">
        <f>IF(OR(F112="",F114=""),"",+IF(F112&gt;F114,E112,E114))</f>
        <v/>
      </c>
      <c r="H113" s="16"/>
      <c r="I113" s="10"/>
      <c r="J113" s="10"/>
      <c r="K113" s="10"/>
      <c r="L113" s="14"/>
      <c r="M113" s="10"/>
      <c r="N113" s="14"/>
      <c r="O113" s="10"/>
    </row>
    <row r="114" spans="4:15" ht="13" thickBot="1">
      <c r="D114">
        <v>52</v>
      </c>
      <c r="E114" s="10"/>
      <c r="F114" s="16"/>
      <c r="G114" s="10"/>
      <c r="H114" s="10"/>
      <c r="I114" s="10"/>
      <c r="J114" s="10"/>
      <c r="K114" s="10"/>
      <c r="L114" s="14"/>
      <c r="M114" s="10"/>
      <c r="N114" s="14"/>
      <c r="O114" s="10"/>
    </row>
    <row r="115" spans="4:15" ht="13" thickBot="1">
      <c r="E115" s="12"/>
      <c r="F115" s="10"/>
      <c r="G115" s="10"/>
      <c r="H115" s="10"/>
      <c r="I115" s="10"/>
      <c r="J115" s="10"/>
      <c r="K115" s="10"/>
      <c r="L115" s="14" t="s">
        <v>237</v>
      </c>
      <c r="M115" s="9" t="str">
        <f>IF(OR(L107="",L123=""),"",+IF(L107&gt;L123,K107,K123))</f>
        <v/>
      </c>
      <c r="N115" s="16"/>
      <c r="O115" s="10"/>
    </row>
    <row r="116" spans="4:15" ht="13" thickBot="1">
      <c r="D116">
        <v>53</v>
      </c>
      <c r="E116" s="10"/>
      <c r="F116" s="11"/>
      <c r="G116" s="10"/>
      <c r="H116" s="10"/>
      <c r="I116" s="10"/>
      <c r="J116" s="10"/>
      <c r="K116" s="10"/>
      <c r="L116" s="14"/>
      <c r="M116" s="10"/>
      <c r="N116" s="10"/>
      <c r="O116" s="10"/>
    </row>
    <row r="117" spans="4:15" ht="13" thickBot="1">
      <c r="E117" s="12"/>
      <c r="F117" s="13" t="s">
        <v>252</v>
      </c>
      <c r="G117" s="9" t="str">
        <f>IF(OR(F116="",F118=""),"",+IF(F116&gt;F118,E116,E118))</f>
        <v/>
      </c>
      <c r="H117" s="17"/>
      <c r="I117" s="10"/>
      <c r="J117" s="10"/>
      <c r="K117" s="10"/>
      <c r="L117" s="14"/>
      <c r="M117" s="10"/>
      <c r="N117" s="10"/>
      <c r="O117" s="10"/>
    </row>
    <row r="118" spans="4:15" ht="13" thickBot="1">
      <c r="D118">
        <v>54</v>
      </c>
      <c r="E118" s="10"/>
      <c r="F118" s="16"/>
      <c r="G118" s="10"/>
      <c r="H118" s="14"/>
      <c r="I118" s="10"/>
      <c r="J118" s="10"/>
      <c r="K118" s="10"/>
      <c r="L118" s="14"/>
      <c r="M118" s="10"/>
      <c r="N118" s="10"/>
      <c r="O118" s="10"/>
    </row>
    <row r="119" spans="4:15" ht="13" thickBot="1">
      <c r="E119" s="12"/>
      <c r="F119" s="10"/>
      <c r="G119" s="10"/>
      <c r="H119" s="14" t="s">
        <v>251</v>
      </c>
      <c r="I119" s="9" t="str">
        <f>IF(OR(H117="",H121=""),"",+IF(H117&gt;H121,G117,G121))</f>
        <v/>
      </c>
      <c r="J119" s="17"/>
      <c r="K119" s="10"/>
      <c r="L119" s="14"/>
      <c r="M119" s="10"/>
      <c r="N119" s="10"/>
      <c r="O119" s="10"/>
    </row>
    <row r="120" spans="4:15" ht="13" thickBot="1">
      <c r="D120">
        <v>55</v>
      </c>
      <c r="E120" s="10"/>
      <c r="F120" s="11"/>
      <c r="G120" s="10"/>
      <c r="H120" s="14"/>
      <c r="I120" s="10"/>
      <c r="J120" s="13"/>
      <c r="K120" s="10"/>
      <c r="L120" s="14"/>
      <c r="M120" s="10"/>
      <c r="N120" s="10"/>
      <c r="O120" s="10"/>
    </row>
    <row r="121" spans="4:15" ht="13" thickBot="1">
      <c r="E121" s="12"/>
      <c r="F121" s="13" t="s">
        <v>254</v>
      </c>
      <c r="G121" s="9" t="str">
        <f>IF(OR(F120="",F122=""),"",+IF(F120&gt;F122,E120,E122))</f>
        <v/>
      </c>
      <c r="H121" s="16"/>
      <c r="I121" s="10"/>
      <c r="J121" s="14"/>
      <c r="K121" s="10"/>
      <c r="L121" s="14"/>
      <c r="M121" s="10"/>
      <c r="N121" s="10"/>
      <c r="O121" s="10"/>
    </row>
    <row r="122" spans="4:15" ht="13" thickBot="1">
      <c r="D122">
        <v>56</v>
      </c>
      <c r="E122" s="10"/>
      <c r="F122" s="16"/>
      <c r="G122" s="10"/>
      <c r="H122" s="10"/>
      <c r="I122" s="10"/>
      <c r="J122" s="14"/>
      <c r="K122" s="10"/>
      <c r="L122" s="14"/>
      <c r="M122" s="10"/>
      <c r="N122" s="10"/>
      <c r="O122" s="10"/>
    </row>
    <row r="123" spans="4:15" ht="13" thickBot="1">
      <c r="E123" s="12"/>
      <c r="F123" s="10"/>
      <c r="G123" s="10"/>
      <c r="H123" s="10"/>
      <c r="I123" s="10"/>
      <c r="J123" s="14" t="s">
        <v>249</v>
      </c>
      <c r="K123" s="9" t="str">
        <f>IF(OR(J119="",J127=""),"",+IF(J119&gt;J127,I119,I127))</f>
        <v/>
      </c>
      <c r="L123" s="16"/>
      <c r="M123" s="10"/>
      <c r="N123" s="10"/>
      <c r="O123" s="10"/>
    </row>
    <row r="124" spans="4:15" ht="13" thickBot="1">
      <c r="D124">
        <v>57</v>
      </c>
      <c r="E124" s="10"/>
      <c r="F124" s="11"/>
      <c r="G124" s="10"/>
      <c r="H124" s="10"/>
      <c r="I124" s="10"/>
      <c r="J124" s="14"/>
      <c r="K124" s="10"/>
      <c r="L124" s="10"/>
      <c r="M124" s="10"/>
      <c r="N124" s="10"/>
      <c r="O124" s="10"/>
    </row>
    <row r="125" spans="4:15" ht="13" thickBot="1">
      <c r="E125" s="12"/>
      <c r="F125" s="13" t="s">
        <v>256</v>
      </c>
      <c r="G125" s="9" t="str">
        <f>IF(OR(F124="",F126=""),"",+IF(F124&gt;F126,E124,E126))</f>
        <v/>
      </c>
      <c r="H125" s="17"/>
      <c r="I125" s="10"/>
      <c r="J125" s="14"/>
      <c r="K125" s="10"/>
      <c r="L125" s="10"/>
      <c r="M125" s="10"/>
      <c r="N125" s="10"/>
      <c r="O125" s="10"/>
    </row>
    <row r="126" spans="4:15" ht="13" thickBot="1">
      <c r="D126">
        <v>58</v>
      </c>
      <c r="E126" s="10"/>
      <c r="F126" s="16"/>
      <c r="G126" s="10"/>
      <c r="H126" s="14"/>
      <c r="I126" s="10"/>
      <c r="J126" s="14"/>
      <c r="K126" s="10"/>
      <c r="L126" s="10"/>
      <c r="M126" s="10"/>
      <c r="N126" s="10"/>
      <c r="O126" s="10"/>
    </row>
    <row r="127" spans="4:15" ht="13" thickBot="1">
      <c r="E127" s="12"/>
      <c r="F127" s="10"/>
      <c r="G127" s="10"/>
      <c r="H127" s="14" t="s">
        <v>255</v>
      </c>
      <c r="I127" s="9" t="str">
        <f>IF(OR(H125="",H129=""),"",+IF(H125&gt;H129,G125,G129))</f>
        <v/>
      </c>
      <c r="J127" s="16"/>
      <c r="K127" s="10"/>
      <c r="L127" s="10"/>
      <c r="M127" s="10"/>
      <c r="N127" s="10"/>
      <c r="O127" s="10"/>
    </row>
    <row r="128" spans="4:15" ht="13" thickBot="1">
      <c r="D128">
        <v>59</v>
      </c>
      <c r="E128" s="10"/>
      <c r="F128" s="11"/>
      <c r="G128" s="10"/>
      <c r="H128" s="14"/>
      <c r="I128" s="10"/>
      <c r="J128" s="10"/>
      <c r="K128" s="10"/>
      <c r="L128" s="10"/>
      <c r="M128" s="10"/>
      <c r="N128" s="10"/>
      <c r="O128" s="10"/>
    </row>
    <row r="129" spans="4:15" ht="13" thickBot="1">
      <c r="E129" s="12"/>
      <c r="F129" s="13" t="s">
        <v>258</v>
      </c>
      <c r="G129" s="9" t="str">
        <f>IF(OR(F128="",F130=""),"",+IF(F128&gt;F130,E128,E130))</f>
        <v/>
      </c>
      <c r="H129" s="16"/>
      <c r="I129" s="10"/>
      <c r="J129" s="10"/>
      <c r="K129" s="10"/>
      <c r="L129" s="10"/>
      <c r="M129" s="10"/>
      <c r="N129" s="10"/>
      <c r="O129" s="10"/>
    </row>
    <row r="130" spans="4:15" ht="13" thickBot="1">
      <c r="D130">
        <v>60</v>
      </c>
      <c r="E130" s="9"/>
      <c r="F130" s="16"/>
      <c r="G130" s="10"/>
      <c r="H130" s="10"/>
      <c r="I130" s="10"/>
      <c r="J130" s="10"/>
      <c r="K130" s="10"/>
      <c r="L130" s="10"/>
      <c r="M130" s="10"/>
      <c r="N130" s="10"/>
      <c r="O130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65"/>
  <dimension ref="D4:AG138"/>
  <sheetViews>
    <sheetView showGridLines="0" topLeftCell="A42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87890625" customWidth="1"/>
    <col min="13" max="13" width="16.41015625" customWidth="1"/>
    <col min="14" max="14" width="3.64453125" customWidth="1"/>
    <col min="15" max="15" width="15.1171875" customWidth="1"/>
    <col min="16" max="16" width="4.527343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D6" s="23"/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258</v>
      </c>
      <c r="I9" s="9" t="str">
        <f>IF(OR(H7="",H11=""),"",+IF(H7&gt;H11,G7,G11))</f>
        <v/>
      </c>
      <c r="J9" s="10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/>
      <c r="AE9" s="53" t="e">
        <f>LOOKUP(AD9,T$5:T$78,U$5:U$65)</f>
        <v>#N/A</v>
      </c>
      <c r="AF9" s="37" t="s">
        <v>157</v>
      </c>
      <c r="AG9" s="65" t="e">
        <f>LOOKUP(AD9,T$5:T$78,W$5:W$68)</f>
        <v>#N/A</v>
      </c>
    </row>
    <row r="10" spans="4:33" ht="13" thickBot="1">
      <c r="D10">
        <v>2</v>
      </c>
      <c r="E10" s="10"/>
      <c r="F10" s="11"/>
      <c r="G10" s="10"/>
      <c r="H10" s="14"/>
      <c r="I10" s="12"/>
      <c r="J10" s="15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/>
      <c r="AE10" s="53" t="e">
        <f>LOOKUP(AD10,T$5:T$78,U$5:U$65)</f>
        <v>#N/A</v>
      </c>
      <c r="AF10" s="37" t="s">
        <v>157</v>
      </c>
      <c r="AG10" s="65" t="e">
        <f>LOOKUP(AD10,T$5:T$78,W$5:W$68)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E39</f>
        <v>0</v>
      </c>
      <c r="V11" t="s">
        <v>77</v>
      </c>
      <c r="W11" s="29">
        <f>E41</f>
        <v>0</v>
      </c>
      <c r="Z11" s="34"/>
      <c r="AA11" s="40"/>
      <c r="AB11" s="40"/>
      <c r="AC11" s="38" t="s">
        <v>159</v>
      </c>
      <c r="AD11" s="48"/>
      <c r="AE11" s="53" t="e">
        <f>LOOKUP(AD11,T$5:T$78,U$5:U$65)</f>
        <v>#N/A</v>
      </c>
      <c r="AF11" s="37" t="s">
        <v>157</v>
      </c>
      <c r="AG11" s="65" t="e">
        <f>LOOKUP(AD11,T$5:T$78,W$5:W$68)</f>
        <v>#N/A</v>
      </c>
    </row>
    <row r="12" spans="4:33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E43</f>
        <v>0</v>
      </c>
      <c r="V12" t="s">
        <v>77</v>
      </c>
      <c r="W12" s="29">
        <f>E45</f>
        <v>0</v>
      </c>
      <c r="Z12" s="34"/>
      <c r="AA12" s="40"/>
      <c r="AB12" s="40"/>
      <c r="AC12" s="38" t="s">
        <v>159</v>
      </c>
      <c r="AD12" s="48"/>
      <c r="AE12" s="53" t="e">
        <f>LOOKUP(AD12,T$5:T$78,U$5:U$65)</f>
        <v>#N/A</v>
      </c>
      <c r="AF12" s="37" t="s">
        <v>157</v>
      </c>
      <c r="AG12" s="65" t="e">
        <f>LOOKUP(AD12,T$5:T$78,W$5:W$68)</f>
        <v>#N/A</v>
      </c>
    </row>
    <row r="13" spans="4:33" ht="13" thickBot="1">
      <c r="E13" s="10"/>
      <c r="F13" s="10"/>
      <c r="G13" s="10"/>
      <c r="H13" s="10"/>
      <c r="I13" s="10"/>
      <c r="J13" s="14" t="s">
        <v>255</v>
      </c>
      <c r="K13" s="9" t="str">
        <f>IF(OR(J10="",J17=""),"",+IF(J10&gt;J17,I9,I17))</f>
        <v/>
      </c>
      <c r="L13" s="17"/>
      <c r="M13" s="10"/>
      <c r="N13" s="10"/>
      <c r="O13" s="10"/>
      <c r="T13">
        <v>9</v>
      </c>
      <c r="U13" s="28">
        <f>E47</f>
        <v>0</v>
      </c>
      <c r="V13" t="s">
        <v>77</v>
      </c>
      <c r="W13" s="29">
        <f>E49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E51</f>
        <v>0</v>
      </c>
      <c r="V14" t="s">
        <v>77</v>
      </c>
      <c r="W14" s="29">
        <f>E53</f>
        <v>0</v>
      </c>
      <c r="Z14" s="34"/>
      <c r="AA14" s="40"/>
      <c r="AB14" s="40"/>
      <c r="AC14" s="38" t="s">
        <v>159</v>
      </c>
      <c r="AD14" s="48"/>
      <c r="AE14" s="53" t="e">
        <f>LOOKUP(AD14,T$5:T$78,U$5:U$65)</f>
        <v>#N/A</v>
      </c>
      <c r="AF14" s="37" t="s">
        <v>157</v>
      </c>
      <c r="AG14" s="65" t="e">
        <f>LOOKUP(AD14,T$5:T$78,W$5:W$68)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E55</f>
        <v>0</v>
      </c>
      <c r="V15" t="s">
        <v>77</v>
      </c>
      <c r="W15" s="29">
        <f>E57</f>
        <v>0</v>
      </c>
      <c r="Z15" s="34"/>
      <c r="AA15" s="40"/>
      <c r="AB15" s="40"/>
      <c r="AC15" s="38" t="s">
        <v>159</v>
      </c>
      <c r="AD15" s="48"/>
      <c r="AE15" s="53" t="e">
        <f>LOOKUP(AD15,T$5:T$78,U$5:U$65)</f>
        <v>#N/A</v>
      </c>
      <c r="AF15" s="37" t="s">
        <v>157</v>
      </c>
      <c r="AG15" s="65" t="e">
        <f>LOOKUP(AD15,T$5:T$78,W$5:W$68)</f>
        <v>#N/A</v>
      </c>
    </row>
    <row r="16" spans="4:33" ht="13" thickBot="1">
      <c r="D16">
        <v>5</v>
      </c>
      <c r="E16" s="10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E59</f>
        <v>0</v>
      </c>
      <c r="V16" t="s">
        <v>77</v>
      </c>
      <c r="W16" s="29">
        <f>E61</f>
        <v>0</v>
      </c>
      <c r="Z16" s="34"/>
      <c r="AA16" s="40"/>
      <c r="AB16" s="40"/>
      <c r="AC16" s="38" t="s">
        <v>159</v>
      </c>
      <c r="AD16" s="48"/>
      <c r="AE16" s="53" t="e">
        <f>LOOKUP(AD16,T$5:T$78,U$5:U$65)</f>
        <v>#N/A</v>
      </c>
      <c r="AF16" s="37" t="s">
        <v>157</v>
      </c>
      <c r="AG16" s="65" t="e">
        <f>LOOKUP(AD16,T$5:T$78,W$5:W$68)</f>
        <v>#N/A</v>
      </c>
    </row>
    <row r="17" spans="4:33" ht="13" thickBot="1">
      <c r="E17" s="12"/>
      <c r="F17" s="10"/>
      <c r="G17" s="10"/>
      <c r="H17" s="14" t="s">
        <v>260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E63</f>
        <v>0</v>
      </c>
      <c r="V17" t="s">
        <v>77</v>
      </c>
      <c r="W17" s="29">
        <f>E65</f>
        <v>0</v>
      </c>
      <c r="Z17" s="34"/>
      <c r="AA17" s="40"/>
      <c r="AB17" s="40"/>
      <c r="AC17" s="38" t="s">
        <v>159</v>
      </c>
      <c r="AD17" s="48"/>
      <c r="AE17" s="53" t="e">
        <f>LOOKUP(AD17,T$5:T$78,U$5:U$65)</f>
        <v>#N/A</v>
      </c>
      <c r="AF17" s="37" t="s">
        <v>157</v>
      </c>
      <c r="AG17" s="65" t="e">
        <f>LOOKUP(AD17,T$5:T$78,W$5:W$68)</f>
        <v>#N/A</v>
      </c>
    </row>
    <row r="18" spans="4:33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>
        <f>E71</f>
        <v>0</v>
      </c>
      <c r="V18" t="s">
        <v>77</v>
      </c>
      <c r="W18" s="29">
        <f>E73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>
        <f>E75</f>
        <v>0</v>
      </c>
      <c r="V19" t="s">
        <v>77</v>
      </c>
      <c r="W19" s="29">
        <f>E77</f>
        <v>0</v>
      </c>
      <c r="Z19" s="34"/>
      <c r="AA19" s="40"/>
      <c r="AB19" s="40"/>
      <c r="AC19" s="38" t="s">
        <v>159</v>
      </c>
      <c r="AD19" s="48"/>
      <c r="AE19" s="53" t="e">
        <f>LOOKUP(AD19,T$5:T$78,U$5:U$65)</f>
        <v>#N/A</v>
      </c>
      <c r="AF19" s="37" t="s">
        <v>157</v>
      </c>
      <c r="AG19" s="65" t="e">
        <f>LOOKUP(AD19,T$5:T$78,W$5:W$68)</f>
        <v>#N/A</v>
      </c>
    </row>
    <row r="20" spans="4:33" ht="13" thickBot="1">
      <c r="D20">
        <v>7</v>
      </c>
      <c r="E20" s="10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>
        <f>E79</f>
        <v>0</v>
      </c>
      <c r="V20" t="s">
        <v>77</v>
      </c>
      <c r="W20" s="29">
        <f>E81</f>
        <v>0</v>
      </c>
      <c r="Z20" s="34"/>
      <c r="AA20" s="40"/>
      <c r="AB20" s="40"/>
      <c r="AC20" s="38" t="s">
        <v>159</v>
      </c>
      <c r="AD20" s="48"/>
      <c r="AE20" s="53" t="e">
        <f>LOOKUP(AD20,T$5:T$78,U$5:U$65)</f>
        <v>#N/A</v>
      </c>
      <c r="AF20" s="37" t="s">
        <v>157</v>
      </c>
      <c r="AG20" s="65" t="e">
        <f>LOOKUP(AD20,T$5:T$78,W$5:W$68)</f>
        <v>#N/A</v>
      </c>
    </row>
    <row r="21" spans="4:33" ht="13" thickBot="1">
      <c r="E21" s="12"/>
      <c r="F21" s="10"/>
      <c r="G21" s="10"/>
      <c r="H21" s="10"/>
      <c r="I21" s="10"/>
      <c r="J21" s="10"/>
      <c r="K21" s="10"/>
      <c r="L21" s="14" t="s">
        <v>249</v>
      </c>
      <c r="M21" s="9" t="str">
        <f>IF(OR(L13="",L28=""),"",+IF(L13&gt;L28,K13,K28))</f>
        <v/>
      </c>
      <c r="N21" s="17"/>
      <c r="O21" s="10"/>
      <c r="T21">
        <v>17</v>
      </c>
      <c r="U21" s="28">
        <f>E83</f>
        <v>0</v>
      </c>
      <c r="V21" t="s">
        <v>77</v>
      </c>
      <c r="W21" s="29">
        <f>E85</f>
        <v>0</v>
      </c>
      <c r="Z21" s="34"/>
      <c r="AA21" s="40"/>
      <c r="AB21" s="40"/>
      <c r="AC21" s="38" t="s">
        <v>159</v>
      </c>
      <c r="AD21" s="48"/>
      <c r="AE21" s="53" t="e">
        <f>LOOKUP(AD21,T$5:T$78,U$5:U$65)</f>
        <v>#N/A</v>
      </c>
      <c r="AF21" s="37" t="s">
        <v>157</v>
      </c>
      <c r="AG21" s="65" t="e">
        <f>LOOKUP(AD21,T$5:T$78,W$5:W$68)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>
        <f>E87</f>
        <v>0</v>
      </c>
      <c r="V22" t="s">
        <v>77</v>
      </c>
      <c r="W22" s="29">
        <f>E89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28">
        <f>E91</f>
        <v>0</v>
      </c>
      <c r="V23" t="s">
        <v>77</v>
      </c>
      <c r="W23" s="29">
        <f>E93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28">
        <f>E95</f>
        <v>0</v>
      </c>
      <c r="V24" t="s">
        <v>77</v>
      </c>
      <c r="W24" s="29">
        <f>E97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0"/>
      <c r="G25" s="10"/>
      <c r="H25" s="14" t="s">
        <v>201</v>
      </c>
      <c r="I25" s="9" t="str">
        <f>IF(OR(H23="",H27=""),"",+IF(H23&gt;H27,G23,G27))</f>
        <v/>
      </c>
      <c r="J25" s="17"/>
      <c r="K25" s="10"/>
      <c r="L25" s="14"/>
      <c r="M25" s="10"/>
      <c r="N25" s="14"/>
      <c r="O25" s="10"/>
      <c r="T25">
        <v>21</v>
      </c>
      <c r="U25" s="28">
        <f>E102</f>
        <v>0</v>
      </c>
      <c r="V25" t="s">
        <v>77</v>
      </c>
      <c r="W25" s="29">
        <f>E104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1"/>
      <c r="G26" s="10"/>
      <c r="H26" s="14"/>
      <c r="I26" s="10"/>
      <c r="J26" s="14"/>
      <c r="K26" s="10"/>
      <c r="L26" s="14"/>
      <c r="M26" s="10"/>
      <c r="N26" s="14"/>
      <c r="O26" s="10"/>
      <c r="T26">
        <v>22</v>
      </c>
      <c r="U26" s="28">
        <f>E106</f>
        <v>0</v>
      </c>
      <c r="V26" t="s">
        <v>77</v>
      </c>
      <c r="W26" s="29">
        <f>E108</f>
        <v>0</v>
      </c>
      <c r="Z26" s="34"/>
      <c r="AA26" s="40"/>
      <c r="AB26" s="40"/>
      <c r="AC26" s="38" t="s">
        <v>159</v>
      </c>
      <c r="AD26" s="48"/>
      <c r="AE26" s="53" t="e">
        <f>LOOKUP(AD26,T$5:T$78,U$5:U$65)</f>
        <v>#N/A</v>
      </c>
      <c r="AF26" s="37" t="s">
        <v>157</v>
      </c>
      <c r="AG26" s="65" t="e">
        <f>LOOKUP(AD26,T$5:T$78,W$5:W$68)</f>
        <v>#N/A</v>
      </c>
    </row>
    <row r="27" spans="4:33" ht="13" thickBot="1">
      <c r="E27" s="12"/>
      <c r="F27" s="13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>
        <f>E110</f>
        <v>0</v>
      </c>
      <c r="V27" t="s">
        <v>77</v>
      </c>
      <c r="W27" s="29">
        <f>E112</f>
        <v>0</v>
      </c>
      <c r="Z27" s="34"/>
      <c r="AA27" s="40"/>
      <c r="AB27" s="40"/>
      <c r="AC27" s="38" t="s">
        <v>159</v>
      </c>
      <c r="AD27" s="48"/>
      <c r="AE27" s="53" t="e">
        <f>LOOKUP(AD27,T$5:T$78,U$5:U$65)</f>
        <v>#N/A</v>
      </c>
      <c r="AF27" s="37" t="s">
        <v>157</v>
      </c>
      <c r="AG27" s="65" t="e">
        <f>LOOKUP(AD27,T$5:T$78,W$5:W$68)</f>
        <v>#N/A</v>
      </c>
    </row>
    <row r="28" spans="4:33" ht="13" thickBot="1">
      <c r="D28">
        <v>11</v>
      </c>
      <c r="E28" s="10"/>
      <c r="F28" s="16"/>
      <c r="G28" s="10"/>
      <c r="H28" s="10"/>
      <c r="I28" s="10"/>
      <c r="J28" s="14" t="s">
        <v>259</v>
      </c>
      <c r="K28" s="9" t="str">
        <f>IF(OR(J25="",J33=""),"",+IF(J25&gt;J33,I25,I33))</f>
        <v/>
      </c>
      <c r="L28" s="16"/>
      <c r="M28" s="10"/>
      <c r="N28" s="14"/>
      <c r="O28" s="10"/>
      <c r="T28">
        <v>24</v>
      </c>
      <c r="U28" s="28">
        <f>E114</f>
        <v>0</v>
      </c>
      <c r="V28" t="s">
        <v>77</v>
      </c>
      <c r="W28" s="29">
        <f>E116</f>
        <v>0</v>
      </c>
      <c r="Z28" s="34"/>
      <c r="AA28" s="40"/>
      <c r="AB28" s="40"/>
      <c r="AC28" s="38" t="s">
        <v>159</v>
      </c>
      <c r="AD28" s="48"/>
      <c r="AE28" s="53" t="e">
        <f>LOOKUP(AD28,T$5:T$78,U$5:U$65)</f>
        <v>#N/A</v>
      </c>
      <c r="AF28" s="37" t="s">
        <v>157</v>
      </c>
      <c r="AG28" s="65" t="e">
        <f>LOOKUP(AD28,T$5:T$78,W$5:W$68)</f>
        <v>#N/A</v>
      </c>
    </row>
    <row r="29" spans="4:33">
      <c r="E29" s="12"/>
      <c r="F29" s="10"/>
      <c r="G29" s="10"/>
      <c r="H29" s="10"/>
      <c r="I29" s="10"/>
      <c r="J29" s="14"/>
      <c r="K29" s="10"/>
      <c r="L29" s="10"/>
      <c r="M29" s="10"/>
      <c r="N29" s="14"/>
      <c r="O29" s="10"/>
      <c r="T29">
        <v>25</v>
      </c>
      <c r="U29" s="28">
        <f>E118</f>
        <v>0</v>
      </c>
      <c r="V29" t="s">
        <v>77</v>
      </c>
      <c r="W29" s="29">
        <f>E120</f>
        <v>0</v>
      </c>
      <c r="Z29" s="34"/>
      <c r="AA29" s="40"/>
      <c r="AB29" s="40"/>
      <c r="AC29" s="38" t="s">
        <v>159</v>
      </c>
      <c r="AD29" s="48"/>
      <c r="AE29" s="53" t="e">
        <f>LOOKUP(AD29,T$5:T$78,U$5:U$65)</f>
        <v>#N/A</v>
      </c>
      <c r="AF29" s="37" t="s">
        <v>157</v>
      </c>
      <c r="AG29" s="65" t="e">
        <f>LOOKUP(AD29,T$5:T$78,W$5:W$68)</f>
        <v>#N/A</v>
      </c>
    </row>
    <row r="30" spans="4:33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>
        <f>E122</f>
        <v>0</v>
      </c>
      <c r="V30" t="s">
        <v>77</v>
      </c>
      <c r="W30" s="29">
        <f>E124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2"/>
      <c r="F31" s="13" t="s">
        <v>212</v>
      </c>
      <c r="G31" s="9" t="str">
        <f>IF(OR(F30="",F32=""),"",+IF(F30&gt;F32,E30,E32))</f>
        <v/>
      </c>
      <c r="H31" s="11"/>
      <c r="I31" s="10"/>
      <c r="J31" s="14"/>
      <c r="K31" s="10"/>
      <c r="L31" s="10"/>
      <c r="M31" s="10"/>
      <c r="N31" s="14"/>
      <c r="O31" s="10"/>
      <c r="T31">
        <v>27</v>
      </c>
      <c r="U31" s="28">
        <f>E126</f>
        <v>0</v>
      </c>
      <c r="V31" t="s">
        <v>77</v>
      </c>
      <c r="W31" s="29">
        <f>E128</f>
        <v>0</v>
      </c>
      <c r="Z31" s="34"/>
      <c r="AA31" s="40"/>
      <c r="AB31" s="40"/>
      <c r="AC31" s="38" t="s">
        <v>159</v>
      </c>
      <c r="AD31" s="48"/>
      <c r="AE31" s="53" t="e">
        <f>LOOKUP(AD31,T$5:T$78,U$5:U$65)</f>
        <v>#N/A</v>
      </c>
      <c r="AF31" s="37" t="s">
        <v>157</v>
      </c>
      <c r="AG31" s="65" t="e">
        <f>LOOKUP(AD31,T$5:T$78,W$5:W$68)</f>
        <v>#N/A</v>
      </c>
    </row>
    <row r="32" spans="4:33" ht="13" thickBot="1">
      <c r="D32">
        <v>13</v>
      </c>
      <c r="E32" s="9"/>
      <c r="F32" s="16"/>
      <c r="G32" s="10"/>
      <c r="H32" s="13"/>
      <c r="I32" s="10"/>
      <c r="J32" s="14"/>
      <c r="K32" s="10"/>
      <c r="L32" s="10"/>
      <c r="M32" s="10"/>
      <c r="N32" s="14"/>
      <c r="O32" s="10"/>
      <c r="T32">
        <v>28</v>
      </c>
      <c r="U32" s="28">
        <f>E7</f>
        <v>0</v>
      </c>
      <c r="V32" t="s">
        <v>77</v>
      </c>
      <c r="W32" s="29" t="s">
        <v>78</v>
      </c>
      <c r="Z32" s="34"/>
      <c r="AA32" s="40"/>
      <c r="AB32" s="40"/>
      <c r="AC32" s="38" t="s">
        <v>159</v>
      </c>
      <c r="AD32" s="48"/>
      <c r="AE32" s="53" t="e">
        <f>LOOKUP(AD32,T$5:T$78,U$5:U$65)</f>
        <v>#N/A</v>
      </c>
      <c r="AF32" s="37" t="s">
        <v>157</v>
      </c>
      <c r="AG32" s="65" t="e">
        <f>LOOKUP(AD32,T$5:T$78,W$5:W$68)</f>
        <v>#N/A</v>
      </c>
    </row>
    <row r="33" spans="4:33" ht="13" thickBot="1">
      <c r="E33" s="10"/>
      <c r="F33" s="10"/>
      <c r="G33" s="10"/>
      <c r="H33" s="14" t="s">
        <v>205</v>
      </c>
      <c r="I33" s="9" t="str">
        <f>IF(OR(H31="",H34=""),"",+IF(H31&gt;H34,G31,E34))</f>
        <v/>
      </c>
      <c r="J33" s="16"/>
      <c r="K33" s="10"/>
      <c r="L33" s="10"/>
      <c r="M33" s="10"/>
      <c r="N33" s="14"/>
      <c r="O33" s="10"/>
      <c r="T33">
        <v>29</v>
      </c>
      <c r="U33" s="28" t="s">
        <v>160</v>
      </c>
      <c r="V33" t="s">
        <v>77</v>
      </c>
      <c r="W33" s="29" t="s">
        <v>161</v>
      </c>
      <c r="Z33" s="34"/>
      <c r="AA33" s="40"/>
      <c r="AB33" s="40"/>
      <c r="AC33" s="38" t="s">
        <v>159</v>
      </c>
      <c r="AD33" s="48"/>
      <c r="AE33" s="53" t="e">
        <f>LOOKUP(AD33,T$5:T$78,U$5:U$65)</f>
        <v>#N/A</v>
      </c>
      <c r="AF33" s="37" t="s">
        <v>157</v>
      </c>
      <c r="AG33" s="65" t="e">
        <f>LOOKUP(AD33,T$5:T$78,W$5:W$68)</f>
        <v>#N/A</v>
      </c>
    </row>
    <row r="34" spans="4:33" ht="13" thickBot="1">
      <c r="D34">
        <v>14</v>
      </c>
      <c r="E34" s="9"/>
      <c r="F34" s="9"/>
      <c r="G34" s="9">
        <f>E34</f>
        <v>0</v>
      </c>
      <c r="H34" s="16"/>
      <c r="I34" s="10"/>
      <c r="J34" s="10"/>
      <c r="K34" s="10"/>
      <c r="L34" s="10"/>
      <c r="M34" s="10"/>
      <c r="N34" s="14"/>
      <c r="O34" s="10"/>
      <c r="T34">
        <v>30</v>
      </c>
      <c r="U34" s="28" t="s">
        <v>81</v>
      </c>
      <c r="V34" t="s">
        <v>77</v>
      </c>
      <c r="W34" s="29" t="s">
        <v>162</v>
      </c>
      <c r="Z34" s="34"/>
      <c r="AA34" s="40"/>
      <c r="AB34" s="40"/>
      <c r="AC34" s="38" t="s">
        <v>159</v>
      </c>
      <c r="AD34" s="48"/>
      <c r="AE34" s="53" t="e">
        <f>LOOKUP(AD34,T$5:T$78,U$5:U$65)</f>
        <v>#N/A</v>
      </c>
      <c r="AF34" s="37" t="s">
        <v>157</v>
      </c>
      <c r="AG34" s="65" t="e">
        <f>LOOKUP(AD34,T$5:T$78,W$5:W$68)</f>
        <v>#N/A</v>
      </c>
    </row>
    <row r="35" spans="4:33" ht="13" thickBot="1">
      <c r="E35" s="10"/>
      <c r="F35" s="10"/>
      <c r="G35" s="10"/>
      <c r="H35" s="10"/>
      <c r="I35" s="10"/>
      <c r="J35" s="10"/>
      <c r="K35" s="10"/>
      <c r="L35" s="10"/>
      <c r="M35" s="10"/>
      <c r="N35" s="14" t="s">
        <v>237</v>
      </c>
      <c r="O35" s="9" t="str">
        <f>IF(OR(N21="",N50=""),"",+IF(N21&gt;N50,M21,M50))</f>
        <v/>
      </c>
      <c r="P35" s="7"/>
      <c r="T35">
        <v>31</v>
      </c>
      <c r="U35" s="28" t="s">
        <v>163</v>
      </c>
      <c r="V35" t="s">
        <v>77</v>
      </c>
      <c r="W35" s="29">
        <f>E34</f>
        <v>0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10"/>
      <c r="F36" s="9"/>
      <c r="G36" s="9">
        <f>E36</f>
        <v>0</v>
      </c>
      <c r="H36" s="11"/>
      <c r="I36" s="10"/>
      <c r="J36" s="10"/>
      <c r="K36" s="10"/>
      <c r="L36" s="10"/>
      <c r="M36" s="10"/>
      <c r="N36" s="14"/>
      <c r="O36" s="10"/>
      <c r="Q36" s="8"/>
      <c r="T36">
        <v>32</v>
      </c>
      <c r="U36" s="28">
        <f>E36</f>
        <v>0</v>
      </c>
      <c r="V36" t="s">
        <v>77</v>
      </c>
      <c r="W36" s="29" t="s">
        <v>84</v>
      </c>
      <c r="Z36" s="34"/>
      <c r="AA36" s="40"/>
      <c r="AB36" s="40"/>
      <c r="AC36" s="38" t="s">
        <v>159</v>
      </c>
      <c r="AD36" s="48"/>
      <c r="AE36" s="53" t="e">
        <f>LOOKUP(AD36,T$5:T$78,U$5:U$65)</f>
        <v>#N/A</v>
      </c>
      <c r="AF36" s="37" t="s">
        <v>157</v>
      </c>
      <c r="AG36" s="65" t="e">
        <f>LOOKUP(AD36,T$5:T$78,W$5:W$68)</f>
        <v>#N/A</v>
      </c>
    </row>
    <row r="37" spans="4:33">
      <c r="E37" s="12"/>
      <c r="F37" s="10"/>
      <c r="G37" s="10"/>
      <c r="H37" s="13"/>
      <c r="I37" s="10"/>
      <c r="J37" s="10"/>
      <c r="K37" s="10"/>
      <c r="L37" s="10"/>
      <c r="M37" s="10"/>
      <c r="N37" s="14"/>
      <c r="O37" s="10"/>
      <c r="Q37" s="8"/>
      <c r="T37">
        <v>33</v>
      </c>
      <c r="U37" s="28" t="s">
        <v>164</v>
      </c>
      <c r="V37" t="s">
        <v>77</v>
      </c>
      <c r="W37" s="29" t="s">
        <v>200</v>
      </c>
      <c r="Z37" s="34"/>
      <c r="AA37" s="40"/>
      <c r="AB37" s="40"/>
      <c r="AC37" s="38" t="s">
        <v>159</v>
      </c>
      <c r="AD37" s="48"/>
      <c r="AE37" s="53" t="e">
        <f>LOOKUP(AD37,T$5:T$78,U$5:U$65)</f>
        <v>#N/A</v>
      </c>
      <c r="AF37" s="37" t="s">
        <v>157</v>
      </c>
      <c r="AG37" s="65" t="e">
        <f>LOOKUP(AD37,T$5:T$78,W$5:W$68)</f>
        <v>#N/A</v>
      </c>
    </row>
    <row r="38" spans="4:33" ht="13" thickBot="1">
      <c r="E38" s="10"/>
      <c r="F38" s="10"/>
      <c r="G38" s="10"/>
      <c r="H38" s="14" t="s">
        <v>209</v>
      </c>
      <c r="I38" s="9" t="str">
        <f>IF(OR(H36="",H40=""),"",+IF(H36&gt;H40,G36,G40))</f>
        <v/>
      </c>
      <c r="J38" s="10"/>
      <c r="K38" s="10"/>
      <c r="L38" s="10"/>
      <c r="M38" s="10"/>
      <c r="N38" s="14"/>
      <c r="O38" s="10"/>
      <c r="Q38" s="8"/>
      <c r="T38">
        <v>34</v>
      </c>
      <c r="U38" s="28" t="s">
        <v>87</v>
      </c>
      <c r="V38" t="s">
        <v>77</v>
      </c>
      <c r="W38" s="29" t="s">
        <v>88</v>
      </c>
      <c r="Z38" s="34"/>
      <c r="AA38" s="40"/>
      <c r="AB38" s="40"/>
      <c r="AC38" s="38" t="s">
        <v>159</v>
      </c>
      <c r="AD38" s="48"/>
      <c r="AE38" s="53" t="e">
        <f>LOOKUP(AD38,T$5:T$78,U$5:U$65)</f>
        <v>#N/A</v>
      </c>
      <c r="AF38" s="37" t="s">
        <v>157</v>
      </c>
      <c r="AG38" s="65" t="e">
        <f>LOOKUP(AD38,T$5:T$78,W$5:W$68)</f>
        <v>#N/A</v>
      </c>
    </row>
    <row r="39" spans="4:33" ht="13" thickBot="1">
      <c r="D39">
        <v>16</v>
      </c>
      <c r="E39" s="10"/>
      <c r="F39" s="11"/>
      <c r="G39" s="10"/>
      <c r="H39" s="14"/>
      <c r="I39" s="12"/>
      <c r="J39" s="15"/>
      <c r="K39" s="10"/>
      <c r="L39" s="10"/>
      <c r="M39" s="10"/>
      <c r="N39" s="14"/>
      <c r="O39" s="10"/>
      <c r="Q39" s="8"/>
      <c r="T39">
        <v>35</v>
      </c>
      <c r="U39" s="28" t="s">
        <v>89</v>
      </c>
      <c r="V39" t="s">
        <v>77</v>
      </c>
      <c r="W39" s="29" t="s">
        <v>90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E40" s="12"/>
      <c r="F40" s="13" t="s">
        <v>214</v>
      </c>
      <c r="G40" s="9" t="str">
        <f>IF(OR(F39="",F41=""),"",+IF(F39&gt;F41,E39,E41))</f>
        <v/>
      </c>
      <c r="H40" s="16"/>
      <c r="I40" s="10"/>
      <c r="J40" s="14"/>
      <c r="K40" s="10"/>
      <c r="L40" s="10"/>
      <c r="M40" s="10"/>
      <c r="N40" s="14"/>
      <c r="O40" s="10"/>
      <c r="Q40" s="8"/>
      <c r="T40">
        <v>36</v>
      </c>
      <c r="U40" s="28" t="s">
        <v>91</v>
      </c>
      <c r="V40" t="s">
        <v>77</v>
      </c>
      <c r="W40" s="29">
        <f>E68</f>
        <v>0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9"/>
      <c r="F41" s="16"/>
      <c r="G41" s="10"/>
      <c r="H41" s="10"/>
      <c r="I41" s="10"/>
      <c r="J41" s="14"/>
      <c r="K41" s="10"/>
      <c r="L41" s="10"/>
      <c r="M41" s="10"/>
      <c r="N41" s="14"/>
      <c r="O41" s="10"/>
      <c r="Q41" s="8"/>
      <c r="T41">
        <v>37</v>
      </c>
      <c r="U41" s="28" t="s">
        <v>92</v>
      </c>
      <c r="V41" t="s">
        <v>77</v>
      </c>
      <c r="W41" s="29" t="s">
        <v>165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0"/>
      <c r="F42" s="10"/>
      <c r="G42" s="10"/>
      <c r="H42" s="10"/>
      <c r="I42" s="10"/>
      <c r="J42" s="14" t="s">
        <v>203</v>
      </c>
      <c r="K42" s="9" t="str">
        <f>IF(OR(J39="",J46=""),"",+IF(J39&gt;J46,I38,I46))</f>
        <v/>
      </c>
      <c r="L42" s="17"/>
      <c r="M42" s="10"/>
      <c r="N42" s="14"/>
      <c r="O42" s="10"/>
      <c r="Q42" s="8"/>
      <c r="T42">
        <v>38</v>
      </c>
      <c r="U42" s="28" t="s">
        <v>94</v>
      </c>
      <c r="V42" t="s">
        <v>77</v>
      </c>
      <c r="W42" s="29" t="s">
        <v>95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10"/>
      <c r="F43" s="11"/>
      <c r="G43" s="10"/>
      <c r="H43" s="10"/>
      <c r="I43" s="10"/>
      <c r="J43" s="14"/>
      <c r="K43" s="10"/>
      <c r="L43" s="13"/>
      <c r="M43" s="10"/>
      <c r="N43" s="14"/>
      <c r="O43" s="10"/>
      <c r="Q43" s="8"/>
      <c r="T43">
        <v>39</v>
      </c>
      <c r="U43" s="28" t="s">
        <v>96</v>
      </c>
      <c r="V43" t="s">
        <v>77</v>
      </c>
      <c r="W43" s="29" t="s">
        <v>97</v>
      </c>
      <c r="Z43" s="34"/>
      <c r="AA43" s="40"/>
      <c r="AB43" s="40"/>
      <c r="AC43" s="38" t="s">
        <v>159</v>
      </c>
      <c r="AD43" s="48"/>
      <c r="AE43" s="53" t="e">
        <f>LOOKUP(AD43,T$5:T$78,U$5:U$65)</f>
        <v>#N/A</v>
      </c>
      <c r="AF43" s="37" t="s">
        <v>157</v>
      </c>
      <c r="AG43" s="65" t="e">
        <f>LOOKUP(AD43,T$5:T$78,W$5:W$68)</f>
        <v>#N/A</v>
      </c>
    </row>
    <row r="44" spans="4:33" ht="13" thickBot="1">
      <c r="E44" s="12"/>
      <c r="F44" s="13" t="s">
        <v>217</v>
      </c>
      <c r="G44" s="9" t="str">
        <f>IF(OR(F43="",F45=""),"",+IF(F43&gt;F45,E43,E45))</f>
        <v/>
      </c>
      <c r="H44" s="17"/>
      <c r="I44" s="10"/>
      <c r="J44" s="14"/>
      <c r="K44" s="10"/>
      <c r="L44" s="14"/>
      <c r="M44" s="10"/>
      <c r="N44" s="14"/>
      <c r="O44" s="10"/>
      <c r="Q44" s="8"/>
      <c r="T44">
        <v>40</v>
      </c>
      <c r="U44" s="28" t="s">
        <v>98</v>
      </c>
      <c r="V44" t="s">
        <v>77</v>
      </c>
      <c r="W44" s="29">
        <f>E99</f>
        <v>0</v>
      </c>
      <c r="Z44" s="34"/>
      <c r="AA44" s="40"/>
      <c r="AB44" s="40"/>
      <c r="AC44" s="38" t="s">
        <v>159</v>
      </c>
      <c r="AD44" s="48"/>
      <c r="AE44" s="53" t="e">
        <f>LOOKUP(AD44,T$5:T$78,U$5:U$65)</f>
        <v>#N/A</v>
      </c>
      <c r="AF44" s="37" t="s">
        <v>157</v>
      </c>
      <c r="AG44" s="65" t="e">
        <f>LOOKUP(AD44,T$5:T$78,W$5:W$68)</f>
        <v>#N/A</v>
      </c>
    </row>
    <row r="45" spans="4:33" ht="13" thickBot="1">
      <c r="D45">
        <v>19</v>
      </c>
      <c r="E45" s="10"/>
      <c r="F45" s="16"/>
      <c r="G45" s="10"/>
      <c r="H45" s="14"/>
      <c r="I45" s="10"/>
      <c r="J45" s="14"/>
      <c r="K45" s="10"/>
      <c r="L45" s="14"/>
      <c r="M45" s="10"/>
      <c r="N45" s="14"/>
      <c r="O45" s="10"/>
      <c r="Q45" s="8"/>
      <c r="T45">
        <v>41</v>
      </c>
      <c r="U45" s="28" t="s">
        <v>99</v>
      </c>
      <c r="V45" t="s">
        <v>77</v>
      </c>
      <c r="W45" s="29" t="s">
        <v>100</v>
      </c>
      <c r="Z45" s="34"/>
      <c r="AA45" s="40"/>
      <c r="AB45" s="40"/>
      <c r="AC45" s="38" t="s">
        <v>159</v>
      </c>
      <c r="AD45" s="48"/>
      <c r="AE45" s="53" t="e">
        <f>LOOKUP(AD45,T$5:T$78,U$5:U$65)</f>
        <v>#N/A</v>
      </c>
      <c r="AF45" s="37" t="s">
        <v>157</v>
      </c>
      <c r="AG45" s="65" t="e">
        <f>LOOKUP(AD45,T$5:T$78,W$5:W$68)</f>
        <v>#N/A</v>
      </c>
    </row>
    <row r="46" spans="4:33" ht="13" thickBot="1">
      <c r="E46" s="12"/>
      <c r="F46" s="10"/>
      <c r="G46" s="10"/>
      <c r="H46" s="14" t="s">
        <v>213</v>
      </c>
      <c r="I46" s="9" t="str">
        <f>IF(OR(H44="",H48=""),"",+IF(H44&gt;H48,G44,G48))</f>
        <v/>
      </c>
      <c r="J46" s="16"/>
      <c r="K46" s="10"/>
      <c r="L46" s="14"/>
      <c r="M46" s="10"/>
      <c r="N46" s="14"/>
      <c r="O46" s="10"/>
      <c r="Q46" s="8"/>
      <c r="T46">
        <v>42</v>
      </c>
      <c r="U46" s="28" t="s">
        <v>101</v>
      </c>
      <c r="V46" t="s">
        <v>77</v>
      </c>
      <c r="W46" s="29" t="s">
        <v>102</v>
      </c>
      <c r="Z46" s="34"/>
      <c r="AA46" s="40"/>
      <c r="AB46" s="40"/>
      <c r="AC46" s="38" t="s">
        <v>159</v>
      </c>
      <c r="AD46" s="48"/>
      <c r="AE46" s="53" t="e">
        <f>LOOKUP(AD46,T$5:T$78,U$5:U$65)</f>
        <v>#N/A</v>
      </c>
      <c r="AF46" s="37" t="s">
        <v>157</v>
      </c>
      <c r="AG46" s="65" t="e">
        <f>LOOKUP(AD46,T$5:T$78,W$5:W$68)</f>
        <v>#N/A</v>
      </c>
    </row>
    <row r="47" spans="4:33" ht="13" thickBot="1">
      <c r="D47">
        <v>20</v>
      </c>
      <c r="E47" s="10"/>
      <c r="F47" s="11"/>
      <c r="G47" s="10"/>
      <c r="H47" s="14"/>
      <c r="I47" s="10"/>
      <c r="J47" s="10"/>
      <c r="K47" s="10"/>
      <c r="L47" s="14"/>
      <c r="M47" s="10"/>
      <c r="N47" s="14"/>
      <c r="O47" s="10"/>
      <c r="Q47" s="8"/>
      <c r="T47">
        <v>43</v>
      </c>
      <c r="U47" s="28" t="s">
        <v>103</v>
      </c>
      <c r="V47" t="s">
        <v>77</v>
      </c>
      <c r="W47" s="29" t="s">
        <v>104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3" t="s">
        <v>219</v>
      </c>
      <c r="G48" s="9" t="str">
        <f>IF(OR(F47="",F49=""),"",+IF(F47&gt;F49,E47,E49))</f>
        <v/>
      </c>
      <c r="H48" s="16"/>
      <c r="I48" s="10"/>
      <c r="J48" s="10"/>
      <c r="K48" s="10"/>
      <c r="L48" s="14"/>
      <c r="M48" s="10"/>
      <c r="N48" s="14"/>
      <c r="O48" s="10"/>
      <c r="Q48" s="8"/>
      <c r="T48">
        <v>44</v>
      </c>
      <c r="U48" s="28" t="s">
        <v>105</v>
      </c>
      <c r="V48" t="s">
        <v>77</v>
      </c>
      <c r="W48" s="29" t="s">
        <v>106</v>
      </c>
      <c r="Z48" s="34"/>
      <c r="AA48" s="40"/>
      <c r="AB48" s="40"/>
      <c r="AC48" s="38" t="s">
        <v>159</v>
      </c>
      <c r="AD48" s="48"/>
      <c r="AE48" s="53" t="e">
        <f>LOOKUP(AD48,T$5:T$78,U$5:U$65)</f>
        <v>#N/A</v>
      </c>
      <c r="AF48" s="37" t="s">
        <v>157</v>
      </c>
      <c r="AG48" s="65" t="e">
        <f>LOOKUP(AD48,T$5:T$78,W$5:W$68)</f>
        <v>#N/A</v>
      </c>
    </row>
    <row r="49" spans="4:33" ht="13" thickBot="1">
      <c r="D49">
        <v>21</v>
      </c>
      <c r="E49" s="10"/>
      <c r="F49" s="16"/>
      <c r="G49" s="10"/>
      <c r="H49" s="10"/>
      <c r="I49" s="10"/>
      <c r="J49" s="10"/>
      <c r="K49" s="10"/>
      <c r="L49" s="14"/>
      <c r="M49" s="10"/>
      <c r="N49" s="14"/>
      <c r="O49" s="10"/>
      <c r="Q49" s="8"/>
      <c r="T49">
        <v>45</v>
      </c>
      <c r="U49" s="28" t="s">
        <v>107</v>
      </c>
      <c r="V49" t="s">
        <v>77</v>
      </c>
      <c r="W49" s="29" t="s">
        <v>108</v>
      </c>
      <c r="Z49" s="34"/>
      <c r="AA49" s="40"/>
      <c r="AB49" s="40"/>
      <c r="AC49" s="38" t="s">
        <v>159</v>
      </c>
      <c r="AD49" s="48"/>
      <c r="AE49" s="53" t="e">
        <f>LOOKUP(AD49,T$5:T$78,U$5:U$65)</f>
        <v>#N/A</v>
      </c>
      <c r="AF49" s="37" t="s">
        <v>157</v>
      </c>
      <c r="AG49" s="65" t="e">
        <f>LOOKUP(AD49,T$5:T$78,W$5:W$68)</f>
        <v>#N/A</v>
      </c>
    </row>
    <row r="50" spans="4:33" ht="13" thickBot="1">
      <c r="E50" s="12"/>
      <c r="F50" s="10"/>
      <c r="G50" s="10"/>
      <c r="H50" s="10"/>
      <c r="I50" s="10"/>
      <c r="J50" s="10"/>
      <c r="K50" s="10"/>
      <c r="L50" s="14" t="s">
        <v>257</v>
      </c>
      <c r="M50" s="9" t="str">
        <f>IF(OR(L42="",L58=""),"",+IF(L42&gt;L58,K42,K58))</f>
        <v/>
      </c>
      <c r="N50" s="16"/>
      <c r="O50" s="10"/>
      <c r="Q50" s="8"/>
      <c r="T50">
        <v>46</v>
      </c>
      <c r="U50" s="28" t="s">
        <v>109</v>
      </c>
      <c r="V50" t="s">
        <v>77</v>
      </c>
      <c r="W50" s="29" t="s">
        <v>110</v>
      </c>
      <c r="Z50" s="34"/>
      <c r="AA50" s="40"/>
      <c r="AB50" s="40"/>
      <c r="AC50" s="38" t="s">
        <v>159</v>
      </c>
      <c r="AD50" s="48"/>
      <c r="AE50" s="53" t="e">
        <f>LOOKUP(AD50,T$5:T$78,U$5:U$65)</f>
        <v>#N/A</v>
      </c>
      <c r="AF50" s="37" t="s">
        <v>157</v>
      </c>
      <c r="AG50" s="65" t="e">
        <f>LOOKUP(AD50,T$5:T$78,W$5:W$68)</f>
        <v>#N/A</v>
      </c>
    </row>
    <row r="51" spans="4:33" ht="13" thickBot="1">
      <c r="D51">
        <v>22</v>
      </c>
      <c r="E51" s="10"/>
      <c r="F51" s="11"/>
      <c r="G51" s="10"/>
      <c r="H51" s="10"/>
      <c r="I51" s="10"/>
      <c r="J51" s="10"/>
      <c r="K51" s="10"/>
      <c r="L51" s="14"/>
      <c r="M51" s="10"/>
      <c r="N51" s="10"/>
      <c r="O51" s="10"/>
      <c r="Q51" s="8"/>
      <c r="T51">
        <v>47</v>
      </c>
      <c r="U51" s="28" t="s">
        <v>111</v>
      </c>
      <c r="V51" t="s">
        <v>77</v>
      </c>
      <c r="W51" s="29" t="s">
        <v>112</v>
      </c>
      <c r="Z51" s="34"/>
      <c r="AA51" s="40"/>
      <c r="AB51" s="40"/>
      <c r="AC51" s="38" t="s">
        <v>159</v>
      </c>
      <c r="AD51" s="48"/>
      <c r="AE51" s="53" t="e">
        <f>LOOKUP(AD51,T$5:T$78,U$5:U$65)</f>
        <v>#N/A</v>
      </c>
      <c r="AF51" s="37" t="s">
        <v>157</v>
      </c>
      <c r="AG51" s="65" t="e">
        <f>LOOKUP(AD51,T$5:T$78,W$5:W$68)</f>
        <v>#N/A</v>
      </c>
    </row>
    <row r="52" spans="4:33" ht="13" thickBot="1">
      <c r="E52" s="12"/>
      <c r="F52" s="13" t="s">
        <v>221</v>
      </c>
      <c r="G52" s="9" t="str">
        <f>IF(OR(F51="",F53=""),"",+IF(F51&gt;F53,E51,E53))</f>
        <v/>
      </c>
      <c r="H52" s="17"/>
      <c r="I52" s="10"/>
      <c r="J52" s="10"/>
      <c r="K52" s="10"/>
      <c r="L52" s="14"/>
      <c r="M52" s="10"/>
      <c r="N52" s="10"/>
      <c r="O52" s="10"/>
      <c r="Q52" s="8"/>
      <c r="T52">
        <v>48</v>
      </c>
      <c r="U52" s="28" t="s">
        <v>113</v>
      </c>
      <c r="V52" t="s">
        <v>77</v>
      </c>
      <c r="W52" s="29" t="s">
        <v>114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10"/>
      <c r="F53" s="16"/>
      <c r="G53" s="10"/>
      <c r="H53" s="14"/>
      <c r="I53" s="10"/>
      <c r="J53" s="10"/>
      <c r="K53" s="10"/>
      <c r="L53" s="14"/>
      <c r="M53" s="10"/>
      <c r="N53" s="10"/>
      <c r="O53" s="10"/>
      <c r="Q53" s="8"/>
      <c r="T53">
        <v>49</v>
      </c>
      <c r="U53" s="28" t="s">
        <v>115</v>
      </c>
      <c r="V53" t="s">
        <v>77</v>
      </c>
      <c r="W53" s="29" t="s">
        <v>116</v>
      </c>
      <c r="Z53" s="34"/>
      <c r="AA53" s="40"/>
      <c r="AB53" s="40"/>
      <c r="AC53" s="38" t="s">
        <v>159</v>
      </c>
      <c r="AD53" s="48"/>
      <c r="AE53" s="53" t="e">
        <f>LOOKUP(AD53,T$5:T$78,U$5:U$65)</f>
        <v>#N/A</v>
      </c>
      <c r="AF53" s="37" t="s">
        <v>157</v>
      </c>
      <c r="AG53" s="65" t="e">
        <f>LOOKUP(AD53,T$5:T$78,W$5:W$68)</f>
        <v>#N/A</v>
      </c>
    </row>
    <row r="54" spans="4:33" ht="13" thickBot="1">
      <c r="E54" s="12"/>
      <c r="F54" s="10"/>
      <c r="G54" s="10"/>
      <c r="H54" s="14" t="s">
        <v>216</v>
      </c>
      <c r="I54" s="9" t="str">
        <f>IF(OR(H52="",H56=""),"",+IF(H52&gt;H56,G52,G56))</f>
        <v/>
      </c>
      <c r="J54" s="17"/>
      <c r="K54" s="10"/>
      <c r="L54" s="14"/>
      <c r="M54" s="10"/>
      <c r="N54" s="10"/>
      <c r="O54" s="10"/>
      <c r="Q54" s="8"/>
      <c r="T54">
        <v>50</v>
      </c>
      <c r="U54" s="28" t="s">
        <v>117</v>
      </c>
      <c r="V54" t="s">
        <v>77</v>
      </c>
      <c r="W54" s="29" t="s">
        <v>118</v>
      </c>
      <c r="Z54" s="34"/>
      <c r="AA54" s="40"/>
      <c r="AB54" s="40"/>
      <c r="AC54" s="38" t="s">
        <v>159</v>
      </c>
      <c r="AD54" s="48"/>
      <c r="AE54" s="53" t="e">
        <f>LOOKUP(AD54,T$5:T$78,U$5:U$65)</f>
        <v>#N/A</v>
      </c>
      <c r="AF54" s="37" t="s">
        <v>157</v>
      </c>
      <c r="AG54" s="65" t="e">
        <f>LOOKUP(AD54,T$5:T$78,W$5:W$68)</f>
        <v>#N/A</v>
      </c>
    </row>
    <row r="55" spans="4:33" ht="13" thickBot="1">
      <c r="D55">
        <v>24</v>
      </c>
      <c r="E55" s="10"/>
      <c r="F55" s="11"/>
      <c r="G55" s="10"/>
      <c r="H55" s="14"/>
      <c r="I55" s="10"/>
      <c r="J55" s="13"/>
      <c r="K55" s="10"/>
      <c r="L55" s="14"/>
      <c r="M55" s="10"/>
      <c r="N55" s="10"/>
      <c r="O55" s="10"/>
      <c r="Q55" s="8"/>
      <c r="T55">
        <v>51</v>
      </c>
      <c r="U55" s="28" t="s">
        <v>119</v>
      </c>
      <c r="V55" t="s">
        <v>77</v>
      </c>
      <c r="W55" s="29" t="s">
        <v>120</v>
      </c>
      <c r="Z55" s="34"/>
      <c r="AA55" s="40"/>
      <c r="AB55" s="40"/>
      <c r="AC55" s="38" t="s">
        <v>159</v>
      </c>
      <c r="AD55" s="48"/>
      <c r="AE55" s="53" t="e">
        <f>LOOKUP(AD55,T$5:T$78,U$5:U$65)</f>
        <v>#N/A</v>
      </c>
      <c r="AF55" s="37" t="s">
        <v>157</v>
      </c>
      <c r="AG55" s="65" t="e">
        <f>LOOKUP(AD55,T$5:T$78,W$5:W$68)</f>
        <v>#N/A</v>
      </c>
    </row>
    <row r="56" spans="4:33" ht="13" thickBot="1">
      <c r="E56" s="12"/>
      <c r="F56" s="13" t="s">
        <v>223</v>
      </c>
      <c r="G56" s="9" t="str">
        <f>IF(OR(F55="",F57=""),"",+IF(F55&gt;F57,E55,E57))</f>
        <v/>
      </c>
      <c r="H56" s="16"/>
      <c r="I56" s="10"/>
      <c r="J56" s="14"/>
      <c r="K56" s="10"/>
      <c r="L56" s="14"/>
      <c r="M56" s="10"/>
      <c r="N56" s="10"/>
      <c r="O56" s="10"/>
      <c r="Q56" s="8"/>
      <c r="T56">
        <v>52</v>
      </c>
      <c r="U56" s="28" t="s">
        <v>121</v>
      </c>
      <c r="V56" t="s">
        <v>77</v>
      </c>
      <c r="W56" s="29" t="s">
        <v>122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10"/>
      <c r="F57" s="16"/>
      <c r="G57" s="10"/>
      <c r="H57" s="10"/>
      <c r="I57" s="10"/>
      <c r="J57" s="14"/>
      <c r="K57" s="10"/>
      <c r="L57" s="14"/>
      <c r="M57" s="10"/>
      <c r="N57" s="10"/>
      <c r="O57" s="10"/>
      <c r="Q57" s="8"/>
      <c r="T57">
        <v>53</v>
      </c>
      <c r="U57" s="28" t="s">
        <v>123</v>
      </c>
      <c r="V57" t="s">
        <v>77</v>
      </c>
      <c r="W57" s="29" t="s">
        <v>124</v>
      </c>
    </row>
    <row r="58" spans="4:33" ht="13" thickBot="1">
      <c r="E58" s="12"/>
      <c r="F58" s="10"/>
      <c r="G58" s="10"/>
      <c r="H58" s="10"/>
      <c r="I58" s="10"/>
      <c r="J58" s="14" t="s">
        <v>211</v>
      </c>
      <c r="K58" s="9" t="str">
        <f>IF(OR(J54="",J62=""),"",+IF(J54&gt;J62,I54,I62))</f>
        <v/>
      </c>
      <c r="L58" s="16"/>
      <c r="M58" s="10"/>
      <c r="N58" s="10"/>
      <c r="O58" s="10"/>
      <c r="Q58" s="8"/>
      <c r="T58">
        <v>54</v>
      </c>
      <c r="U58" s="28" t="s">
        <v>125</v>
      </c>
      <c r="V58" t="s">
        <v>77</v>
      </c>
      <c r="W58" s="29" t="s">
        <v>126</v>
      </c>
    </row>
    <row r="59" spans="4:33" ht="13" thickBot="1">
      <c r="D59">
        <v>26</v>
      </c>
      <c r="E59" s="10"/>
      <c r="F59" s="11"/>
      <c r="G59" s="10"/>
      <c r="H59" s="10"/>
      <c r="I59" s="10"/>
      <c r="J59" s="14"/>
      <c r="K59" s="10"/>
      <c r="L59" s="10"/>
      <c r="M59" s="10"/>
      <c r="N59" s="10"/>
      <c r="O59" s="10"/>
      <c r="Q59" s="8"/>
      <c r="T59">
        <v>55</v>
      </c>
      <c r="U59" s="28" t="s">
        <v>127</v>
      </c>
      <c r="V59" t="s">
        <v>77</v>
      </c>
      <c r="W59" s="29" t="s">
        <v>130</v>
      </c>
    </row>
    <row r="60" spans="4:33" ht="13" thickBot="1">
      <c r="E60" s="12"/>
      <c r="F60" s="13" t="s">
        <v>225</v>
      </c>
      <c r="G60" s="9" t="str">
        <f>IF(OR(F59="",F61=""),"",+IF(F59&gt;F61,E59,E61))</f>
        <v/>
      </c>
      <c r="H60" s="17"/>
      <c r="I60" s="10"/>
      <c r="J60" s="14"/>
      <c r="K60" s="10"/>
      <c r="L60" s="10"/>
      <c r="M60" s="10"/>
      <c r="N60" s="10"/>
      <c r="O60" s="10"/>
      <c r="Q60" s="8"/>
      <c r="T60">
        <v>56</v>
      </c>
      <c r="U60" s="28" t="s">
        <v>128</v>
      </c>
      <c r="V60" t="s">
        <v>77</v>
      </c>
      <c r="W60" s="29" t="s">
        <v>129</v>
      </c>
    </row>
    <row r="61" spans="4:33" ht="13" thickBot="1">
      <c r="D61">
        <v>27</v>
      </c>
      <c r="E61" s="10"/>
      <c r="F61" s="16"/>
      <c r="G61" s="10"/>
      <c r="H61" s="14"/>
      <c r="I61" s="10"/>
      <c r="J61" s="14"/>
      <c r="K61" s="10"/>
      <c r="L61" s="10"/>
      <c r="M61" s="10"/>
      <c r="N61" s="10"/>
      <c r="O61" s="10"/>
      <c r="Q61" s="8"/>
      <c r="T61">
        <v>57</v>
      </c>
      <c r="U61" s="28" t="s">
        <v>131</v>
      </c>
      <c r="V61" t="s">
        <v>77</v>
      </c>
      <c r="W61" s="29" t="s">
        <v>132</v>
      </c>
    </row>
    <row r="62" spans="4:33" ht="13" thickBot="1">
      <c r="E62" s="12"/>
      <c r="F62" s="10"/>
      <c r="G62" s="10"/>
      <c r="H62" s="14" t="s">
        <v>220</v>
      </c>
      <c r="I62" s="9" t="str">
        <f>IF(OR(H60="",H64=""),"",+IF(H60&gt;H64,G60,G64))</f>
        <v/>
      </c>
      <c r="J62" s="16"/>
      <c r="K62" s="10"/>
      <c r="L62" s="10"/>
      <c r="M62" s="10"/>
      <c r="N62" s="10"/>
      <c r="O62" s="10"/>
      <c r="Q62" s="8"/>
      <c r="T62">
        <v>58</v>
      </c>
      <c r="U62" s="28" t="s">
        <v>133</v>
      </c>
      <c r="V62" t="s">
        <v>77</v>
      </c>
      <c r="W62" s="29" t="s">
        <v>134</v>
      </c>
    </row>
    <row r="63" spans="4:33" ht="13" thickBot="1">
      <c r="D63">
        <v>28</v>
      </c>
      <c r="E63" s="10"/>
      <c r="F63" s="11"/>
      <c r="G63" s="10"/>
      <c r="H63" s="14"/>
      <c r="I63" s="10"/>
      <c r="J63" s="10"/>
      <c r="K63" s="10"/>
      <c r="L63" s="10"/>
      <c r="M63" s="10"/>
      <c r="N63" s="10"/>
      <c r="O63" s="10"/>
      <c r="Q63" s="8"/>
      <c r="U63" s="29"/>
    </row>
    <row r="64" spans="4:33" ht="13" thickBot="1">
      <c r="E64" s="12"/>
      <c r="F64" s="13" t="s">
        <v>227</v>
      </c>
      <c r="G64" s="9" t="str">
        <f>IF(OR(F63="",F65=""),"",+IF(F63&gt;F65,E63,E65))</f>
        <v/>
      </c>
      <c r="H64" s="16"/>
      <c r="I64" s="10"/>
      <c r="J64" s="10"/>
      <c r="K64" s="10"/>
      <c r="L64" s="10"/>
      <c r="M64" s="10"/>
      <c r="N64" s="10"/>
      <c r="O64" s="10"/>
      <c r="Q64" s="8"/>
      <c r="W64" s="28"/>
    </row>
    <row r="65" spans="4:19" ht="13" thickBot="1">
      <c r="D65">
        <v>29</v>
      </c>
      <c r="E65" s="9"/>
      <c r="F65" s="16"/>
      <c r="G65" s="10"/>
      <c r="H65" s="10"/>
      <c r="I65" s="10"/>
      <c r="J65" s="10"/>
      <c r="K65" s="10"/>
      <c r="L65" s="10"/>
      <c r="M65" s="10"/>
      <c r="N65" s="10"/>
      <c r="O65" s="10"/>
      <c r="Q65" s="8"/>
    </row>
    <row r="66" spans="4:19">
      <c r="Q66" s="8"/>
    </row>
    <row r="67" spans="4:19" ht="13" thickBot="1">
      <c r="P67" t="s">
        <v>215</v>
      </c>
      <c r="Q67" s="27"/>
      <c r="R67" s="7"/>
      <c r="S67" s="7"/>
    </row>
    <row r="68" spans="4:19" ht="13" thickBot="1">
      <c r="D68">
        <v>30</v>
      </c>
      <c r="E68" s="10"/>
      <c r="F68" s="9"/>
      <c r="G68" s="9">
        <f>E68</f>
        <v>0</v>
      </c>
      <c r="H68" s="11"/>
      <c r="I68" s="10"/>
      <c r="J68" s="10"/>
      <c r="K68" s="10"/>
      <c r="L68" s="10"/>
      <c r="M68" s="10"/>
      <c r="N68" s="10"/>
      <c r="O68" s="10"/>
      <c r="Q68" s="8"/>
    </row>
    <row r="69" spans="4:19">
      <c r="E69" s="12"/>
      <c r="F69" s="10"/>
      <c r="G69" s="10"/>
      <c r="H69" s="13"/>
      <c r="I69" s="10"/>
      <c r="J69" s="10"/>
      <c r="K69" s="10"/>
      <c r="L69" s="10"/>
      <c r="M69" s="10"/>
      <c r="N69" s="10"/>
      <c r="O69" s="10"/>
      <c r="Q69" s="8"/>
    </row>
    <row r="70" spans="4:19" ht="13" thickBot="1">
      <c r="E70" s="10"/>
      <c r="F70" s="10"/>
      <c r="G70" s="10"/>
      <c r="H70" s="14" t="s">
        <v>224</v>
      </c>
      <c r="I70" s="9" t="str">
        <f>IF(OR(H68="",H72=""),"",+IF(H68&gt;H72,G68,G72))</f>
        <v/>
      </c>
      <c r="J70" s="10"/>
      <c r="K70" s="10"/>
      <c r="L70" s="10"/>
      <c r="M70" s="10"/>
      <c r="N70" s="10"/>
      <c r="O70" s="10"/>
      <c r="Q70" s="8"/>
    </row>
    <row r="71" spans="4:19" ht="13" thickBot="1">
      <c r="D71">
        <v>31</v>
      </c>
      <c r="E71" s="10"/>
      <c r="F71" s="11"/>
      <c r="G71" s="10"/>
      <c r="H71" s="14"/>
      <c r="I71" s="12"/>
      <c r="J71" s="15"/>
      <c r="K71" s="10"/>
      <c r="L71" s="10"/>
      <c r="M71" s="10"/>
      <c r="N71" s="10"/>
      <c r="O71" s="10"/>
      <c r="Q71" s="8"/>
    </row>
    <row r="72" spans="4:19" ht="13" thickBot="1">
      <c r="E72" s="12"/>
      <c r="F72" s="13" t="s">
        <v>229</v>
      </c>
      <c r="G72" s="9" t="str">
        <f>IF(OR(F71="",F73=""),"",+IF(F71&gt;F73,E71,E73))</f>
        <v/>
      </c>
      <c r="H72" s="16"/>
      <c r="I72" s="10"/>
      <c r="J72" s="14"/>
      <c r="K72" s="10"/>
      <c r="L72" s="10"/>
      <c r="M72" s="10"/>
      <c r="N72" s="10"/>
      <c r="O72" s="10"/>
      <c r="Q72" s="8"/>
    </row>
    <row r="73" spans="4:19" ht="13" thickBot="1">
      <c r="D73">
        <v>32</v>
      </c>
      <c r="E73" s="9"/>
      <c r="F73" s="16"/>
      <c r="G73" s="10"/>
      <c r="H73" s="10"/>
      <c r="I73" s="10"/>
      <c r="J73" s="14"/>
      <c r="K73" s="10"/>
      <c r="L73" s="10"/>
      <c r="M73" s="10"/>
      <c r="N73" s="10"/>
      <c r="O73" s="10"/>
      <c r="Q73" s="8"/>
    </row>
    <row r="74" spans="4:19" ht="13" thickBot="1">
      <c r="E74" s="10"/>
      <c r="F74" s="10"/>
      <c r="G74" s="10"/>
      <c r="H74" s="10"/>
      <c r="I74" s="10"/>
      <c r="J74" s="14" t="s">
        <v>218</v>
      </c>
      <c r="K74" s="9" t="str">
        <f>IF(OR(J71="",J78=""),"",+IF(J71&gt;J78,I70,I78))</f>
        <v/>
      </c>
      <c r="L74" s="17"/>
      <c r="M74" s="10"/>
      <c r="N74" s="10"/>
      <c r="O74" s="10"/>
      <c r="Q74" s="8"/>
    </row>
    <row r="75" spans="4:19" ht="13" thickBot="1">
      <c r="D75">
        <v>33</v>
      </c>
      <c r="E75" s="10"/>
      <c r="F75" s="11"/>
      <c r="G75" s="10"/>
      <c r="H75" s="10"/>
      <c r="I75" s="10"/>
      <c r="J75" s="14"/>
      <c r="K75" s="10"/>
      <c r="L75" s="13"/>
      <c r="M75" s="10"/>
      <c r="N75" s="10"/>
      <c r="O75" s="10"/>
      <c r="Q75" s="8"/>
    </row>
    <row r="76" spans="4:19" ht="13" thickBot="1">
      <c r="E76" s="12"/>
      <c r="F76" s="13" t="s">
        <v>232</v>
      </c>
      <c r="G76" s="9" t="str">
        <f>IF(OR(F75="",F77=""),"",+IF(F75&gt;F77,E75,E77))</f>
        <v/>
      </c>
      <c r="H76" s="17"/>
      <c r="I76" s="10"/>
      <c r="J76" s="14"/>
      <c r="K76" s="10"/>
      <c r="L76" s="14"/>
      <c r="M76" s="10"/>
      <c r="N76" s="10"/>
      <c r="O76" s="10"/>
      <c r="Q76" s="8"/>
    </row>
    <row r="77" spans="4:19" ht="13" thickBot="1">
      <c r="D77">
        <v>34</v>
      </c>
      <c r="E77" s="10"/>
      <c r="F77" s="16"/>
      <c r="G77" s="10"/>
      <c r="H77" s="14"/>
      <c r="I77" s="10"/>
      <c r="J77" s="14"/>
      <c r="K77" s="10"/>
      <c r="L77" s="14"/>
      <c r="M77" s="10"/>
      <c r="N77" s="10"/>
      <c r="O77" s="10"/>
      <c r="Q77" s="8"/>
    </row>
    <row r="78" spans="4:19" ht="13" thickBot="1">
      <c r="E78" s="12"/>
      <c r="F78" s="10"/>
      <c r="G78" s="10"/>
      <c r="H78" s="14" t="s">
        <v>228</v>
      </c>
      <c r="I78" s="9" t="str">
        <f>IF(OR(H76="",H80=""),"",+IF(H76&gt;H80,G76,G80))</f>
        <v/>
      </c>
      <c r="J78" s="16"/>
      <c r="K78" s="10"/>
      <c r="L78" s="14"/>
      <c r="M78" s="10"/>
      <c r="N78" s="10"/>
      <c r="O78" s="10"/>
      <c r="Q78" s="8"/>
    </row>
    <row r="79" spans="4:19" ht="13" thickBot="1">
      <c r="D79">
        <v>35</v>
      </c>
      <c r="E79" s="10"/>
      <c r="F79" s="11"/>
      <c r="G79" s="10"/>
      <c r="H79" s="14"/>
      <c r="I79" s="10"/>
      <c r="J79" s="10"/>
      <c r="K79" s="10"/>
      <c r="L79" s="14"/>
      <c r="M79" s="10"/>
      <c r="N79" s="10"/>
      <c r="O79" s="10"/>
      <c r="Q79" s="8"/>
    </row>
    <row r="80" spans="4:19" ht="13" thickBot="1">
      <c r="E80" s="12"/>
      <c r="F80" s="13" t="s">
        <v>234</v>
      </c>
      <c r="G80" s="9" t="str">
        <f>IF(OR(F79="",F81=""),"",+IF(F79&gt;F81,E79,E81))</f>
        <v/>
      </c>
      <c r="H80" s="16"/>
      <c r="I80" s="10"/>
      <c r="J80" s="10"/>
      <c r="K80" s="10"/>
      <c r="L80" s="14"/>
      <c r="M80" s="10"/>
      <c r="N80" s="10"/>
      <c r="O80" s="10"/>
      <c r="Q80" s="8"/>
    </row>
    <row r="81" spans="4:17" ht="13" thickBot="1">
      <c r="D81">
        <v>36</v>
      </c>
      <c r="E81" s="10"/>
      <c r="F81" s="16"/>
      <c r="G81" s="10"/>
      <c r="H81" s="10"/>
      <c r="I81" s="10"/>
      <c r="J81" s="10"/>
      <c r="K81" s="10"/>
      <c r="L81" s="14"/>
      <c r="M81" s="10"/>
      <c r="N81" s="10"/>
      <c r="O81" s="10"/>
      <c r="Q81" s="8"/>
    </row>
    <row r="82" spans="4:17" ht="13" thickBot="1">
      <c r="E82" s="12"/>
      <c r="F82" s="10"/>
      <c r="G82" s="10"/>
      <c r="H82" s="10"/>
      <c r="I82" s="10"/>
      <c r="J82" s="10"/>
      <c r="K82" s="10"/>
      <c r="L82" s="14" t="s">
        <v>207</v>
      </c>
      <c r="M82" s="9" t="str">
        <f>IF(OR(L74="",L90=""),"",+IF(L74&gt;L90,K74,K90))</f>
        <v/>
      </c>
      <c r="N82" s="17"/>
      <c r="O82" s="10"/>
      <c r="Q82" s="8"/>
    </row>
    <row r="83" spans="4:17" ht="13" thickBot="1">
      <c r="D83">
        <v>37</v>
      </c>
      <c r="E83" s="10"/>
      <c r="F83" s="11"/>
      <c r="G83" s="10"/>
      <c r="H83" s="10"/>
      <c r="I83" s="10"/>
      <c r="J83" s="10"/>
      <c r="K83" s="10"/>
      <c r="L83" s="14"/>
      <c r="M83" s="10"/>
      <c r="N83" s="14"/>
      <c r="O83" s="10"/>
      <c r="Q83" s="8"/>
    </row>
    <row r="84" spans="4:17" ht="13" thickBot="1">
      <c r="E84" s="12"/>
      <c r="F84" s="13" t="s">
        <v>236</v>
      </c>
      <c r="G84" s="9" t="str">
        <f>IF(OR(F83="",F85=""),"",+IF(F83&gt;F85,E83,E85))</f>
        <v/>
      </c>
      <c r="H84" s="17"/>
      <c r="I84" s="10"/>
      <c r="J84" s="10"/>
      <c r="K84" s="10"/>
      <c r="L84" s="14"/>
      <c r="M84" s="10"/>
      <c r="N84" s="14"/>
      <c r="O84" s="10"/>
      <c r="Q84" s="8"/>
    </row>
    <row r="85" spans="4:17" ht="13" thickBot="1">
      <c r="D85">
        <v>38</v>
      </c>
      <c r="E85" s="10"/>
      <c r="F85" s="16"/>
      <c r="G85" s="10"/>
      <c r="H85" s="14"/>
      <c r="I85" s="10"/>
      <c r="J85" s="10"/>
      <c r="K85" s="10"/>
      <c r="L85" s="14"/>
      <c r="M85" s="10"/>
      <c r="N85" s="14"/>
      <c r="O85" s="10"/>
      <c r="Q85" s="8"/>
    </row>
    <row r="86" spans="4:17" ht="13" thickBot="1">
      <c r="E86" s="12"/>
      <c r="F86" s="10"/>
      <c r="G86" s="10"/>
      <c r="H86" s="14" t="s">
        <v>231</v>
      </c>
      <c r="I86" s="9" t="str">
        <f>IF(OR(H84="",H88=""),"",+IF(H84&gt;H88,G84,G88))</f>
        <v/>
      </c>
      <c r="J86" s="17"/>
      <c r="K86" s="10"/>
      <c r="L86" s="14"/>
      <c r="M86" s="10"/>
      <c r="N86" s="14"/>
      <c r="O86" s="10"/>
      <c r="Q86" s="8"/>
    </row>
    <row r="87" spans="4:17" ht="13" thickBot="1">
      <c r="D87">
        <v>39</v>
      </c>
      <c r="E87" s="10"/>
      <c r="F87" s="11"/>
      <c r="G87" s="10"/>
      <c r="H87" s="14"/>
      <c r="I87" s="10"/>
      <c r="J87" s="13"/>
      <c r="K87" s="10"/>
      <c r="L87" s="14"/>
      <c r="M87" s="10"/>
      <c r="N87" s="14"/>
      <c r="O87" s="10"/>
      <c r="Q87" s="8"/>
    </row>
    <row r="88" spans="4:17" ht="13" thickBot="1">
      <c r="E88" s="12"/>
      <c r="F88" s="13" t="s">
        <v>238</v>
      </c>
      <c r="G88" s="9" t="str">
        <f>IF(OR(F87="",F89=""),"",+IF(F87&gt;F89,E87,E89))</f>
        <v/>
      </c>
      <c r="H88" s="16"/>
      <c r="I88" s="10"/>
      <c r="J88" s="14"/>
      <c r="K88" s="10"/>
      <c r="L88" s="14"/>
      <c r="M88" s="10"/>
      <c r="N88" s="14"/>
      <c r="O88" s="10"/>
      <c r="Q88" s="8"/>
    </row>
    <row r="89" spans="4:17" ht="13" thickBot="1">
      <c r="D89">
        <v>40</v>
      </c>
      <c r="E89" s="10"/>
      <c r="F89" s="16"/>
      <c r="G89" s="10"/>
      <c r="H89" s="10"/>
      <c r="I89" s="10"/>
      <c r="J89" s="14"/>
      <c r="K89" s="10"/>
      <c r="L89" s="14"/>
      <c r="M89" s="10"/>
      <c r="N89" s="14"/>
      <c r="O89" s="10"/>
      <c r="Q89" s="8"/>
    </row>
    <row r="90" spans="4:17" ht="13" thickBot="1">
      <c r="E90" s="12"/>
      <c r="F90" s="10"/>
      <c r="G90" s="10"/>
      <c r="H90" s="10"/>
      <c r="I90" s="10"/>
      <c r="J90" s="14" t="s">
        <v>226</v>
      </c>
      <c r="K90" s="9" t="str">
        <f>IF(OR(J86="",J94=""),"",+IF(J86&gt;J94,I86,I94))</f>
        <v/>
      </c>
      <c r="L90" s="16"/>
      <c r="M90" s="10"/>
      <c r="N90" s="14"/>
      <c r="O90" s="10"/>
      <c r="Q90" s="8"/>
    </row>
    <row r="91" spans="4:17" ht="13" thickBot="1">
      <c r="D91">
        <v>41</v>
      </c>
      <c r="E91" s="10"/>
      <c r="F91" s="11"/>
      <c r="G91" s="10"/>
      <c r="H91" s="10"/>
      <c r="I91" s="10"/>
      <c r="J91" s="14"/>
      <c r="K91" s="10"/>
      <c r="L91" s="10"/>
      <c r="M91" s="10"/>
      <c r="N91" s="14"/>
      <c r="O91" s="10"/>
      <c r="Q91" s="8"/>
    </row>
    <row r="92" spans="4:17" ht="13" thickBot="1">
      <c r="E92" s="12"/>
      <c r="F92" s="13" t="s">
        <v>240</v>
      </c>
      <c r="G92" s="9" t="str">
        <f>IF(OR(F91="",F93=""),"",+IF(F91&gt;F93,E91,E93))</f>
        <v/>
      </c>
      <c r="H92" s="17"/>
      <c r="I92" s="10"/>
      <c r="J92" s="14"/>
      <c r="K92" s="10"/>
      <c r="L92" s="10"/>
      <c r="M92" s="10"/>
      <c r="N92" s="14"/>
      <c r="O92" s="10"/>
      <c r="Q92" s="8"/>
    </row>
    <row r="93" spans="4:17" ht="13" thickBot="1">
      <c r="D93">
        <v>42</v>
      </c>
      <c r="E93" s="10"/>
      <c r="F93" s="16"/>
      <c r="G93" s="10"/>
      <c r="H93" s="14"/>
      <c r="I93" s="10"/>
      <c r="J93" s="14"/>
      <c r="K93" s="10"/>
      <c r="L93" s="10"/>
      <c r="M93" s="10"/>
      <c r="N93" s="14"/>
      <c r="O93" s="10"/>
      <c r="Q93" s="8"/>
    </row>
    <row r="94" spans="4:17" ht="13" thickBot="1">
      <c r="E94" s="12"/>
      <c r="F94" s="10"/>
      <c r="G94" s="10"/>
      <c r="H94" s="14" t="s">
        <v>235</v>
      </c>
      <c r="I94" s="9" t="str">
        <f>IF(OR(H92="",H96=""),"",+IF(H92&gt;H96,G92,G96))</f>
        <v/>
      </c>
      <c r="J94" s="16"/>
      <c r="K94" s="10"/>
      <c r="L94" s="10"/>
      <c r="M94" s="10"/>
      <c r="N94" s="14"/>
      <c r="O94" s="10"/>
      <c r="Q94" s="8"/>
    </row>
    <row r="95" spans="4:17" ht="13" thickBot="1">
      <c r="D95">
        <v>43</v>
      </c>
      <c r="E95" s="10"/>
      <c r="F95" s="11"/>
      <c r="G95" s="10"/>
      <c r="H95" s="14"/>
      <c r="I95" s="10"/>
      <c r="J95" s="10"/>
      <c r="K95" s="10"/>
      <c r="L95" s="10"/>
      <c r="M95" s="10"/>
      <c r="N95" s="14"/>
      <c r="O95" s="10"/>
      <c r="Q95" s="8"/>
    </row>
    <row r="96" spans="4:17" ht="13" thickBot="1">
      <c r="E96" s="12"/>
      <c r="F96" s="13" t="s">
        <v>242</v>
      </c>
      <c r="G96" s="9" t="str">
        <f>IF(OR(F95="",F97=""),"",+IF(F95&gt;F97,E95,E97))</f>
        <v/>
      </c>
      <c r="H96" s="16"/>
      <c r="I96" s="10"/>
      <c r="J96" s="10"/>
      <c r="K96" s="10"/>
      <c r="L96" s="10"/>
      <c r="M96" s="10"/>
      <c r="N96" s="14"/>
      <c r="O96" s="10"/>
      <c r="Q96" s="8"/>
    </row>
    <row r="97" spans="4:17" ht="13" thickBot="1">
      <c r="D97">
        <v>44</v>
      </c>
      <c r="E97" s="9"/>
      <c r="F97" s="16"/>
      <c r="G97" s="10"/>
      <c r="H97" s="10"/>
      <c r="I97" s="10"/>
      <c r="J97" s="10"/>
      <c r="K97" s="10"/>
      <c r="L97" s="10"/>
      <c r="M97" s="10"/>
      <c r="N97" s="14"/>
      <c r="O97" s="10"/>
      <c r="Q97" s="8"/>
    </row>
    <row r="98" spans="4:17" ht="13" thickBot="1">
      <c r="E98" s="10"/>
      <c r="F98" s="10"/>
      <c r="G98" s="10"/>
      <c r="H98" s="10"/>
      <c r="I98" s="10"/>
      <c r="J98" s="10"/>
      <c r="K98" s="10"/>
      <c r="L98" s="10"/>
      <c r="M98" s="10"/>
      <c r="N98" s="14" t="s">
        <v>253</v>
      </c>
      <c r="O98" s="9" t="str">
        <f>IF(OR(N82="",N113=""),"",+IF(N82&gt;N113,M82,M113))</f>
        <v/>
      </c>
      <c r="P98" s="7"/>
      <c r="Q98" s="8"/>
    </row>
    <row r="99" spans="4:17" ht="13" thickBot="1">
      <c r="D99">
        <v>45</v>
      </c>
      <c r="E99" s="10"/>
      <c r="F99" s="9"/>
      <c r="G99" s="9">
        <f>E99</f>
        <v>0</v>
      </c>
      <c r="H99" s="11"/>
      <c r="I99" s="10"/>
      <c r="J99" s="10"/>
      <c r="K99" s="10"/>
      <c r="L99" s="10"/>
      <c r="M99" s="10"/>
      <c r="N99" s="14"/>
      <c r="O99" s="10"/>
    </row>
    <row r="100" spans="4:17">
      <c r="E100" s="12"/>
      <c r="F100" s="10"/>
      <c r="G100" s="10"/>
      <c r="H100" s="13"/>
      <c r="I100" s="10"/>
      <c r="J100" s="10"/>
      <c r="K100" s="10"/>
      <c r="L100" s="10"/>
      <c r="M100" s="10"/>
      <c r="N100" s="14"/>
      <c r="O100" s="10"/>
    </row>
    <row r="101" spans="4:17" ht="13" thickBot="1">
      <c r="E101" s="10"/>
      <c r="F101" s="10"/>
      <c r="G101" s="10"/>
      <c r="H101" s="14" t="s">
        <v>239</v>
      </c>
      <c r="I101" s="9" t="str">
        <f>IF(OR(H99="",H103=""),"",+IF(H99&gt;H103,G99,G103))</f>
        <v/>
      </c>
      <c r="J101" s="10"/>
      <c r="K101" s="10"/>
      <c r="L101" s="10"/>
      <c r="M101" s="10"/>
      <c r="N101" s="14"/>
      <c r="O101" s="10"/>
    </row>
    <row r="102" spans="4:17" ht="13" thickBot="1">
      <c r="D102">
        <v>46</v>
      </c>
      <c r="E102" s="10"/>
      <c r="F102" s="11"/>
      <c r="G102" s="10"/>
      <c r="H102" s="14"/>
      <c r="I102" s="12"/>
      <c r="J102" s="15"/>
      <c r="K102" s="10"/>
      <c r="L102" s="10"/>
      <c r="M102" s="10"/>
      <c r="N102" s="14"/>
      <c r="O102" s="10"/>
    </row>
    <row r="103" spans="4:17" ht="13" thickBot="1">
      <c r="E103" s="12"/>
      <c r="F103" s="13" t="s">
        <v>244</v>
      </c>
      <c r="G103" s="9" t="str">
        <f>IF(OR(F102="",F104=""),"",+IF(F102&gt;F104,E102,E104))</f>
        <v/>
      </c>
      <c r="H103" s="16"/>
      <c r="I103" s="10"/>
      <c r="J103" s="14"/>
      <c r="K103" s="10"/>
      <c r="L103" s="10"/>
      <c r="M103" s="10"/>
      <c r="N103" s="14"/>
      <c r="O103" s="10"/>
    </row>
    <row r="104" spans="4:17" ht="13" thickBot="1">
      <c r="D104">
        <v>47</v>
      </c>
      <c r="E104" s="9"/>
      <c r="F104" s="16"/>
      <c r="G104" s="10"/>
      <c r="H104" s="10"/>
      <c r="I104" s="10"/>
      <c r="J104" s="14"/>
      <c r="K104" s="10"/>
      <c r="L104" s="10"/>
      <c r="M104" s="10"/>
      <c r="N104" s="14"/>
      <c r="O104" s="10"/>
    </row>
    <row r="105" spans="4:17" ht="13" thickBot="1">
      <c r="E105" s="10"/>
      <c r="F105" s="10"/>
      <c r="G105" s="10"/>
      <c r="H105" s="10"/>
      <c r="I105" s="10"/>
      <c r="J105" s="14" t="s">
        <v>233</v>
      </c>
      <c r="K105" s="9" t="str">
        <f>IF(OR(J102="",J109=""),"",+IF(J102&gt;J109,I101,I109))</f>
        <v/>
      </c>
      <c r="L105" s="17"/>
      <c r="M105" s="10"/>
      <c r="N105" s="14"/>
      <c r="O105" s="10"/>
    </row>
    <row r="106" spans="4:17" ht="13" thickBot="1">
      <c r="D106">
        <v>48</v>
      </c>
      <c r="E106" s="10"/>
      <c r="F106" s="11"/>
      <c r="G106" s="10"/>
      <c r="H106" s="10"/>
      <c r="I106" s="10"/>
      <c r="J106" s="14"/>
      <c r="K106" s="10"/>
      <c r="L106" s="13"/>
      <c r="M106" s="10"/>
      <c r="N106" s="14"/>
      <c r="O106" s="10"/>
    </row>
    <row r="107" spans="4:17" ht="13" thickBot="1">
      <c r="E107" s="12"/>
      <c r="F107" s="13" t="s">
        <v>246</v>
      </c>
      <c r="G107" s="9" t="str">
        <f>IF(OR(F106="",F108=""),"",+IF(F106&gt;F108,E106,E108))</f>
        <v/>
      </c>
      <c r="H107" s="17"/>
      <c r="I107" s="10"/>
      <c r="J107" s="14"/>
      <c r="K107" s="10"/>
      <c r="L107" s="14"/>
      <c r="M107" s="10"/>
      <c r="N107" s="14"/>
      <c r="O107" s="10"/>
    </row>
    <row r="108" spans="4:17" ht="13" thickBot="1">
      <c r="D108">
        <v>49</v>
      </c>
      <c r="E108" s="10"/>
      <c r="F108" s="16"/>
      <c r="G108" s="10"/>
      <c r="H108" s="14"/>
      <c r="I108" s="10"/>
      <c r="J108" s="14"/>
      <c r="K108" s="10"/>
      <c r="L108" s="14"/>
      <c r="M108" s="10"/>
      <c r="N108" s="14"/>
      <c r="O108" s="10"/>
    </row>
    <row r="109" spans="4:17" ht="13" thickBot="1">
      <c r="E109" s="12"/>
      <c r="F109" s="10"/>
      <c r="G109" s="10"/>
      <c r="H109" s="14" t="s">
        <v>243</v>
      </c>
      <c r="I109" s="9" t="str">
        <f>IF(OR(H107="",H111=""),"",+IF(H107&gt;H111,G107,G111))</f>
        <v/>
      </c>
      <c r="J109" s="16"/>
      <c r="K109" s="10"/>
      <c r="L109" s="14"/>
      <c r="M109" s="10"/>
      <c r="N109" s="14"/>
      <c r="O109" s="10"/>
    </row>
    <row r="110" spans="4:17" ht="13" thickBot="1">
      <c r="D110">
        <v>50</v>
      </c>
      <c r="E110" s="10"/>
      <c r="F110" s="11"/>
      <c r="G110" s="10"/>
      <c r="H110" s="14"/>
      <c r="I110" s="10"/>
      <c r="J110" s="10"/>
      <c r="K110" s="10"/>
      <c r="L110" s="14"/>
      <c r="M110" s="10"/>
      <c r="N110" s="14"/>
      <c r="O110" s="10"/>
    </row>
    <row r="111" spans="4:17" ht="13" thickBot="1">
      <c r="E111" s="12"/>
      <c r="F111" s="13" t="s">
        <v>248</v>
      </c>
      <c r="G111" s="9" t="str">
        <f>IF(OR(F110="",F112=""),"",+IF(F110&gt;F112,E110,E112))</f>
        <v/>
      </c>
      <c r="H111" s="16"/>
      <c r="I111" s="10"/>
      <c r="J111" s="10"/>
      <c r="K111" s="10"/>
      <c r="L111" s="14"/>
      <c r="M111" s="10"/>
      <c r="N111" s="14"/>
      <c r="O111" s="10"/>
    </row>
    <row r="112" spans="4:17" ht="13" thickBot="1">
      <c r="D112">
        <v>51</v>
      </c>
      <c r="E112" s="10"/>
      <c r="F112" s="16"/>
      <c r="G112" s="10"/>
      <c r="H112" s="10"/>
      <c r="I112" s="10"/>
      <c r="J112" s="10"/>
      <c r="K112" s="10"/>
      <c r="L112" s="14"/>
      <c r="M112" s="10"/>
      <c r="N112" s="14"/>
      <c r="O112" s="10"/>
    </row>
    <row r="113" spans="4:15" ht="13" thickBot="1">
      <c r="E113" s="12"/>
      <c r="F113" s="10"/>
      <c r="G113" s="10"/>
      <c r="H113" s="10"/>
      <c r="I113" s="10"/>
      <c r="J113" s="10"/>
      <c r="K113" s="10"/>
      <c r="L113" s="14" t="s">
        <v>222</v>
      </c>
      <c r="M113" s="9" t="str">
        <f>IF(OR(L105="",L121=""),"",+IF(L105&gt;L121,K105,K121))</f>
        <v/>
      </c>
      <c r="N113" s="16"/>
      <c r="O113" s="10"/>
    </row>
    <row r="114" spans="4:15" ht="13" thickBot="1">
      <c r="D114">
        <v>52</v>
      </c>
      <c r="E114" s="10"/>
      <c r="F114" s="11"/>
      <c r="G114" s="10"/>
      <c r="H114" s="10"/>
      <c r="I114" s="10"/>
      <c r="J114" s="10"/>
      <c r="K114" s="10"/>
      <c r="L114" s="14"/>
      <c r="M114" s="10"/>
      <c r="N114" s="10"/>
      <c r="O114" s="10"/>
    </row>
    <row r="115" spans="4:15" ht="13" thickBot="1">
      <c r="E115" s="12"/>
      <c r="F115" s="13" t="s">
        <v>250</v>
      </c>
      <c r="G115" s="9" t="str">
        <f>IF(OR(F114="",F116=""),"",+IF(F114&gt;F116,E114,E116))</f>
        <v/>
      </c>
      <c r="H115" s="17"/>
      <c r="I115" s="10"/>
      <c r="J115" s="10"/>
      <c r="K115" s="10"/>
      <c r="L115" s="14"/>
      <c r="M115" s="10"/>
      <c r="N115" s="10"/>
      <c r="O115" s="10"/>
    </row>
    <row r="116" spans="4:15" ht="13" thickBot="1">
      <c r="D116">
        <v>53</v>
      </c>
      <c r="E116" s="10"/>
      <c r="F116" s="16"/>
      <c r="G116" s="10"/>
      <c r="H116" s="14"/>
      <c r="I116" s="10"/>
      <c r="J116" s="10"/>
      <c r="K116" s="10"/>
      <c r="L116" s="14"/>
      <c r="M116" s="10"/>
      <c r="N116" s="10"/>
      <c r="O116" s="10"/>
    </row>
    <row r="117" spans="4:15" ht="13" thickBot="1">
      <c r="E117" s="12"/>
      <c r="F117" s="10"/>
      <c r="G117" s="10"/>
      <c r="H117" s="14" t="s">
        <v>247</v>
      </c>
      <c r="I117" s="9" t="str">
        <f>IF(OR(H115="",H119=""),"",+IF(H115&gt;H119,G115,G119))</f>
        <v/>
      </c>
      <c r="J117" s="17"/>
      <c r="K117" s="10"/>
      <c r="L117" s="14"/>
      <c r="M117" s="10"/>
      <c r="N117" s="10"/>
      <c r="O117" s="10"/>
    </row>
    <row r="118" spans="4:15" ht="13" thickBot="1">
      <c r="D118">
        <v>54</v>
      </c>
      <c r="E118" s="10"/>
      <c r="F118" s="11"/>
      <c r="G118" s="10"/>
      <c r="H118" s="14"/>
      <c r="I118" s="10"/>
      <c r="J118" s="13"/>
      <c r="K118" s="10"/>
      <c r="L118" s="14"/>
      <c r="M118" s="10"/>
      <c r="N118" s="10"/>
      <c r="O118" s="10"/>
    </row>
    <row r="119" spans="4:15" ht="13" thickBot="1">
      <c r="E119" s="12"/>
      <c r="F119" s="13" t="s">
        <v>252</v>
      </c>
      <c r="G119" s="9" t="str">
        <f>IF(OR(F118="",F120=""),"",+IF(F118&gt;F120,E118,E120))</f>
        <v/>
      </c>
      <c r="H119" s="16"/>
      <c r="I119" s="10"/>
      <c r="J119" s="14"/>
      <c r="K119" s="10"/>
      <c r="L119" s="14"/>
      <c r="M119" s="10"/>
      <c r="N119" s="10"/>
      <c r="O119" s="10"/>
    </row>
    <row r="120" spans="4:15" ht="13" thickBot="1">
      <c r="D120">
        <v>55</v>
      </c>
      <c r="E120" s="10"/>
      <c r="F120" s="16"/>
      <c r="G120" s="10"/>
      <c r="H120" s="10"/>
      <c r="I120" s="10"/>
      <c r="J120" s="14"/>
      <c r="K120" s="10"/>
      <c r="L120" s="14"/>
      <c r="M120" s="10"/>
      <c r="N120" s="10"/>
      <c r="O120" s="10"/>
    </row>
    <row r="121" spans="4:15" ht="13" thickBot="1">
      <c r="E121" s="12"/>
      <c r="F121" s="10"/>
      <c r="G121" s="10"/>
      <c r="H121" s="10"/>
      <c r="I121" s="10"/>
      <c r="J121" s="14" t="s">
        <v>241</v>
      </c>
      <c r="K121" s="9" t="str">
        <f>IF(OR(J117="",J125=""),"",+IF(J117&gt;J125,I117,I125))</f>
        <v/>
      </c>
      <c r="L121" s="16"/>
      <c r="M121" s="10"/>
      <c r="N121" s="10"/>
      <c r="O121" s="10"/>
    </row>
    <row r="122" spans="4:15" ht="13" thickBot="1">
      <c r="D122">
        <v>56</v>
      </c>
      <c r="E122" s="10"/>
      <c r="F122" s="11"/>
      <c r="G122" s="10"/>
      <c r="H122" s="10"/>
      <c r="I122" s="10"/>
      <c r="J122" s="14"/>
      <c r="K122" s="10"/>
      <c r="L122" s="10"/>
      <c r="M122" s="10"/>
      <c r="N122" s="10"/>
      <c r="O122" s="10"/>
    </row>
    <row r="123" spans="4:15" ht="13" thickBot="1">
      <c r="E123" s="12"/>
      <c r="F123" s="13" t="s">
        <v>254</v>
      </c>
      <c r="G123" s="9" t="str">
        <f>IF(OR(F122="",F124=""),"",+IF(F122&gt;F124,E122,E124))</f>
        <v/>
      </c>
      <c r="H123" s="17"/>
      <c r="I123" s="10"/>
      <c r="J123" s="14"/>
      <c r="K123" s="10"/>
      <c r="L123" s="10"/>
      <c r="M123" s="10"/>
      <c r="N123" s="10"/>
      <c r="O123" s="10"/>
    </row>
    <row r="124" spans="4:15" ht="13" thickBot="1">
      <c r="D124">
        <v>57</v>
      </c>
      <c r="E124" s="10"/>
      <c r="F124" s="16"/>
      <c r="G124" s="10"/>
      <c r="H124" s="14"/>
      <c r="I124" s="10"/>
      <c r="J124" s="14"/>
      <c r="K124" s="10"/>
      <c r="L124" s="10"/>
      <c r="M124" s="10"/>
      <c r="N124" s="10"/>
      <c r="O124" s="10"/>
    </row>
    <row r="125" spans="4:15" ht="13" thickBot="1">
      <c r="E125" s="12"/>
      <c r="F125" s="10"/>
      <c r="G125" s="10"/>
      <c r="H125" s="14" t="s">
        <v>251</v>
      </c>
      <c r="I125" s="9" t="str">
        <f>IF(OR(H123="",H127=""),"",+IF(H123&gt;H127,G123,G127))</f>
        <v/>
      </c>
      <c r="J125" s="16"/>
      <c r="K125" s="10"/>
      <c r="L125" s="10"/>
      <c r="M125" s="10"/>
      <c r="N125" s="10"/>
      <c r="O125" s="10"/>
    </row>
    <row r="126" spans="4:15" ht="13" thickBot="1">
      <c r="D126">
        <v>58</v>
      </c>
      <c r="E126" s="10"/>
      <c r="F126" s="11"/>
      <c r="G126" s="10"/>
      <c r="H126" s="14"/>
      <c r="I126" s="10"/>
      <c r="J126" s="10"/>
      <c r="K126" s="10"/>
      <c r="L126" s="10"/>
      <c r="M126" s="10"/>
      <c r="N126" s="10"/>
      <c r="O126" s="10"/>
    </row>
    <row r="127" spans="4:15" ht="13" thickBot="1">
      <c r="E127" s="12"/>
      <c r="F127" s="13" t="s">
        <v>256</v>
      </c>
      <c r="G127" s="9" t="str">
        <f>IF(OR(F126="",F128=""),"",+IF(F126&gt;F128,E126,E128))</f>
        <v/>
      </c>
      <c r="H127" s="16"/>
      <c r="I127" s="10"/>
      <c r="J127" s="10"/>
      <c r="K127" s="10"/>
      <c r="L127" s="10"/>
      <c r="M127" s="10"/>
      <c r="N127" s="10"/>
      <c r="O127" s="10"/>
    </row>
    <row r="128" spans="4:15" ht="13" thickBot="1">
      <c r="D128">
        <v>59</v>
      </c>
      <c r="E128" s="9"/>
      <c r="F128" s="16"/>
      <c r="G128" s="10"/>
      <c r="H128" s="10"/>
      <c r="I128" s="10"/>
      <c r="J128" s="10"/>
      <c r="K128" s="10"/>
      <c r="L128" s="10"/>
      <c r="M128" s="10"/>
      <c r="N128" s="10"/>
      <c r="O128" s="10"/>
    </row>
    <row r="138" spans="4:4">
      <c r="D138" s="23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66"/>
  <dimension ref="D4:AG130"/>
  <sheetViews>
    <sheetView showGridLines="0" topLeftCell="A29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87890625" customWidth="1"/>
    <col min="13" max="13" width="16.41015625" customWidth="1"/>
    <col min="14" max="14" width="3.64453125" customWidth="1"/>
    <col min="15" max="15" width="15.1171875" customWidth="1"/>
    <col min="16" max="16" width="5.11718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256</v>
      </c>
      <c r="I9" s="9" t="str">
        <f>IF(OR(H7="",H11=""),"",+IF(H7&gt;H11,G7,G11))</f>
        <v/>
      </c>
      <c r="J9" s="10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/>
      <c r="AE9" s="53" t="e">
        <f>LOOKUP(AD9,T$5:T$78,U$5:U$64)</f>
        <v>#N/A</v>
      </c>
      <c r="AF9" s="37" t="s">
        <v>157</v>
      </c>
      <c r="AG9" s="65" t="e">
        <f>LOOKUP(AD9,T$5:T$78,W$5:W$67)</f>
        <v>#N/A</v>
      </c>
    </row>
    <row r="10" spans="4:33" ht="13" thickBot="1">
      <c r="D10">
        <v>2</v>
      </c>
      <c r="E10" s="10"/>
      <c r="F10" s="11"/>
      <c r="G10" s="10"/>
      <c r="H10" s="14"/>
      <c r="I10" s="12"/>
      <c r="J10" s="15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/>
      <c r="AE10" s="53" t="e">
        <f>LOOKUP(AD10,T$5:T$78,U$5:U$64)</f>
        <v>#N/A</v>
      </c>
      <c r="AF10" s="37" t="s">
        <v>157</v>
      </c>
      <c r="AG10" s="65" t="e">
        <f>LOOKUP(AD10,T$5:T$78,W$5:W$67)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E39</f>
        <v>0</v>
      </c>
      <c r="V11" t="s">
        <v>77</v>
      </c>
      <c r="W11" s="29">
        <f>E41</f>
        <v>0</v>
      </c>
      <c r="Z11" s="34"/>
      <c r="AA11" s="40"/>
      <c r="AB11" s="40"/>
      <c r="AC11" s="38" t="s">
        <v>159</v>
      </c>
      <c r="AD11" s="48"/>
      <c r="AE11" s="53" t="e">
        <f>LOOKUP(AD11,T$5:T$78,U$5:U$64)</f>
        <v>#N/A</v>
      </c>
      <c r="AF11" s="37" t="s">
        <v>157</v>
      </c>
      <c r="AG11" s="65" t="e">
        <f>LOOKUP(AD11,T$5:T$78,W$5:W$67)</f>
        <v>#N/A</v>
      </c>
    </row>
    <row r="12" spans="4:33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E43</f>
        <v>0</v>
      </c>
      <c r="V12" t="s">
        <v>77</v>
      </c>
      <c r="W12" s="29">
        <f>E45</f>
        <v>0</v>
      </c>
      <c r="Z12" s="34"/>
      <c r="AA12" s="40"/>
      <c r="AB12" s="40"/>
      <c r="AC12" s="38" t="s">
        <v>159</v>
      </c>
      <c r="AD12" s="48"/>
      <c r="AE12" s="53" t="e">
        <f>LOOKUP(AD12,T$5:T$78,U$5:U$64)</f>
        <v>#N/A</v>
      </c>
      <c r="AF12" s="37" t="s">
        <v>157</v>
      </c>
      <c r="AG12" s="65" t="e">
        <f>LOOKUP(AD12,T$5:T$78,W$5:W$67)</f>
        <v>#N/A</v>
      </c>
    </row>
    <row r="13" spans="4:33" ht="13" thickBot="1">
      <c r="E13" s="10"/>
      <c r="F13" s="10"/>
      <c r="G13" s="10"/>
      <c r="H13" s="10"/>
      <c r="I13" s="10"/>
      <c r="J13" s="14" t="s">
        <v>251</v>
      </c>
      <c r="K13" s="9" t="str">
        <f>IF(OR(J10="",J17=""),"",+IF(J10&gt;J17,I9,I17))</f>
        <v/>
      </c>
      <c r="L13" s="17"/>
      <c r="M13" s="10"/>
      <c r="N13" s="10"/>
      <c r="O13" s="10"/>
      <c r="T13">
        <v>9</v>
      </c>
      <c r="U13" s="28">
        <f>E47</f>
        <v>0</v>
      </c>
      <c r="V13" t="s">
        <v>77</v>
      </c>
      <c r="W13" s="29">
        <f>E49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E51</f>
        <v>0</v>
      </c>
      <c r="V14" t="s">
        <v>77</v>
      </c>
      <c r="W14" s="29">
        <f>E53</f>
        <v>0</v>
      </c>
      <c r="Z14" s="34"/>
      <c r="AA14" s="40"/>
      <c r="AB14" s="40"/>
      <c r="AC14" s="38" t="s">
        <v>159</v>
      </c>
      <c r="AD14" s="48"/>
      <c r="AE14" s="53" t="e">
        <f>LOOKUP(AD14,T$5:T$78,U$5:U$64)</f>
        <v>#N/A</v>
      </c>
      <c r="AF14" s="37" t="s">
        <v>157</v>
      </c>
      <c r="AG14" s="65" t="e">
        <f>LOOKUP(AD14,T$5:T$78,W$5:W$67)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E55</f>
        <v>0</v>
      </c>
      <c r="V15" t="s">
        <v>77</v>
      </c>
      <c r="W15" s="29">
        <f>E57</f>
        <v>0</v>
      </c>
      <c r="Z15" s="34"/>
      <c r="AA15" s="40"/>
      <c r="AB15" s="40"/>
      <c r="AC15" s="38" t="s">
        <v>159</v>
      </c>
      <c r="AD15" s="48"/>
      <c r="AE15" s="53" t="e">
        <f>LOOKUP(AD15,T$5:T$78,U$5:U$64)</f>
        <v>#N/A</v>
      </c>
      <c r="AF15" s="37" t="s">
        <v>157</v>
      </c>
      <c r="AG15" s="65" t="e">
        <f>LOOKUP(AD15,T$5:T$78,W$5:W$67)</f>
        <v>#N/A</v>
      </c>
    </row>
    <row r="16" spans="4:33" ht="13" thickBot="1">
      <c r="D16">
        <v>5</v>
      </c>
      <c r="E16" s="10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E59</f>
        <v>0</v>
      </c>
      <c r="V16" t="s">
        <v>77</v>
      </c>
      <c r="W16" s="29">
        <f>E61</f>
        <v>0</v>
      </c>
      <c r="Z16" s="34"/>
      <c r="AA16" s="40"/>
      <c r="AB16" s="40"/>
      <c r="AC16" s="38" t="s">
        <v>159</v>
      </c>
      <c r="AD16" s="48"/>
      <c r="AE16" s="53" t="e">
        <f>LOOKUP(AD16,T$5:T$78,U$5:U$64)</f>
        <v>#N/A</v>
      </c>
      <c r="AF16" s="37" t="s">
        <v>157</v>
      </c>
      <c r="AG16" s="65" t="e">
        <f>LOOKUP(AD16,T$5:T$78,W$5:W$67)</f>
        <v>#N/A</v>
      </c>
    </row>
    <row r="17" spans="4:33" ht="13" thickBot="1">
      <c r="E17" s="12"/>
      <c r="F17" s="10"/>
      <c r="G17" s="10"/>
      <c r="H17" s="14" t="s">
        <v>258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E63</f>
        <v>0</v>
      </c>
      <c r="V17" t="s">
        <v>77</v>
      </c>
      <c r="W17" s="29">
        <f>E65</f>
        <v>0</v>
      </c>
      <c r="Z17" s="34"/>
      <c r="AA17" s="40"/>
      <c r="AB17" s="40"/>
      <c r="AC17" s="38" t="s">
        <v>159</v>
      </c>
      <c r="AD17" s="48"/>
      <c r="AE17" s="53" t="e">
        <f>LOOKUP(AD17,T$5:T$78,U$5:U$64)</f>
        <v>#N/A</v>
      </c>
      <c r="AF17" s="37" t="s">
        <v>157</v>
      </c>
      <c r="AG17" s="65" t="e">
        <f>LOOKUP(AD17,T$5:T$78,W$5:W$67)</f>
        <v>#N/A</v>
      </c>
    </row>
    <row r="18" spans="4:33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>
        <f>E71</f>
        <v>0</v>
      </c>
      <c r="V18" t="s">
        <v>77</v>
      </c>
      <c r="W18" s="29">
        <f>E73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>
        <f>E75</f>
        <v>0</v>
      </c>
      <c r="V19" t="s">
        <v>77</v>
      </c>
      <c r="W19" s="29">
        <f>E77</f>
        <v>0</v>
      </c>
      <c r="Z19" s="34"/>
      <c r="AA19" s="40"/>
      <c r="AB19" s="40"/>
      <c r="AC19" s="38" t="s">
        <v>159</v>
      </c>
      <c r="AD19" s="48"/>
      <c r="AE19" s="53" t="e">
        <f>LOOKUP(AD19,T$5:T$78,U$5:U$64)</f>
        <v>#N/A</v>
      </c>
      <c r="AF19" s="37" t="s">
        <v>157</v>
      </c>
      <c r="AG19" s="65" t="e">
        <f>LOOKUP(AD19,T$5:T$78,W$5:W$67)</f>
        <v>#N/A</v>
      </c>
    </row>
    <row r="20" spans="4:33" ht="13" thickBot="1">
      <c r="D20">
        <v>7</v>
      </c>
      <c r="E20" s="10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>
        <f>E79</f>
        <v>0</v>
      </c>
      <c r="V20" t="s">
        <v>77</v>
      </c>
      <c r="W20" s="29">
        <f>E81</f>
        <v>0</v>
      </c>
      <c r="Z20" s="34"/>
      <c r="AA20" s="40"/>
      <c r="AB20" s="40"/>
      <c r="AC20" s="38" t="s">
        <v>159</v>
      </c>
      <c r="AD20" s="48"/>
      <c r="AE20" s="53" t="e">
        <f>LOOKUP(AD20,T$5:T$78,U$5:U$64)</f>
        <v>#N/A</v>
      </c>
      <c r="AF20" s="37" t="s">
        <v>157</v>
      </c>
      <c r="AG20" s="65" t="e">
        <f>LOOKUP(AD20,T$5:T$78,W$5:W$67)</f>
        <v>#N/A</v>
      </c>
    </row>
    <row r="21" spans="4:33" ht="13" thickBot="1">
      <c r="E21" s="12"/>
      <c r="F21" s="10"/>
      <c r="G21" s="10"/>
      <c r="H21" s="10"/>
      <c r="I21" s="10"/>
      <c r="J21" s="10"/>
      <c r="K21" s="10"/>
      <c r="L21" s="14" t="s">
        <v>241</v>
      </c>
      <c r="M21" s="9" t="str">
        <f>IF(OR(L13="",L28=""),"",+IF(L13&gt;L28,K13,K28))</f>
        <v/>
      </c>
      <c r="N21" s="17"/>
      <c r="O21" s="10"/>
      <c r="T21">
        <v>17</v>
      </c>
      <c r="U21" s="28">
        <f>E83</f>
        <v>0</v>
      </c>
      <c r="V21" t="s">
        <v>77</v>
      </c>
      <c r="W21" s="29">
        <f>E85</f>
        <v>0</v>
      </c>
      <c r="Z21" s="34"/>
      <c r="AA21" s="40"/>
      <c r="AB21" s="40"/>
      <c r="AC21" s="38" t="s">
        <v>159</v>
      </c>
      <c r="AD21" s="48"/>
      <c r="AE21" s="53" t="e">
        <f>LOOKUP(AD21,T$5:T$78,U$5:U$64)</f>
        <v>#N/A</v>
      </c>
      <c r="AF21" s="37" t="s">
        <v>157</v>
      </c>
      <c r="AG21" s="65" t="e">
        <f>LOOKUP(AD21,T$5:T$78,W$5:W$67)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>
        <f>E87</f>
        <v>0</v>
      </c>
      <c r="V22" t="s">
        <v>77</v>
      </c>
      <c r="W22" s="29">
        <f>E89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28">
        <f>E100</f>
        <v>0</v>
      </c>
      <c r="V23" t="s">
        <v>77</v>
      </c>
      <c r="W23" s="29">
        <f>E102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28">
        <f>E104</f>
        <v>0</v>
      </c>
      <c r="V24" t="s">
        <v>77</v>
      </c>
      <c r="W24" s="29">
        <f>E106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0"/>
      <c r="G25" s="10"/>
      <c r="H25" s="14" t="s">
        <v>260</v>
      </c>
      <c r="I25" s="9" t="str">
        <f>IF(OR(H23="",H27=""),"",+IF(H23&gt;H27,G23,G27))</f>
        <v/>
      </c>
      <c r="J25" s="17"/>
      <c r="K25" s="10"/>
      <c r="L25" s="14"/>
      <c r="M25" s="10"/>
      <c r="N25" s="14"/>
      <c r="O25" s="10"/>
      <c r="T25">
        <v>21</v>
      </c>
      <c r="U25" s="28">
        <f>E108</f>
        <v>0</v>
      </c>
      <c r="V25" t="s">
        <v>77</v>
      </c>
      <c r="W25" s="29">
        <f>E110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1"/>
      <c r="G26" s="10"/>
      <c r="H26" s="14"/>
      <c r="I26" s="10"/>
      <c r="J26" s="14"/>
      <c r="K26" s="10"/>
      <c r="L26" s="14"/>
      <c r="M26" s="10"/>
      <c r="N26" s="14"/>
      <c r="O26" s="10"/>
      <c r="T26">
        <v>22</v>
      </c>
      <c r="U26" s="28">
        <f>E112</f>
        <v>0</v>
      </c>
      <c r="V26" t="s">
        <v>77</v>
      </c>
      <c r="W26" s="29">
        <f>E114</f>
        <v>0</v>
      </c>
      <c r="Z26" s="34"/>
      <c r="AA26" s="40"/>
      <c r="AB26" s="40"/>
      <c r="AC26" s="38" t="s">
        <v>159</v>
      </c>
      <c r="AD26" s="48"/>
      <c r="AE26" s="53" t="e">
        <f>LOOKUP(AD26,T$5:T$78,U$5:U$64)</f>
        <v>#N/A</v>
      </c>
      <c r="AF26" s="37" t="s">
        <v>157</v>
      </c>
      <c r="AG26" s="65" t="e">
        <f>LOOKUP(AD26,T$5:T$78,W$5:W$67)</f>
        <v>#N/A</v>
      </c>
    </row>
    <row r="27" spans="4:33" ht="13" thickBot="1">
      <c r="E27" s="12"/>
      <c r="F27" s="13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>
        <f>E116</f>
        <v>0</v>
      </c>
      <c r="V27" t="s">
        <v>77</v>
      </c>
      <c r="W27" s="29">
        <f>E118</f>
        <v>0</v>
      </c>
      <c r="Z27" s="34"/>
      <c r="AA27" s="40"/>
      <c r="AB27" s="40"/>
      <c r="AC27" s="38" t="s">
        <v>159</v>
      </c>
      <c r="AD27" s="48"/>
      <c r="AE27" s="53" t="e">
        <f>LOOKUP(AD27,T$5:T$78,U$5:U$64)</f>
        <v>#N/A</v>
      </c>
      <c r="AF27" s="37" t="s">
        <v>157</v>
      </c>
      <c r="AG27" s="65" t="e">
        <f>LOOKUP(AD27,T$5:T$78,W$5:W$67)</f>
        <v>#N/A</v>
      </c>
    </row>
    <row r="28" spans="4:33" ht="13" thickBot="1">
      <c r="D28">
        <v>11</v>
      </c>
      <c r="E28" s="10"/>
      <c r="F28" s="16"/>
      <c r="G28" s="10"/>
      <c r="H28" s="10"/>
      <c r="I28" s="10"/>
      <c r="J28" s="14" t="s">
        <v>255</v>
      </c>
      <c r="K28" s="9" t="str">
        <f>IF(OR(J25="",J33=""),"",+IF(J25&gt;J33,I25,I33))</f>
        <v/>
      </c>
      <c r="L28" s="16"/>
      <c r="M28" s="10"/>
      <c r="N28" s="14"/>
      <c r="O28" s="10"/>
      <c r="T28">
        <v>24</v>
      </c>
      <c r="U28" s="28">
        <f>E120</f>
        <v>0</v>
      </c>
      <c r="V28" t="s">
        <v>77</v>
      </c>
      <c r="W28" s="29">
        <f>E122</f>
        <v>0</v>
      </c>
      <c r="Z28" s="34"/>
      <c r="AA28" s="40"/>
      <c r="AB28" s="40"/>
      <c r="AC28" s="38" t="s">
        <v>159</v>
      </c>
      <c r="AD28" s="48"/>
      <c r="AE28" s="53" t="e">
        <f>LOOKUP(AD28,T$5:T$78,U$5:U$64)</f>
        <v>#N/A</v>
      </c>
      <c r="AF28" s="37" t="s">
        <v>157</v>
      </c>
      <c r="AG28" s="65" t="e">
        <f>LOOKUP(AD28,T$5:T$78,W$5:W$67)</f>
        <v>#N/A</v>
      </c>
    </row>
    <row r="29" spans="4:33">
      <c r="E29" s="12"/>
      <c r="F29" s="10"/>
      <c r="G29" s="10"/>
      <c r="H29" s="10"/>
      <c r="I29" s="10"/>
      <c r="J29" s="14"/>
      <c r="K29" s="10"/>
      <c r="L29" s="10"/>
      <c r="M29" s="10"/>
      <c r="N29" s="14"/>
      <c r="O29" s="10"/>
      <c r="T29">
        <v>25</v>
      </c>
      <c r="U29" s="28">
        <f>E124</f>
        <v>0</v>
      </c>
      <c r="V29" t="s">
        <v>77</v>
      </c>
      <c r="W29" s="29">
        <f>E126</f>
        <v>0</v>
      </c>
      <c r="Z29" s="34"/>
      <c r="AA29" s="40"/>
      <c r="AB29" s="40"/>
      <c r="AC29" s="38" t="s">
        <v>159</v>
      </c>
      <c r="AD29" s="48"/>
      <c r="AE29" s="53" t="e">
        <f>LOOKUP(AD29,T$5:T$78,U$5:U$64)</f>
        <v>#N/A</v>
      </c>
      <c r="AF29" s="37" t="s">
        <v>157</v>
      </c>
      <c r="AG29" s="65" t="e">
        <f>LOOKUP(AD29,T$5:T$78,W$5:W$67)</f>
        <v>#N/A</v>
      </c>
    </row>
    <row r="30" spans="4:33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>
        <f>E122</f>
        <v>0</v>
      </c>
      <c r="V30" t="s">
        <v>77</v>
      </c>
      <c r="W30" s="29">
        <f>E124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2"/>
      <c r="F31" s="13" t="s">
        <v>212</v>
      </c>
      <c r="G31" s="9" t="str">
        <f>IF(OR(F30="",F32=""),"",+IF(F30&gt;F32,E30,E32))</f>
        <v/>
      </c>
      <c r="H31" s="11"/>
      <c r="I31" s="10"/>
      <c r="J31" s="14"/>
      <c r="K31" s="10"/>
      <c r="L31" s="10"/>
      <c r="M31" s="10"/>
      <c r="N31" s="14"/>
      <c r="O31" s="10"/>
      <c r="T31">
        <v>27</v>
      </c>
      <c r="U31" s="28">
        <f>E7</f>
        <v>0</v>
      </c>
      <c r="V31" t="s">
        <v>77</v>
      </c>
      <c r="W31" s="29" t="s">
        <v>78</v>
      </c>
      <c r="Z31" s="34"/>
      <c r="AA31" s="40"/>
      <c r="AB31" s="40"/>
      <c r="AC31" s="38" t="s">
        <v>159</v>
      </c>
      <c r="AD31" s="48"/>
      <c r="AE31" s="53" t="e">
        <f>LOOKUP(AD31,T$5:T$78,U$5:U$64)</f>
        <v>#N/A</v>
      </c>
      <c r="AF31" s="37" t="s">
        <v>157</v>
      </c>
      <c r="AG31" s="65" t="e">
        <f>LOOKUP(AD31,T$5:T$78,W$5:W$67)</f>
        <v>#N/A</v>
      </c>
    </row>
    <row r="32" spans="4:33" ht="13" thickBot="1">
      <c r="D32">
        <v>13</v>
      </c>
      <c r="E32" s="9"/>
      <c r="F32" s="16"/>
      <c r="G32" s="10"/>
      <c r="H32" s="13"/>
      <c r="I32" s="10"/>
      <c r="J32" s="14"/>
      <c r="K32" s="10"/>
      <c r="L32" s="10"/>
      <c r="M32" s="10"/>
      <c r="N32" s="14"/>
      <c r="O32" s="10"/>
      <c r="T32">
        <v>28</v>
      </c>
      <c r="U32" s="28" t="s">
        <v>160</v>
      </c>
      <c r="V32" t="s">
        <v>77</v>
      </c>
      <c r="W32" s="29" t="s">
        <v>161</v>
      </c>
      <c r="Z32" s="34"/>
      <c r="AA32" s="40"/>
      <c r="AB32" s="40"/>
      <c r="AC32" s="38" t="s">
        <v>159</v>
      </c>
      <c r="AD32" s="48"/>
      <c r="AE32" s="53" t="e">
        <f>LOOKUP(AD32,T$5:T$78,U$5:U$64)</f>
        <v>#N/A</v>
      </c>
      <c r="AF32" s="37" t="s">
        <v>157</v>
      </c>
      <c r="AG32" s="65" t="e">
        <f>LOOKUP(AD32,T$5:T$78,W$5:W$67)</f>
        <v>#N/A</v>
      </c>
    </row>
    <row r="33" spans="4:33" ht="13" thickBot="1">
      <c r="E33" s="10"/>
      <c r="F33" s="10"/>
      <c r="G33" s="10"/>
      <c r="H33" s="14" t="s">
        <v>201</v>
      </c>
      <c r="I33" s="9" t="str">
        <f>IF(OR(H31="",H34=""),"",+IF(H31&gt;H34,G31,E34))</f>
        <v/>
      </c>
      <c r="J33" s="16"/>
      <c r="K33" s="10"/>
      <c r="L33" s="10"/>
      <c r="M33" s="10"/>
      <c r="N33" s="14"/>
      <c r="O33" s="10"/>
      <c r="T33">
        <v>29</v>
      </c>
      <c r="U33" s="28" t="s">
        <v>81</v>
      </c>
      <c r="V33" t="s">
        <v>77</v>
      </c>
      <c r="W33" s="29" t="s">
        <v>162</v>
      </c>
      <c r="Z33" s="34"/>
      <c r="AA33" s="40"/>
      <c r="AB33" s="40"/>
      <c r="AC33" s="38" t="s">
        <v>159</v>
      </c>
      <c r="AD33" s="48"/>
      <c r="AE33" s="53" t="e">
        <f>LOOKUP(AD33,T$5:T$78,U$5:U$64)</f>
        <v>#N/A</v>
      </c>
      <c r="AF33" s="37" t="s">
        <v>157</v>
      </c>
      <c r="AG33" s="65" t="e">
        <f>LOOKUP(AD33,T$5:T$78,W$5:W$67)</f>
        <v>#N/A</v>
      </c>
    </row>
    <row r="34" spans="4:33" ht="13" thickBot="1">
      <c r="D34">
        <v>14</v>
      </c>
      <c r="E34" s="9"/>
      <c r="F34" s="9"/>
      <c r="G34" s="9">
        <f>E34</f>
        <v>0</v>
      </c>
      <c r="H34" s="16"/>
      <c r="I34" s="10"/>
      <c r="J34" s="10"/>
      <c r="K34" s="10"/>
      <c r="L34" s="10"/>
      <c r="M34" s="10"/>
      <c r="N34" s="14"/>
      <c r="O34" s="10"/>
      <c r="T34">
        <v>30</v>
      </c>
      <c r="U34" s="28" t="s">
        <v>163</v>
      </c>
      <c r="V34" t="s">
        <v>77</v>
      </c>
      <c r="W34" s="29">
        <f>E34</f>
        <v>0</v>
      </c>
      <c r="Z34" s="34"/>
      <c r="AA34" s="40"/>
      <c r="AB34" s="40"/>
      <c r="AC34" s="38" t="s">
        <v>159</v>
      </c>
      <c r="AD34" s="48"/>
      <c r="AE34" s="53" t="e">
        <f>LOOKUP(AD34,T$5:T$78,U$5:U$64)</f>
        <v>#N/A</v>
      </c>
      <c r="AF34" s="37" t="s">
        <v>157</v>
      </c>
      <c r="AG34" s="65" t="e">
        <f>LOOKUP(AD34,T$5:T$78,W$5:W$67)</f>
        <v>#N/A</v>
      </c>
    </row>
    <row r="35" spans="4:33" ht="13" thickBot="1">
      <c r="E35" s="10"/>
      <c r="F35" s="10"/>
      <c r="G35" s="10"/>
      <c r="H35" s="10"/>
      <c r="I35" s="10"/>
      <c r="J35" s="10"/>
      <c r="K35" s="10"/>
      <c r="L35" s="10"/>
      <c r="M35" s="10"/>
      <c r="N35" s="14" t="s">
        <v>222</v>
      </c>
      <c r="O35" s="9" t="str">
        <f>IF(OR(N21="",N50=""),"",+IF(N21&gt;N50,M21,M50))</f>
        <v/>
      </c>
      <c r="P35" s="7"/>
      <c r="T35">
        <v>31</v>
      </c>
      <c r="U35" s="28">
        <f>E36</f>
        <v>0</v>
      </c>
      <c r="V35" t="s">
        <v>77</v>
      </c>
      <c r="W35" s="29" t="s">
        <v>84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10"/>
      <c r="F36" s="9"/>
      <c r="G36" s="9">
        <f>E36</f>
        <v>0</v>
      </c>
      <c r="H36" s="11"/>
      <c r="I36" s="10"/>
      <c r="J36" s="10"/>
      <c r="K36" s="10"/>
      <c r="L36" s="10"/>
      <c r="M36" s="10"/>
      <c r="N36" s="14"/>
      <c r="O36" s="10"/>
      <c r="Q36" s="8"/>
      <c r="T36">
        <v>32</v>
      </c>
      <c r="U36" s="28" t="s">
        <v>164</v>
      </c>
      <c r="V36" t="s">
        <v>77</v>
      </c>
      <c r="W36" s="29" t="s">
        <v>200</v>
      </c>
      <c r="Z36" s="34"/>
      <c r="AA36" s="40"/>
      <c r="AB36" s="40"/>
      <c r="AC36" s="38" t="s">
        <v>159</v>
      </c>
      <c r="AD36" s="48"/>
      <c r="AE36" s="53" t="e">
        <f>LOOKUP(AD36,T$5:T$78,U$5:U$64)</f>
        <v>#N/A</v>
      </c>
      <c r="AF36" s="37" t="s">
        <v>157</v>
      </c>
      <c r="AG36" s="65" t="e">
        <f>LOOKUP(AD36,T$5:T$78,W$5:W$67)</f>
        <v>#N/A</v>
      </c>
    </row>
    <row r="37" spans="4:33">
      <c r="E37" s="12"/>
      <c r="F37" s="10"/>
      <c r="G37" s="10"/>
      <c r="H37" s="13"/>
      <c r="I37" s="10"/>
      <c r="J37" s="10"/>
      <c r="K37" s="10"/>
      <c r="L37" s="10"/>
      <c r="M37" s="10"/>
      <c r="N37" s="14"/>
      <c r="O37" s="10"/>
      <c r="Q37" s="8"/>
      <c r="T37">
        <v>33</v>
      </c>
      <c r="U37" s="28" t="s">
        <v>87</v>
      </c>
      <c r="V37" t="s">
        <v>77</v>
      </c>
      <c r="W37" s="29" t="s">
        <v>88</v>
      </c>
      <c r="Z37" s="34"/>
      <c r="AA37" s="40"/>
      <c r="AB37" s="40"/>
      <c r="AC37" s="38" t="s">
        <v>159</v>
      </c>
      <c r="AD37" s="48"/>
      <c r="AE37" s="53" t="e">
        <f>LOOKUP(AD37,T$5:T$78,U$5:U$64)</f>
        <v>#N/A</v>
      </c>
      <c r="AF37" s="37" t="s">
        <v>157</v>
      </c>
      <c r="AG37" s="65" t="e">
        <f>LOOKUP(AD37,T$5:T$78,W$5:W$67)</f>
        <v>#N/A</v>
      </c>
    </row>
    <row r="38" spans="4:33" ht="13" thickBot="1">
      <c r="E38" s="10"/>
      <c r="F38" s="10"/>
      <c r="G38" s="10"/>
      <c r="H38" s="14" t="s">
        <v>205</v>
      </c>
      <c r="I38" s="9" t="str">
        <f>IF(OR(H36="",H40=""),"",+IF(H36&gt;H40,G36,G40))</f>
        <v/>
      </c>
      <c r="J38" s="10"/>
      <c r="K38" s="10"/>
      <c r="L38" s="10"/>
      <c r="M38" s="10"/>
      <c r="N38" s="14"/>
      <c r="O38" s="10"/>
      <c r="Q38" s="8"/>
      <c r="T38">
        <v>34</v>
      </c>
      <c r="U38" s="28" t="s">
        <v>89</v>
      </c>
      <c r="V38" t="s">
        <v>77</v>
      </c>
      <c r="W38" s="29" t="s">
        <v>90</v>
      </c>
      <c r="Z38" s="34"/>
      <c r="AA38" s="40"/>
      <c r="AB38" s="40"/>
      <c r="AC38" s="38" t="s">
        <v>159</v>
      </c>
      <c r="AD38" s="48"/>
      <c r="AE38" s="53" t="e">
        <f>LOOKUP(AD38,T$5:T$78,U$5:U$64)</f>
        <v>#N/A</v>
      </c>
      <c r="AF38" s="37" t="s">
        <v>157</v>
      </c>
      <c r="AG38" s="65" t="e">
        <f>LOOKUP(AD38,T$5:T$78,W$5:W$67)</f>
        <v>#N/A</v>
      </c>
    </row>
    <row r="39" spans="4:33" ht="13" thickBot="1">
      <c r="D39">
        <v>16</v>
      </c>
      <c r="E39" s="10"/>
      <c r="F39" s="11"/>
      <c r="G39" s="10"/>
      <c r="H39" s="14"/>
      <c r="I39" s="12"/>
      <c r="J39" s="15"/>
      <c r="K39" s="10"/>
      <c r="L39" s="10"/>
      <c r="M39" s="10"/>
      <c r="N39" s="14"/>
      <c r="O39" s="10"/>
      <c r="Q39" s="8"/>
      <c r="T39">
        <v>35</v>
      </c>
      <c r="U39" s="28">
        <f>E68</f>
        <v>0</v>
      </c>
      <c r="V39" t="s">
        <v>77</v>
      </c>
      <c r="W39" s="29" t="s">
        <v>91</v>
      </c>
      <c r="Z39" s="34"/>
      <c r="AA39" s="33"/>
      <c r="AB39" s="33"/>
      <c r="AC39" s="33"/>
      <c r="AD39" s="50"/>
      <c r="AE39" s="64"/>
      <c r="AF39" s="33"/>
      <c r="AG39" s="59"/>
    </row>
    <row r="40" spans="4:33" ht="13" thickBot="1">
      <c r="E40" s="12"/>
      <c r="F40" s="13" t="s">
        <v>214</v>
      </c>
      <c r="G40" s="9" t="str">
        <f>IF(OR(F39="",F41=""),"",+IF(F39&gt;F41,E39,E41))</f>
        <v/>
      </c>
      <c r="H40" s="16"/>
      <c r="I40" s="10"/>
      <c r="J40" s="14"/>
      <c r="K40" s="10"/>
      <c r="L40" s="10"/>
      <c r="M40" s="10"/>
      <c r="N40" s="14"/>
      <c r="O40" s="10"/>
      <c r="Q40" s="8"/>
      <c r="T40">
        <v>36</v>
      </c>
      <c r="U40" s="28" t="s">
        <v>92</v>
      </c>
      <c r="V40" t="s">
        <v>77</v>
      </c>
      <c r="W40" s="29" t="s">
        <v>165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9"/>
      <c r="F41" s="16"/>
      <c r="G41" s="10"/>
      <c r="H41" s="10"/>
      <c r="I41" s="10"/>
      <c r="J41" s="14"/>
      <c r="K41" s="10"/>
      <c r="L41" s="10"/>
      <c r="M41" s="10"/>
      <c r="N41" s="14"/>
      <c r="O41" s="10"/>
      <c r="Q41" s="8"/>
      <c r="T41">
        <v>37</v>
      </c>
      <c r="U41" s="28" t="s">
        <v>94</v>
      </c>
      <c r="V41" t="s">
        <v>77</v>
      </c>
      <c r="W41" s="29" t="s">
        <v>95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0"/>
      <c r="F42" s="10"/>
      <c r="G42" s="10"/>
      <c r="H42" s="10"/>
      <c r="I42" s="10"/>
      <c r="J42" s="14" t="s">
        <v>259</v>
      </c>
      <c r="K42" s="9" t="str">
        <f>IF(OR(J39="",J46=""),"",+IF(J39&gt;J46,I38,I46))</f>
        <v/>
      </c>
      <c r="L42" s="17"/>
      <c r="M42" s="10"/>
      <c r="N42" s="14"/>
      <c r="O42" s="10"/>
      <c r="Q42" s="8"/>
      <c r="T42">
        <v>38</v>
      </c>
      <c r="U42" s="28" t="s">
        <v>96</v>
      </c>
      <c r="V42" t="s">
        <v>77</v>
      </c>
      <c r="W42" s="29">
        <f>E95</f>
        <v>0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10"/>
      <c r="F43" s="11"/>
      <c r="G43" s="10"/>
      <c r="H43" s="10"/>
      <c r="I43" s="10"/>
      <c r="J43" s="14"/>
      <c r="K43" s="10"/>
      <c r="L43" s="13"/>
      <c r="M43" s="10"/>
      <c r="N43" s="14"/>
      <c r="O43" s="10"/>
      <c r="Q43" s="8"/>
      <c r="T43">
        <v>39</v>
      </c>
      <c r="U43" s="28">
        <f>E97</f>
        <v>0</v>
      </c>
      <c r="V43" t="s">
        <v>77</v>
      </c>
      <c r="W43" s="29" t="s">
        <v>97</v>
      </c>
      <c r="Z43" s="34"/>
      <c r="AA43" s="40"/>
      <c r="AB43" s="40"/>
      <c r="AC43" s="38" t="s">
        <v>159</v>
      </c>
      <c r="AD43" s="48"/>
      <c r="AE43" s="53" t="e">
        <f>LOOKUP(AD43,T$5:T$78,U$5:U$64)</f>
        <v>#N/A</v>
      </c>
      <c r="AF43" s="37" t="s">
        <v>157</v>
      </c>
      <c r="AG43" s="65" t="e">
        <f>LOOKUP(AD43,T$5:T$78,W$5:W$67)</f>
        <v>#N/A</v>
      </c>
    </row>
    <row r="44" spans="4:33" ht="13" thickBot="1">
      <c r="E44" s="12"/>
      <c r="F44" s="13" t="s">
        <v>217</v>
      </c>
      <c r="G44" s="9" t="str">
        <f>IF(OR(F43="",F45=""),"",+IF(F43&gt;F45,E43,E45))</f>
        <v/>
      </c>
      <c r="H44" s="17"/>
      <c r="I44" s="10"/>
      <c r="J44" s="14"/>
      <c r="K44" s="10"/>
      <c r="L44" s="14"/>
      <c r="M44" s="10"/>
      <c r="N44" s="14"/>
      <c r="O44" s="10"/>
      <c r="Q44" s="8"/>
      <c r="T44">
        <v>40</v>
      </c>
      <c r="U44" s="28" t="s">
        <v>98</v>
      </c>
      <c r="V44" t="s">
        <v>77</v>
      </c>
      <c r="W44" s="29" t="s">
        <v>99</v>
      </c>
      <c r="Z44" s="34"/>
      <c r="AA44" s="40"/>
      <c r="AB44" s="40"/>
      <c r="AC44" s="38" t="s">
        <v>159</v>
      </c>
      <c r="AD44" s="48"/>
      <c r="AE44" s="53" t="e">
        <f>LOOKUP(AD44,T$5:T$78,U$5:U$64)</f>
        <v>#N/A</v>
      </c>
      <c r="AF44" s="37" t="s">
        <v>157</v>
      </c>
      <c r="AG44" s="65" t="e">
        <f>LOOKUP(AD44,T$5:T$78,W$5:W$67)</f>
        <v>#N/A</v>
      </c>
    </row>
    <row r="45" spans="4:33" ht="13" thickBot="1">
      <c r="D45">
        <v>19</v>
      </c>
      <c r="E45" s="10"/>
      <c r="F45" s="16"/>
      <c r="G45" s="10"/>
      <c r="H45" s="14"/>
      <c r="I45" s="10"/>
      <c r="J45" s="14"/>
      <c r="K45" s="10"/>
      <c r="L45" s="14"/>
      <c r="M45" s="10"/>
      <c r="N45" s="14"/>
      <c r="O45" s="10"/>
      <c r="Q45" s="8"/>
      <c r="T45">
        <v>41</v>
      </c>
      <c r="U45" s="28" t="s">
        <v>100</v>
      </c>
      <c r="V45" t="s">
        <v>77</v>
      </c>
      <c r="W45" s="29" t="s">
        <v>101</v>
      </c>
      <c r="Z45" s="34"/>
      <c r="AA45" s="40"/>
      <c r="AB45" s="40"/>
      <c r="AC45" s="38" t="s">
        <v>159</v>
      </c>
      <c r="AD45" s="48"/>
      <c r="AE45" s="53" t="e">
        <f>LOOKUP(AD45,T$5:T$78,U$5:U$64)</f>
        <v>#N/A</v>
      </c>
      <c r="AF45" s="37" t="s">
        <v>157</v>
      </c>
      <c r="AG45" s="65" t="e">
        <f>LOOKUP(AD45,T$5:T$78,W$5:W$67)</f>
        <v>#N/A</v>
      </c>
    </row>
    <row r="46" spans="4:33" ht="13" thickBot="1">
      <c r="E46" s="12"/>
      <c r="F46" s="10"/>
      <c r="G46" s="10"/>
      <c r="H46" s="14" t="s">
        <v>209</v>
      </c>
      <c r="I46" s="9" t="str">
        <f>IF(OR(H44="",H48=""),"",+IF(H44&gt;H48,G44,G48))</f>
        <v/>
      </c>
      <c r="J46" s="16"/>
      <c r="K46" s="10"/>
      <c r="L46" s="14"/>
      <c r="M46" s="10"/>
      <c r="N46" s="14"/>
      <c r="O46" s="10"/>
      <c r="Q46" s="8"/>
      <c r="T46">
        <v>42</v>
      </c>
      <c r="U46" s="28" t="s">
        <v>102</v>
      </c>
      <c r="V46" t="s">
        <v>77</v>
      </c>
      <c r="W46" s="29" t="s">
        <v>103</v>
      </c>
      <c r="Z46" s="34"/>
      <c r="AA46" s="40"/>
      <c r="AB46" s="40"/>
      <c r="AC46" s="38" t="s">
        <v>159</v>
      </c>
      <c r="AD46" s="48"/>
      <c r="AE46" s="53" t="e">
        <f>LOOKUP(AD46,T$5:T$78,U$5:U$64)</f>
        <v>#N/A</v>
      </c>
      <c r="AF46" s="37" t="s">
        <v>157</v>
      </c>
      <c r="AG46" s="65" t="e">
        <f>LOOKUP(AD46,T$5:T$78,W$5:W$67)</f>
        <v>#N/A</v>
      </c>
    </row>
    <row r="47" spans="4:33" ht="13" thickBot="1">
      <c r="D47">
        <v>20</v>
      </c>
      <c r="E47" s="10"/>
      <c r="F47" s="11"/>
      <c r="G47" s="10"/>
      <c r="H47" s="14"/>
      <c r="I47" s="10"/>
      <c r="J47" s="10"/>
      <c r="K47" s="10"/>
      <c r="L47" s="14"/>
      <c r="M47" s="10"/>
      <c r="N47" s="14"/>
      <c r="O47" s="10"/>
      <c r="Q47" s="8"/>
      <c r="T47">
        <v>43</v>
      </c>
      <c r="U47" s="28" t="s">
        <v>104</v>
      </c>
      <c r="V47" t="s">
        <v>77</v>
      </c>
      <c r="W47" s="29" t="s">
        <v>105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3" t="s">
        <v>219</v>
      </c>
      <c r="G48" s="9" t="str">
        <f>IF(OR(F47="",F49=""),"",+IF(F47&gt;F49,E47,E49))</f>
        <v/>
      </c>
      <c r="H48" s="16"/>
      <c r="I48" s="10"/>
      <c r="J48" s="10"/>
      <c r="K48" s="10"/>
      <c r="L48" s="14"/>
      <c r="M48" s="10"/>
      <c r="N48" s="14"/>
      <c r="O48" s="10"/>
      <c r="Q48" s="8"/>
      <c r="T48">
        <v>44</v>
      </c>
      <c r="U48" s="28" t="s">
        <v>106</v>
      </c>
      <c r="V48" t="s">
        <v>77</v>
      </c>
      <c r="W48" s="29" t="s">
        <v>107</v>
      </c>
      <c r="Z48" s="34"/>
      <c r="AA48" s="40"/>
      <c r="AB48" s="40"/>
      <c r="AC48" s="38" t="s">
        <v>159</v>
      </c>
      <c r="AD48" s="48"/>
      <c r="AE48" s="53" t="e">
        <f>LOOKUP(AD48,T$5:T$78,U$5:U$64)</f>
        <v>#N/A</v>
      </c>
      <c r="AF48" s="37" t="s">
        <v>157</v>
      </c>
      <c r="AG48" s="65" t="e">
        <f>LOOKUP(AD48,T$5:T$78,W$5:W$67)</f>
        <v>#N/A</v>
      </c>
    </row>
    <row r="49" spans="4:33" ht="13" thickBot="1">
      <c r="D49">
        <v>21</v>
      </c>
      <c r="E49" s="10"/>
      <c r="F49" s="16"/>
      <c r="G49" s="10"/>
      <c r="H49" s="10"/>
      <c r="I49" s="10"/>
      <c r="J49" s="10"/>
      <c r="K49" s="10"/>
      <c r="L49" s="14"/>
      <c r="M49" s="10"/>
      <c r="N49" s="14"/>
      <c r="O49" s="10"/>
      <c r="Q49" s="8"/>
      <c r="T49">
        <v>45</v>
      </c>
      <c r="U49" s="28" t="s">
        <v>108</v>
      </c>
      <c r="V49" t="s">
        <v>77</v>
      </c>
      <c r="W49" s="29" t="s">
        <v>109</v>
      </c>
      <c r="Z49" s="34"/>
      <c r="AA49" s="40"/>
      <c r="AB49" s="40"/>
      <c r="AC49" s="38" t="s">
        <v>159</v>
      </c>
      <c r="AD49" s="48"/>
      <c r="AE49" s="53" t="e">
        <f>LOOKUP(AD49,T$5:T$78,U$5:U$64)</f>
        <v>#N/A</v>
      </c>
      <c r="AF49" s="37" t="s">
        <v>157</v>
      </c>
      <c r="AG49" s="65" t="e">
        <f>LOOKUP(AD49,T$5:T$78,W$5:W$67)</f>
        <v>#N/A</v>
      </c>
    </row>
    <row r="50" spans="4:33" ht="13" thickBot="1">
      <c r="E50" s="12"/>
      <c r="F50" s="10"/>
      <c r="G50" s="10"/>
      <c r="H50" s="10"/>
      <c r="I50" s="10"/>
      <c r="J50" s="10"/>
      <c r="K50" s="10"/>
      <c r="L50" s="14" t="s">
        <v>249</v>
      </c>
      <c r="M50" s="9" t="str">
        <f>IF(OR(L42="",L58=""),"",+IF(L42&gt;L58,K42,K58))</f>
        <v/>
      </c>
      <c r="N50" s="16"/>
      <c r="O50" s="10"/>
      <c r="Q50" s="8"/>
      <c r="T50">
        <v>46</v>
      </c>
      <c r="U50" s="28" t="s">
        <v>110</v>
      </c>
      <c r="V50" t="s">
        <v>77</v>
      </c>
      <c r="W50" s="29" t="s">
        <v>111</v>
      </c>
      <c r="Z50" s="34"/>
      <c r="AA50" s="40"/>
      <c r="AB50" s="40"/>
      <c r="AC50" s="38" t="s">
        <v>159</v>
      </c>
      <c r="AD50" s="48"/>
      <c r="AE50" s="53" t="e">
        <f>LOOKUP(AD50,T$5:T$78,U$5:U$64)</f>
        <v>#N/A</v>
      </c>
      <c r="AF50" s="37" t="s">
        <v>157</v>
      </c>
      <c r="AG50" s="65" t="e">
        <f>LOOKUP(AD50,T$5:T$78,W$5:W$67)</f>
        <v>#N/A</v>
      </c>
    </row>
    <row r="51" spans="4:33" ht="13" thickBot="1">
      <c r="D51">
        <v>22</v>
      </c>
      <c r="E51" s="10"/>
      <c r="F51" s="11"/>
      <c r="G51" s="10"/>
      <c r="H51" s="10"/>
      <c r="I51" s="10"/>
      <c r="J51" s="10"/>
      <c r="K51" s="10"/>
      <c r="L51" s="14"/>
      <c r="M51" s="10"/>
      <c r="N51" s="10"/>
      <c r="O51" s="10"/>
      <c r="Q51" s="8"/>
      <c r="T51">
        <v>47</v>
      </c>
      <c r="U51" s="28" t="s">
        <v>112</v>
      </c>
      <c r="V51" t="s">
        <v>77</v>
      </c>
      <c r="W51" s="29" t="s">
        <v>113</v>
      </c>
      <c r="Z51" s="34"/>
      <c r="AA51" s="40"/>
      <c r="AB51" s="40"/>
      <c r="AC51" s="38" t="s">
        <v>159</v>
      </c>
      <c r="AD51" s="48"/>
      <c r="AE51" s="53" t="e">
        <f>LOOKUP(AD51,T$5:T$78,U$5:U$64)</f>
        <v>#N/A</v>
      </c>
      <c r="AF51" s="37" t="s">
        <v>157</v>
      </c>
      <c r="AG51" s="65" t="e">
        <f>LOOKUP(AD51,T$5:T$78,W$5:W$67)</f>
        <v>#N/A</v>
      </c>
    </row>
    <row r="52" spans="4:33" ht="13" thickBot="1">
      <c r="E52" s="12"/>
      <c r="F52" s="13" t="s">
        <v>261</v>
      </c>
      <c r="G52" s="9" t="str">
        <f>IF(OR(F51="",F53=""),"",+IF(F51&gt;F53,E51,E53))</f>
        <v/>
      </c>
      <c r="H52" s="17"/>
      <c r="I52" s="10"/>
      <c r="J52" s="10"/>
      <c r="K52" s="10"/>
      <c r="L52" s="14"/>
      <c r="M52" s="10"/>
      <c r="N52" s="10"/>
      <c r="O52" s="10"/>
      <c r="Q52" s="8"/>
      <c r="T52">
        <v>48</v>
      </c>
      <c r="U52" s="28" t="s">
        <v>114</v>
      </c>
      <c r="V52" t="s">
        <v>77</v>
      </c>
      <c r="W52" s="29" t="s">
        <v>115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10"/>
      <c r="F53" s="16"/>
      <c r="G53" s="10"/>
      <c r="H53" s="14"/>
      <c r="I53" s="10"/>
      <c r="J53" s="10"/>
      <c r="K53" s="10"/>
      <c r="L53" s="14"/>
      <c r="M53" s="10"/>
      <c r="N53" s="10"/>
      <c r="O53" s="10"/>
      <c r="Q53" s="8"/>
      <c r="T53">
        <v>49</v>
      </c>
      <c r="U53" s="28" t="s">
        <v>116</v>
      </c>
      <c r="V53" t="s">
        <v>77</v>
      </c>
      <c r="W53" s="29" t="s">
        <v>117</v>
      </c>
      <c r="Z53" s="34"/>
      <c r="AA53" s="40"/>
      <c r="AB53" s="40"/>
      <c r="AC53" s="38" t="s">
        <v>159</v>
      </c>
      <c r="AD53" s="48"/>
      <c r="AE53" s="53" t="e">
        <f>LOOKUP(AD53,T$5:T$78,U$5:U$64)</f>
        <v>#N/A</v>
      </c>
      <c r="AF53" s="37" t="s">
        <v>157</v>
      </c>
      <c r="AG53" s="65" t="e">
        <f>LOOKUP(AD53,T$5:T$78,W$5:W$67)</f>
        <v>#N/A</v>
      </c>
    </row>
    <row r="54" spans="4:33" ht="13" thickBot="1">
      <c r="E54" s="12"/>
      <c r="F54" s="10"/>
      <c r="G54" s="10"/>
      <c r="H54" s="14" t="s">
        <v>213</v>
      </c>
      <c r="I54" s="9" t="str">
        <f>IF(OR(H52="",H56=""),"",+IF(H52&gt;H56,G52,G56))</f>
        <v/>
      </c>
      <c r="J54" s="17"/>
      <c r="K54" s="10"/>
      <c r="L54" s="14"/>
      <c r="M54" s="10"/>
      <c r="N54" s="10"/>
      <c r="O54" s="10"/>
      <c r="Q54" s="8"/>
      <c r="T54">
        <v>50</v>
      </c>
      <c r="U54" s="28" t="s">
        <v>118</v>
      </c>
      <c r="V54" t="s">
        <v>77</v>
      </c>
      <c r="W54" s="29" t="s">
        <v>119</v>
      </c>
      <c r="Z54" s="34"/>
      <c r="AA54" s="40"/>
      <c r="AB54" s="40"/>
      <c r="AC54" s="38" t="s">
        <v>159</v>
      </c>
      <c r="AD54" s="48"/>
      <c r="AE54" s="53" t="e">
        <f>LOOKUP(AD54,T$5:T$78,U$5:U$64)</f>
        <v>#N/A</v>
      </c>
      <c r="AF54" s="37" t="s">
        <v>157</v>
      </c>
      <c r="AG54" s="65" t="e">
        <f>LOOKUP(AD54,T$5:T$78,W$5:W$67)</f>
        <v>#N/A</v>
      </c>
    </row>
    <row r="55" spans="4:33" ht="13" thickBot="1">
      <c r="D55">
        <v>24</v>
      </c>
      <c r="E55" s="10"/>
      <c r="F55" s="11"/>
      <c r="G55" s="10"/>
      <c r="H55" s="14"/>
      <c r="I55" s="10"/>
      <c r="J55" s="13"/>
      <c r="K55" s="10"/>
      <c r="L55" s="14"/>
      <c r="M55" s="10"/>
      <c r="N55" s="10"/>
      <c r="O55" s="10"/>
      <c r="Q55" s="8"/>
      <c r="T55">
        <v>51</v>
      </c>
      <c r="U55" s="28" t="s">
        <v>120</v>
      </c>
      <c r="V55" t="s">
        <v>77</v>
      </c>
      <c r="W55" s="29" t="s">
        <v>121</v>
      </c>
      <c r="Z55" s="34"/>
      <c r="AA55" s="40"/>
      <c r="AB55" s="40"/>
      <c r="AC55" s="38" t="s">
        <v>159</v>
      </c>
      <c r="AD55" s="48"/>
      <c r="AE55" s="53" t="e">
        <f>LOOKUP(AD55,T$5:T$78,U$5:U$64)</f>
        <v>#N/A</v>
      </c>
      <c r="AF55" s="37" t="s">
        <v>157</v>
      </c>
      <c r="AG55" s="65" t="e">
        <f>LOOKUP(AD55,T$5:T$78,W$5:W$67)</f>
        <v>#N/A</v>
      </c>
    </row>
    <row r="56" spans="4:33" ht="13" thickBot="1">
      <c r="E56" s="12"/>
      <c r="F56" s="13" t="s">
        <v>223</v>
      </c>
      <c r="G56" s="9" t="str">
        <f>IF(OR(F55="",F57=""),"",+IF(F55&gt;F57,E55,E57))</f>
        <v/>
      </c>
      <c r="H56" s="16"/>
      <c r="I56" s="10"/>
      <c r="J56" s="14"/>
      <c r="K56" s="10"/>
      <c r="L56" s="14"/>
      <c r="M56" s="10"/>
      <c r="N56" s="10"/>
      <c r="O56" s="10"/>
      <c r="Q56" s="8"/>
      <c r="T56">
        <v>52</v>
      </c>
      <c r="U56" s="28" t="s">
        <v>122</v>
      </c>
      <c r="V56" t="s">
        <v>77</v>
      </c>
      <c r="W56" s="29" t="s">
        <v>123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10"/>
      <c r="F57" s="16"/>
      <c r="G57" s="10"/>
      <c r="H57" s="10"/>
      <c r="I57" s="10"/>
      <c r="J57" s="14"/>
      <c r="K57" s="10"/>
      <c r="L57" s="14"/>
      <c r="M57" s="10"/>
      <c r="N57" s="10"/>
      <c r="O57" s="10"/>
      <c r="Q57" s="8"/>
      <c r="T57">
        <v>53</v>
      </c>
      <c r="U57" s="28" t="s">
        <v>124</v>
      </c>
      <c r="V57" t="s">
        <v>77</v>
      </c>
      <c r="W57" s="29" t="s">
        <v>125</v>
      </c>
    </row>
    <row r="58" spans="4:33" ht="13" thickBot="1">
      <c r="E58" s="12"/>
      <c r="F58" s="10"/>
      <c r="G58" s="10"/>
      <c r="H58" s="10"/>
      <c r="I58" s="10"/>
      <c r="J58" s="14" t="s">
        <v>203</v>
      </c>
      <c r="K58" s="9" t="str">
        <f>IF(OR(J54="",J62=""),"",+IF(J54&gt;J62,I54,I62))</f>
        <v/>
      </c>
      <c r="L58" s="16"/>
      <c r="M58" s="10"/>
      <c r="N58" s="10"/>
      <c r="O58" s="10"/>
      <c r="Q58" s="8"/>
      <c r="T58">
        <v>54</v>
      </c>
      <c r="U58" s="28" t="s">
        <v>126</v>
      </c>
      <c r="V58" t="s">
        <v>77</v>
      </c>
      <c r="W58" s="29" t="s">
        <v>127</v>
      </c>
    </row>
    <row r="59" spans="4:33" ht="13" thickBot="1">
      <c r="D59">
        <v>26</v>
      </c>
      <c r="E59" s="10"/>
      <c r="F59" s="11"/>
      <c r="G59" s="10"/>
      <c r="H59" s="10"/>
      <c r="I59" s="10"/>
      <c r="J59" s="14"/>
      <c r="K59" s="10"/>
      <c r="L59" s="10"/>
      <c r="M59" s="10"/>
      <c r="N59" s="10"/>
      <c r="O59" s="10"/>
      <c r="Q59" s="8"/>
      <c r="T59">
        <v>55</v>
      </c>
      <c r="U59" s="28" t="s">
        <v>130</v>
      </c>
      <c r="V59" t="s">
        <v>77</v>
      </c>
      <c r="W59" s="29" t="s">
        <v>128</v>
      </c>
    </row>
    <row r="60" spans="4:33" ht="13" thickBot="1">
      <c r="E60" s="12"/>
      <c r="F60" s="13" t="s">
        <v>225</v>
      </c>
      <c r="G60" s="9" t="str">
        <f>IF(OR(F59="",F61=""),"",+IF(F59&gt;F61,E59,E61))</f>
        <v/>
      </c>
      <c r="H60" s="17"/>
      <c r="I60" s="10"/>
      <c r="J60" s="14"/>
      <c r="K60" s="10"/>
      <c r="L60" s="10"/>
      <c r="M60" s="10"/>
      <c r="N60" s="10"/>
      <c r="O60" s="10"/>
      <c r="Q60" s="8"/>
      <c r="T60">
        <v>56</v>
      </c>
      <c r="U60" s="28" t="s">
        <v>129</v>
      </c>
      <c r="V60" t="s">
        <v>77</v>
      </c>
      <c r="W60" s="29" t="s">
        <v>131</v>
      </c>
    </row>
    <row r="61" spans="4:33" ht="13" thickBot="1">
      <c r="D61">
        <v>27</v>
      </c>
      <c r="E61" s="10"/>
      <c r="F61" s="16"/>
      <c r="G61" s="10"/>
      <c r="H61" s="14"/>
      <c r="I61" s="10"/>
      <c r="J61" s="14"/>
      <c r="K61" s="10"/>
      <c r="L61" s="10"/>
      <c r="M61" s="10"/>
      <c r="N61" s="10"/>
      <c r="O61" s="10"/>
      <c r="Q61" s="8"/>
      <c r="T61">
        <v>57</v>
      </c>
      <c r="U61" s="28" t="s">
        <v>132</v>
      </c>
      <c r="V61" t="s">
        <v>77</v>
      </c>
      <c r="W61" s="29" t="s">
        <v>133</v>
      </c>
    </row>
    <row r="62" spans="4:33" ht="13" thickBot="1">
      <c r="E62" s="12"/>
      <c r="F62" s="10"/>
      <c r="G62" s="10"/>
      <c r="H62" s="14" t="s">
        <v>216</v>
      </c>
      <c r="I62" s="9" t="str">
        <f>IF(OR(H60="",H64=""),"",+IF(H60&gt;H64,G60,G64))</f>
        <v/>
      </c>
      <c r="J62" s="16"/>
      <c r="K62" s="10"/>
      <c r="L62" s="10"/>
      <c r="M62" s="10"/>
      <c r="N62" s="10"/>
      <c r="O62" s="10"/>
      <c r="Q62" s="8"/>
      <c r="U62" s="29"/>
    </row>
    <row r="63" spans="4:33" ht="13" thickBot="1">
      <c r="D63">
        <v>28</v>
      </c>
      <c r="E63" s="10"/>
      <c r="F63" s="11"/>
      <c r="G63" s="10"/>
      <c r="H63" s="14"/>
      <c r="I63" s="10"/>
      <c r="J63" s="10"/>
      <c r="K63" s="10"/>
      <c r="L63" s="10"/>
      <c r="M63" s="10"/>
      <c r="N63" s="10"/>
      <c r="O63" s="10"/>
      <c r="Q63" s="8"/>
      <c r="W63" s="28"/>
    </row>
    <row r="64" spans="4:33" ht="13" thickBot="1">
      <c r="E64" s="12"/>
      <c r="F64" s="13" t="s">
        <v>227</v>
      </c>
      <c r="G64" s="9" t="str">
        <f>IF(OR(F63="",F65=""),"",+IF(F63&gt;F65,E63,E65))</f>
        <v/>
      </c>
      <c r="H64" s="16"/>
      <c r="I64" s="10"/>
      <c r="J64" s="10"/>
      <c r="K64" s="10"/>
      <c r="L64" s="10"/>
      <c r="M64" s="10"/>
      <c r="N64" s="10"/>
      <c r="O64" s="10"/>
      <c r="Q64" s="8"/>
    </row>
    <row r="65" spans="4:19" ht="13" thickBot="1">
      <c r="D65">
        <v>29</v>
      </c>
      <c r="E65" s="9"/>
      <c r="F65" s="16"/>
      <c r="G65" s="10"/>
      <c r="H65" s="10"/>
      <c r="I65" s="10"/>
      <c r="J65" s="10"/>
      <c r="K65" s="10"/>
      <c r="L65" s="10"/>
      <c r="M65" s="10"/>
      <c r="N65" s="10"/>
      <c r="O65" s="10"/>
      <c r="Q65" s="8"/>
    </row>
    <row r="66" spans="4:19" ht="13" thickBot="1">
      <c r="P66" t="s">
        <v>253</v>
      </c>
      <c r="Q66" s="27"/>
      <c r="R66" s="7"/>
      <c r="S66" s="7"/>
    </row>
    <row r="67" spans="4:19">
      <c r="Q67" s="8"/>
    </row>
    <row r="68" spans="4:19" ht="13" thickBot="1">
      <c r="D68">
        <v>30</v>
      </c>
      <c r="E68" s="10"/>
      <c r="F68" s="9"/>
      <c r="G68" s="9">
        <f>E68</f>
        <v>0</v>
      </c>
      <c r="H68" s="11"/>
      <c r="I68" s="10"/>
      <c r="J68" s="10"/>
      <c r="K68" s="10"/>
      <c r="L68" s="10"/>
      <c r="M68" s="10"/>
      <c r="N68" s="10"/>
      <c r="O68" s="10"/>
      <c r="Q68" s="8"/>
    </row>
    <row r="69" spans="4:19">
      <c r="E69" s="12"/>
      <c r="F69" s="10"/>
      <c r="G69" s="10"/>
      <c r="H69" s="13"/>
      <c r="I69" s="10"/>
      <c r="J69" s="10"/>
      <c r="K69" s="10"/>
      <c r="L69" s="10"/>
      <c r="M69" s="10"/>
      <c r="N69" s="10"/>
      <c r="O69" s="10"/>
      <c r="Q69" s="8"/>
    </row>
    <row r="70" spans="4:19" ht="13" thickBot="1">
      <c r="E70" s="10"/>
      <c r="F70" s="10"/>
      <c r="G70" s="10"/>
      <c r="H70" s="14" t="s">
        <v>220</v>
      </c>
      <c r="I70" s="9" t="str">
        <f>IF(OR(H68="",H72=""),"",+IF(H68&gt;H72,G68,G72))</f>
        <v/>
      </c>
      <c r="J70" s="10"/>
      <c r="K70" s="10"/>
      <c r="L70" s="10"/>
      <c r="M70" s="10"/>
      <c r="N70" s="10"/>
      <c r="O70" s="10"/>
      <c r="Q70" s="8"/>
    </row>
    <row r="71" spans="4:19" ht="13" thickBot="1">
      <c r="D71">
        <v>31</v>
      </c>
      <c r="E71" s="10"/>
      <c r="F71" s="11"/>
      <c r="G71" s="10"/>
      <c r="H71" s="14"/>
      <c r="I71" s="12"/>
      <c r="J71" s="15"/>
      <c r="K71" s="10"/>
      <c r="L71" s="10"/>
      <c r="M71" s="10"/>
      <c r="N71" s="10"/>
      <c r="O71" s="10"/>
      <c r="Q71" s="8"/>
    </row>
    <row r="72" spans="4:19" ht="13" thickBot="1">
      <c r="E72" s="12"/>
      <c r="F72" s="13" t="s">
        <v>229</v>
      </c>
      <c r="G72" s="9" t="str">
        <f>IF(OR(F71="",F73=""),"",+IF(F71&gt;F73,E71,E73))</f>
        <v/>
      </c>
      <c r="H72" s="16"/>
      <c r="I72" s="10"/>
      <c r="J72" s="14"/>
      <c r="K72" s="10"/>
      <c r="L72" s="10"/>
      <c r="M72" s="10"/>
      <c r="N72" s="10"/>
      <c r="O72" s="10"/>
      <c r="Q72" s="8"/>
    </row>
    <row r="73" spans="4:19" ht="13" thickBot="1">
      <c r="D73">
        <v>32</v>
      </c>
      <c r="E73" s="9"/>
      <c r="F73" s="16"/>
      <c r="G73" s="10"/>
      <c r="H73" s="10"/>
      <c r="I73" s="10"/>
      <c r="J73" s="14"/>
      <c r="K73" s="10"/>
      <c r="L73" s="10"/>
      <c r="M73" s="10"/>
      <c r="N73" s="10"/>
      <c r="O73" s="10"/>
      <c r="Q73" s="8"/>
    </row>
    <row r="74" spans="4:19" ht="13" thickBot="1">
      <c r="E74" s="10"/>
      <c r="F74" s="10"/>
      <c r="G74" s="10"/>
      <c r="H74" s="10"/>
      <c r="I74" s="10"/>
      <c r="J74" s="14" t="s">
        <v>211</v>
      </c>
      <c r="K74" s="9" t="str">
        <f>IF(OR(J71="",J78=""),"",+IF(J71&gt;J78,I70,I78))</f>
        <v/>
      </c>
      <c r="L74" s="17"/>
      <c r="M74" s="10"/>
      <c r="N74" s="10"/>
      <c r="O74" s="10"/>
      <c r="Q74" s="8"/>
    </row>
    <row r="75" spans="4:19" ht="13" thickBot="1">
      <c r="D75">
        <v>33</v>
      </c>
      <c r="E75" s="10"/>
      <c r="F75" s="11"/>
      <c r="G75" s="10"/>
      <c r="H75" s="10"/>
      <c r="I75" s="10"/>
      <c r="J75" s="14"/>
      <c r="K75" s="10"/>
      <c r="L75" s="13"/>
      <c r="M75" s="10"/>
      <c r="N75" s="10"/>
      <c r="O75" s="10"/>
      <c r="Q75" s="8"/>
    </row>
    <row r="76" spans="4:19" ht="13" thickBot="1">
      <c r="E76" s="12"/>
      <c r="F76" s="13" t="s">
        <v>232</v>
      </c>
      <c r="G76" s="9" t="str">
        <f>IF(OR(F75="",F77=""),"",+IF(F75&gt;F77,E75,E77))</f>
        <v/>
      </c>
      <c r="H76" s="17"/>
      <c r="I76" s="10"/>
      <c r="J76" s="14"/>
      <c r="K76" s="10"/>
      <c r="L76" s="14"/>
      <c r="M76" s="10"/>
      <c r="N76" s="10"/>
      <c r="O76" s="10"/>
      <c r="Q76" s="8"/>
    </row>
    <row r="77" spans="4:19" ht="13" thickBot="1">
      <c r="D77">
        <v>34</v>
      </c>
      <c r="E77" s="10"/>
      <c r="F77" s="16"/>
      <c r="G77" s="10"/>
      <c r="H77" s="14"/>
      <c r="I77" s="10"/>
      <c r="J77" s="14"/>
      <c r="K77" s="10"/>
      <c r="L77" s="14"/>
      <c r="M77" s="10"/>
      <c r="N77" s="10"/>
      <c r="O77" s="10"/>
      <c r="Q77" s="8"/>
    </row>
    <row r="78" spans="4:19" ht="13" thickBot="1">
      <c r="E78" s="12"/>
      <c r="F78" s="10"/>
      <c r="G78" s="10"/>
      <c r="H78" s="14" t="s">
        <v>224</v>
      </c>
      <c r="I78" s="9" t="str">
        <f>IF(OR(H76="",H80=""),"",+IF(H76&gt;H80,G76,G80))</f>
        <v/>
      </c>
      <c r="J78" s="16"/>
      <c r="K78" s="10"/>
      <c r="L78" s="14"/>
      <c r="M78" s="10"/>
      <c r="N78" s="10"/>
      <c r="O78" s="10"/>
      <c r="Q78" s="8"/>
    </row>
    <row r="79" spans="4:19" ht="13" thickBot="1">
      <c r="D79">
        <v>35</v>
      </c>
      <c r="E79" s="10"/>
      <c r="F79" s="11"/>
      <c r="G79" s="10"/>
      <c r="H79" s="14"/>
      <c r="I79" s="10"/>
      <c r="J79" s="10"/>
      <c r="K79" s="10"/>
      <c r="L79" s="14"/>
      <c r="M79" s="10"/>
      <c r="N79" s="10"/>
      <c r="O79" s="10"/>
      <c r="Q79" s="8"/>
    </row>
    <row r="80" spans="4:19" ht="13" thickBot="1">
      <c r="E80" s="12"/>
      <c r="F80" s="13" t="s">
        <v>234</v>
      </c>
      <c r="G80" s="9" t="str">
        <f>IF(OR(F79="",F81=""),"",+IF(F79&gt;F81,E79,E81))</f>
        <v/>
      </c>
      <c r="H80" s="16"/>
      <c r="I80" s="10"/>
      <c r="J80" s="10"/>
      <c r="K80" s="10"/>
      <c r="L80" s="14"/>
      <c r="M80" s="10"/>
      <c r="N80" s="10"/>
      <c r="O80" s="10"/>
      <c r="Q80" s="8"/>
    </row>
    <row r="81" spans="4:17" ht="13" thickBot="1">
      <c r="D81">
        <v>36</v>
      </c>
      <c r="E81" s="10"/>
      <c r="F81" s="16"/>
      <c r="G81" s="10"/>
      <c r="H81" s="10"/>
      <c r="I81" s="10"/>
      <c r="J81" s="10"/>
      <c r="K81" s="10"/>
      <c r="L81" s="14"/>
      <c r="M81" s="10"/>
      <c r="N81" s="10"/>
      <c r="O81" s="10"/>
      <c r="Q81" s="8"/>
    </row>
    <row r="82" spans="4:17" ht="13" thickBot="1">
      <c r="E82" s="12"/>
      <c r="F82" s="10"/>
      <c r="G82" s="10"/>
      <c r="H82" s="10"/>
      <c r="I82" s="10"/>
      <c r="J82" s="10"/>
      <c r="K82" s="10"/>
      <c r="L82" s="14" t="s">
        <v>257</v>
      </c>
      <c r="M82" s="9" t="str">
        <f>IF(OR(L74="",L89=""),"",+IF(L74&gt;L89,K74,K89))</f>
        <v/>
      </c>
      <c r="N82" s="17"/>
      <c r="O82" s="10"/>
      <c r="Q82" s="8"/>
    </row>
    <row r="83" spans="4:17" ht="13" thickBot="1">
      <c r="D83">
        <v>37</v>
      </c>
      <c r="E83" s="10"/>
      <c r="F83" s="11"/>
      <c r="G83" s="10"/>
      <c r="H83" s="10"/>
      <c r="I83" s="10"/>
      <c r="J83" s="10"/>
      <c r="K83" s="10"/>
      <c r="L83" s="14"/>
      <c r="M83" s="10"/>
      <c r="N83" s="14"/>
      <c r="O83" s="10"/>
      <c r="Q83" s="8"/>
    </row>
    <row r="84" spans="4:17" ht="13" thickBot="1">
      <c r="E84" s="12"/>
      <c r="F84" s="13" t="s">
        <v>236</v>
      </c>
      <c r="G84" s="9" t="str">
        <f>IF(OR(F83="",F85=""),"",+IF(F83&gt;F85,E83,E85))</f>
        <v/>
      </c>
      <c r="H84" s="17"/>
      <c r="I84" s="10"/>
      <c r="J84" s="10"/>
      <c r="K84" s="10"/>
      <c r="L84" s="14"/>
      <c r="M84" s="10"/>
      <c r="N84" s="14"/>
      <c r="O84" s="10"/>
      <c r="Q84" s="8"/>
    </row>
    <row r="85" spans="4:17" ht="13" thickBot="1">
      <c r="D85">
        <v>38</v>
      </c>
      <c r="E85" s="10"/>
      <c r="F85" s="16"/>
      <c r="G85" s="10"/>
      <c r="H85" s="14"/>
      <c r="I85" s="10"/>
      <c r="J85" s="10"/>
      <c r="K85" s="10"/>
      <c r="L85" s="14"/>
      <c r="M85" s="10"/>
      <c r="N85" s="14"/>
      <c r="O85" s="10"/>
      <c r="Q85" s="8"/>
    </row>
    <row r="86" spans="4:17" ht="13" thickBot="1">
      <c r="E86" s="12"/>
      <c r="F86" s="10"/>
      <c r="G86" s="10"/>
      <c r="H86" s="14" t="s">
        <v>228</v>
      </c>
      <c r="I86" s="9" t="str">
        <f>IF(OR(H84="",H88=""),"",+IF(H84&gt;H88,G84,G88))</f>
        <v/>
      </c>
      <c r="J86" s="17"/>
      <c r="K86" s="10"/>
      <c r="L86" s="14"/>
      <c r="M86" s="10"/>
      <c r="N86" s="14"/>
      <c r="O86" s="10"/>
      <c r="Q86" s="8"/>
    </row>
    <row r="87" spans="4:17" ht="13" thickBot="1">
      <c r="D87">
        <v>39</v>
      </c>
      <c r="E87" s="10"/>
      <c r="F87" s="11"/>
      <c r="G87" s="10"/>
      <c r="H87" s="14"/>
      <c r="I87" s="10"/>
      <c r="J87" s="14"/>
      <c r="K87" s="10"/>
      <c r="L87" s="14"/>
      <c r="M87" s="10"/>
      <c r="N87" s="14"/>
      <c r="O87" s="10"/>
      <c r="Q87" s="8"/>
    </row>
    <row r="88" spans="4:17" ht="13" thickBot="1">
      <c r="E88" s="12"/>
      <c r="F88" s="13" t="s">
        <v>238</v>
      </c>
      <c r="G88" s="9" t="str">
        <f>IF(OR(F87="",F89=""),"",+IF(F87&gt;F89,E87,E89))</f>
        <v/>
      </c>
      <c r="H88" s="16"/>
      <c r="I88" s="10"/>
      <c r="J88" s="14"/>
      <c r="K88" s="10"/>
      <c r="L88" s="14"/>
      <c r="M88" s="10"/>
      <c r="N88" s="14"/>
      <c r="O88" s="10"/>
      <c r="Q88" s="8"/>
    </row>
    <row r="89" spans="4:17" ht="13" thickBot="1">
      <c r="D89">
        <v>40</v>
      </c>
      <c r="E89" s="10"/>
      <c r="F89" s="16"/>
      <c r="G89" s="10"/>
      <c r="H89" s="10"/>
      <c r="I89" s="10"/>
      <c r="J89" s="14" t="s">
        <v>218</v>
      </c>
      <c r="K89" s="9" t="str">
        <f>IF(OR(J86="",J94=""),"",+IF(J86&gt;J94,I86,I94))</f>
        <v/>
      </c>
      <c r="L89" s="16"/>
      <c r="M89" s="10"/>
      <c r="N89" s="14"/>
      <c r="O89" s="10"/>
      <c r="Q89" s="8"/>
    </row>
    <row r="90" spans="4:17">
      <c r="E90" s="12"/>
      <c r="F90" s="10"/>
      <c r="G90" s="10"/>
      <c r="H90" s="10"/>
      <c r="I90" s="10"/>
      <c r="J90" s="14"/>
      <c r="K90" s="10"/>
      <c r="L90" s="10"/>
      <c r="M90" s="10"/>
      <c r="N90" s="14"/>
      <c r="O90" s="10"/>
      <c r="Q90" s="8"/>
    </row>
    <row r="91" spans="4:17" ht="13" thickBot="1">
      <c r="D91">
        <v>41</v>
      </c>
      <c r="E91" s="10"/>
      <c r="F91" s="11"/>
      <c r="G91" s="10"/>
      <c r="H91" s="10"/>
      <c r="I91" s="10"/>
      <c r="J91" s="14"/>
      <c r="K91" s="10"/>
      <c r="L91" s="10"/>
      <c r="M91" s="10"/>
      <c r="N91" s="14"/>
      <c r="O91" s="10"/>
      <c r="Q91" s="8"/>
    </row>
    <row r="92" spans="4:17" ht="13" thickBot="1">
      <c r="E92" s="12"/>
      <c r="F92" s="13" t="s">
        <v>240</v>
      </c>
      <c r="G92" s="9" t="str">
        <f>IF(OR(F91="",F93=""),"",+IF(F91&gt;F93,E91,E93))</f>
        <v/>
      </c>
      <c r="H92" s="11"/>
      <c r="I92" s="10"/>
      <c r="J92" s="14"/>
      <c r="K92" s="10"/>
      <c r="L92" s="10"/>
      <c r="M92" s="10"/>
      <c r="N92" s="14"/>
      <c r="O92" s="10"/>
      <c r="Q92" s="8"/>
    </row>
    <row r="93" spans="4:17" ht="13" thickBot="1">
      <c r="D93">
        <v>42</v>
      </c>
      <c r="E93" s="9"/>
      <c r="F93" s="16"/>
      <c r="G93" s="10"/>
      <c r="H93" s="13"/>
      <c r="I93" s="10"/>
      <c r="J93" s="14"/>
      <c r="K93" s="10"/>
      <c r="L93" s="10"/>
      <c r="M93" s="10"/>
      <c r="N93" s="14"/>
      <c r="O93" s="10"/>
      <c r="Q93" s="8"/>
    </row>
    <row r="94" spans="4:17" ht="13" thickBot="1">
      <c r="E94" s="10"/>
      <c r="F94" s="10"/>
      <c r="G94" s="10"/>
      <c r="H94" s="14" t="s">
        <v>231</v>
      </c>
      <c r="I94" s="9" t="str">
        <f>IF(OR(H92="",H95=""),"",+IF(H92&gt;H95,G92,E95))</f>
        <v/>
      </c>
      <c r="J94" s="16"/>
      <c r="K94" s="10"/>
      <c r="L94" s="10"/>
      <c r="M94" s="10"/>
      <c r="N94" s="14"/>
      <c r="O94" s="10"/>
      <c r="Q94" s="8"/>
    </row>
    <row r="95" spans="4:17" ht="13" thickBot="1">
      <c r="D95">
        <v>43</v>
      </c>
      <c r="E95" s="9"/>
      <c r="F95" s="9"/>
      <c r="G95" s="9">
        <f>E95</f>
        <v>0</v>
      </c>
      <c r="H95" s="16"/>
      <c r="I95" s="10"/>
      <c r="J95" s="10"/>
      <c r="K95" s="10"/>
      <c r="L95" s="10"/>
      <c r="M95" s="10"/>
      <c r="N95" s="14"/>
      <c r="O95" s="10"/>
      <c r="Q95" s="8"/>
    </row>
    <row r="96" spans="4:17" ht="13" thickBot="1">
      <c r="E96" s="10"/>
      <c r="F96" s="10"/>
      <c r="G96" s="10"/>
      <c r="H96" s="10"/>
      <c r="I96" s="10"/>
      <c r="J96" s="10"/>
      <c r="K96" s="10"/>
      <c r="L96" s="10"/>
      <c r="M96" s="10"/>
      <c r="N96" s="14" t="s">
        <v>237</v>
      </c>
      <c r="O96" s="9" t="str">
        <f>IF(OR(N82="",N111=""),"",+IF(N82&gt;N111,M82,M111))</f>
        <v/>
      </c>
      <c r="P96" s="7"/>
      <c r="Q96" s="8"/>
    </row>
    <row r="97" spans="4:15" ht="13" thickBot="1">
      <c r="D97">
        <v>44</v>
      </c>
      <c r="E97" s="10"/>
      <c r="F97" s="9"/>
      <c r="G97" s="9">
        <f>E97</f>
        <v>0</v>
      </c>
      <c r="H97" s="11"/>
      <c r="I97" s="10"/>
      <c r="J97" s="10"/>
      <c r="K97" s="10"/>
      <c r="L97" s="10"/>
      <c r="M97" s="10"/>
      <c r="N97" s="14"/>
      <c r="O97" s="10"/>
    </row>
    <row r="98" spans="4:15">
      <c r="E98" s="12"/>
      <c r="F98" s="10"/>
      <c r="G98" s="10"/>
      <c r="H98" s="13"/>
      <c r="I98" s="10"/>
      <c r="J98" s="10"/>
      <c r="K98" s="10"/>
      <c r="L98" s="10"/>
      <c r="M98" s="10"/>
      <c r="N98" s="14"/>
      <c r="O98" s="10"/>
    </row>
    <row r="99" spans="4:15" ht="13" thickBot="1">
      <c r="E99" s="10"/>
      <c r="F99" s="10"/>
      <c r="G99" s="10"/>
      <c r="H99" s="14" t="s">
        <v>235</v>
      </c>
      <c r="I99" s="9" t="str">
        <f>IF(OR(H97="",H101=""),"",+IF(H97&gt;H101,G97,G101))</f>
        <v/>
      </c>
      <c r="J99" s="10"/>
      <c r="K99" s="10"/>
      <c r="L99" s="10"/>
      <c r="M99" s="10"/>
      <c r="N99" s="14"/>
      <c r="O99" s="10"/>
    </row>
    <row r="100" spans="4:15" ht="13" thickBot="1">
      <c r="D100">
        <v>45</v>
      </c>
      <c r="E100" s="10"/>
      <c r="F100" s="11"/>
      <c r="G100" s="10"/>
      <c r="H100" s="14"/>
      <c r="I100" s="12"/>
      <c r="J100" s="15"/>
      <c r="K100" s="10"/>
      <c r="L100" s="10"/>
      <c r="M100" s="10"/>
      <c r="N100" s="14"/>
      <c r="O100" s="10"/>
    </row>
    <row r="101" spans="4:15" ht="13" thickBot="1">
      <c r="E101" s="12"/>
      <c r="F101" s="13" t="s">
        <v>242</v>
      </c>
      <c r="G101" s="9" t="str">
        <f>IF(OR(F100="",F102=""),"",+IF(F100&gt;F102,E100,E102))</f>
        <v/>
      </c>
      <c r="H101" s="16"/>
      <c r="I101" s="10"/>
      <c r="J101" s="14"/>
      <c r="K101" s="10"/>
      <c r="L101" s="10"/>
      <c r="M101" s="10"/>
      <c r="N101" s="14"/>
      <c r="O101" s="10"/>
    </row>
    <row r="102" spans="4:15" ht="13" thickBot="1">
      <c r="D102">
        <v>46</v>
      </c>
      <c r="E102" s="9"/>
      <c r="F102" s="16"/>
      <c r="G102" s="10"/>
      <c r="H102" s="10"/>
      <c r="I102" s="10"/>
      <c r="J102" s="14"/>
      <c r="K102" s="10"/>
      <c r="L102" s="10"/>
      <c r="M102" s="10"/>
      <c r="N102" s="14"/>
      <c r="O102" s="10"/>
    </row>
    <row r="103" spans="4:15" ht="13" thickBot="1">
      <c r="E103" s="10"/>
      <c r="F103" s="10"/>
      <c r="G103" s="10"/>
      <c r="H103" s="10"/>
      <c r="I103" s="10"/>
      <c r="J103" s="14" t="s">
        <v>226</v>
      </c>
      <c r="K103" s="9" t="str">
        <f>IF(OR(J100="",J107=""),"",+IF(J100&gt;J107,I99,I107))</f>
        <v/>
      </c>
      <c r="L103" s="17"/>
      <c r="M103" s="10"/>
      <c r="N103" s="14"/>
      <c r="O103" s="10"/>
    </row>
    <row r="104" spans="4:15" ht="13" thickBot="1">
      <c r="D104">
        <v>47</v>
      </c>
      <c r="E104" s="10"/>
      <c r="F104" s="11"/>
      <c r="G104" s="10"/>
      <c r="H104" s="10"/>
      <c r="I104" s="10"/>
      <c r="J104" s="14"/>
      <c r="K104" s="10"/>
      <c r="L104" s="13"/>
      <c r="M104" s="10"/>
      <c r="N104" s="14"/>
      <c r="O104" s="10"/>
    </row>
    <row r="105" spans="4:15" ht="13" thickBot="1">
      <c r="E105" s="12"/>
      <c r="F105" s="13" t="s">
        <v>244</v>
      </c>
      <c r="G105" s="9" t="str">
        <f>IF(OR(F104="",F106=""),"",+IF(F104&gt;F106,E104,E106))</f>
        <v/>
      </c>
      <c r="H105" s="17"/>
      <c r="I105" s="10"/>
      <c r="J105" s="14"/>
      <c r="K105" s="10"/>
      <c r="L105" s="14"/>
      <c r="M105" s="10"/>
      <c r="N105" s="14"/>
      <c r="O105" s="10"/>
    </row>
    <row r="106" spans="4:15" ht="13" thickBot="1">
      <c r="D106">
        <v>48</v>
      </c>
      <c r="E106" s="10"/>
      <c r="F106" s="16"/>
      <c r="G106" s="10"/>
      <c r="H106" s="14"/>
      <c r="I106" s="10"/>
      <c r="J106" s="14"/>
      <c r="K106" s="10"/>
      <c r="L106" s="14"/>
      <c r="M106" s="10"/>
      <c r="N106" s="14"/>
      <c r="O106" s="10"/>
    </row>
    <row r="107" spans="4:15" ht="13" thickBot="1">
      <c r="E107" s="12"/>
      <c r="F107" s="10"/>
      <c r="G107" s="10"/>
      <c r="H107" s="14" t="s">
        <v>239</v>
      </c>
      <c r="I107" s="9" t="str">
        <f>IF(OR(H105="",H109=""),"",+IF(H105&gt;H109,G105,G109))</f>
        <v/>
      </c>
      <c r="J107" s="16"/>
      <c r="K107" s="10"/>
      <c r="L107" s="14"/>
      <c r="M107" s="10"/>
      <c r="N107" s="14"/>
      <c r="O107" s="10"/>
    </row>
    <row r="108" spans="4:15" ht="13" thickBot="1">
      <c r="D108">
        <v>49</v>
      </c>
      <c r="E108" s="10"/>
      <c r="F108" s="11"/>
      <c r="G108" s="10"/>
      <c r="H108" s="14"/>
      <c r="I108" s="10"/>
      <c r="J108" s="10"/>
      <c r="K108" s="10"/>
      <c r="L108" s="14"/>
      <c r="M108" s="10"/>
      <c r="N108" s="14"/>
      <c r="O108" s="10"/>
    </row>
    <row r="109" spans="4:15" ht="13" thickBot="1">
      <c r="E109" s="12"/>
      <c r="F109" s="13" t="s">
        <v>246</v>
      </c>
      <c r="G109" s="9" t="str">
        <f>IF(OR(F108="",F110=""),"",+IF(F108&gt;F110,E108,E110))</f>
        <v/>
      </c>
      <c r="H109" s="16"/>
      <c r="I109" s="10"/>
      <c r="J109" s="10"/>
      <c r="K109" s="10"/>
      <c r="L109" s="14"/>
      <c r="M109" s="10"/>
      <c r="N109" s="14"/>
      <c r="O109" s="10"/>
    </row>
    <row r="110" spans="4:15" ht="13" thickBot="1">
      <c r="D110">
        <v>50</v>
      </c>
      <c r="E110" s="10"/>
      <c r="F110" s="16"/>
      <c r="G110" s="10"/>
      <c r="H110" s="10"/>
      <c r="I110" s="10"/>
      <c r="J110" s="10"/>
      <c r="K110" s="10"/>
      <c r="L110" s="14"/>
      <c r="M110" s="10"/>
      <c r="N110" s="14"/>
      <c r="O110" s="10"/>
    </row>
    <row r="111" spans="4:15" ht="13" thickBot="1">
      <c r="E111" s="12"/>
      <c r="F111" s="10"/>
      <c r="G111" s="10"/>
      <c r="H111" s="10"/>
      <c r="I111" s="10"/>
      <c r="J111" s="10"/>
      <c r="K111" s="10"/>
      <c r="L111" s="14" t="s">
        <v>207</v>
      </c>
      <c r="M111" s="9" t="str">
        <f>IF(OR(L103="",L119=""),"",+IF(L103&gt;L119,K103,K119))</f>
        <v/>
      </c>
      <c r="N111" s="16"/>
      <c r="O111" s="10"/>
    </row>
    <row r="112" spans="4:15" ht="13" thickBot="1">
      <c r="D112">
        <v>51</v>
      </c>
      <c r="E112" s="10"/>
      <c r="F112" s="11"/>
      <c r="G112" s="10"/>
      <c r="H112" s="10"/>
      <c r="I112" s="10"/>
      <c r="J112" s="10"/>
      <c r="K112" s="10"/>
      <c r="L112" s="14"/>
      <c r="M112" s="10"/>
      <c r="N112" s="10"/>
      <c r="O112" s="10"/>
    </row>
    <row r="113" spans="4:15" ht="13" thickBot="1">
      <c r="E113" s="12"/>
      <c r="F113" s="13" t="s">
        <v>248</v>
      </c>
      <c r="G113" s="9" t="str">
        <f>IF(OR(F112="",F114=""),"",+IF(F112&gt;F114,E112,E114))</f>
        <v/>
      </c>
      <c r="H113" s="17"/>
      <c r="I113" s="10"/>
      <c r="J113" s="10"/>
      <c r="K113" s="10"/>
      <c r="L113" s="14"/>
      <c r="M113" s="10"/>
      <c r="N113" s="10"/>
      <c r="O113" s="10"/>
    </row>
    <row r="114" spans="4:15" ht="13" thickBot="1">
      <c r="D114">
        <v>52</v>
      </c>
      <c r="E114" s="10"/>
      <c r="F114" s="16"/>
      <c r="G114" s="10"/>
      <c r="H114" s="14"/>
      <c r="I114" s="10"/>
      <c r="J114" s="10"/>
      <c r="K114" s="10"/>
      <c r="L114" s="14"/>
      <c r="M114" s="10"/>
      <c r="N114" s="10"/>
      <c r="O114" s="10"/>
    </row>
    <row r="115" spans="4:15" ht="13" thickBot="1">
      <c r="E115" s="12"/>
      <c r="F115" s="10"/>
      <c r="G115" s="10"/>
      <c r="H115" s="14" t="s">
        <v>243</v>
      </c>
      <c r="I115" s="9" t="str">
        <f>IF(OR(H113="",H117=""),"",+IF(H113&gt;H117,G113,G117))</f>
        <v/>
      </c>
      <c r="J115" s="17"/>
      <c r="K115" s="10"/>
      <c r="L115" s="14"/>
      <c r="M115" s="10"/>
      <c r="N115" s="10"/>
      <c r="O115" s="10"/>
    </row>
    <row r="116" spans="4:15" ht="13" thickBot="1">
      <c r="D116">
        <v>53</v>
      </c>
      <c r="E116" s="10"/>
      <c r="F116" s="11"/>
      <c r="G116" s="10"/>
      <c r="H116" s="14"/>
      <c r="I116" s="10"/>
      <c r="J116" s="13"/>
      <c r="K116" s="10"/>
      <c r="L116" s="14"/>
      <c r="M116" s="10"/>
      <c r="N116" s="10"/>
      <c r="O116" s="10"/>
    </row>
    <row r="117" spans="4:15" ht="13" thickBot="1">
      <c r="E117" s="12"/>
      <c r="F117" s="13" t="s">
        <v>250</v>
      </c>
      <c r="G117" s="9" t="str">
        <f>IF(OR(F116="",F118=""),"",+IF(F116&gt;F118,E116,E118))</f>
        <v/>
      </c>
      <c r="H117" s="16"/>
      <c r="I117" s="10"/>
      <c r="J117" s="14"/>
      <c r="K117" s="10"/>
      <c r="L117" s="14"/>
      <c r="M117" s="10"/>
      <c r="N117" s="10"/>
      <c r="O117" s="10"/>
    </row>
    <row r="118" spans="4:15" ht="13" thickBot="1">
      <c r="D118">
        <v>54</v>
      </c>
      <c r="E118" s="10"/>
      <c r="F118" s="16"/>
      <c r="G118" s="10"/>
      <c r="H118" s="10"/>
      <c r="I118" s="10"/>
      <c r="J118" s="14"/>
      <c r="K118" s="10"/>
      <c r="L118" s="14"/>
      <c r="M118" s="10"/>
      <c r="N118" s="10"/>
      <c r="O118" s="10"/>
    </row>
    <row r="119" spans="4:15" ht="13" thickBot="1">
      <c r="E119" s="12"/>
      <c r="F119" s="10"/>
      <c r="G119" s="10"/>
      <c r="H119" s="10"/>
      <c r="I119" s="10"/>
      <c r="J119" s="14" t="s">
        <v>233</v>
      </c>
      <c r="K119" s="9" t="str">
        <f>IF(OR(J115="",J123=""),"",+IF(J115&gt;J123,I115,I123))</f>
        <v/>
      </c>
      <c r="L119" s="16"/>
      <c r="M119" s="10"/>
      <c r="N119" s="10"/>
      <c r="O119" s="10"/>
    </row>
    <row r="120" spans="4:15" ht="13" thickBot="1">
      <c r="D120">
        <v>55</v>
      </c>
      <c r="E120" s="10"/>
      <c r="F120" s="11"/>
      <c r="G120" s="10"/>
      <c r="H120" s="10"/>
      <c r="I120" s="10"/>
      <c r="J120" s="14"/>
      <c r="K120" s="10"/>
      <c r="L120" s="10"/>
      <c r="M120" s="10"/>
      <c r="N120" s="10"/>
      <c r="O120" s="10"/>
    </row>
    <row r="121" spans="4:15" ht="13" thickBot="1">
      <c r="E121" s="12"/>
      <c r="F121" s="13" t="s">
        <v>252</v>
      </c>
      <c r="G121" s="9" t="str">
        <f>IF(OR(F120="",F122=""),"",+IF(F120&gt;F122,E120,E122))</f>
        <v/>
      </c>
      <c r="H121" s="17"/>
      <c r="I121" s="10"/>
      <c r="J121" s="14"/>
      <c r="K121" s="10"/>
      <c r="L121" s="10"/>
      <c r="M121" s="10"/>
      <c r="N121" s="10"/>
      <c r="O121" s="10"/>
    </row>
    <row r="122" spans="4:15" ht="13" thickBot="1">
      <c r="D122">
        <v>56</v>
      </c>
      <c r="E122" s="10"/>
      <c r="F122" s="16"/>
      <c r="G122" s="10"/>
      <c r="H122" s="14"/>
      <c r="I122" s="10"/>
      <c r="J122" s="14"/>
      <c r="K122" s="10"/>
      <c r="L122" s="10"/>
      <c r="M122" s="10"/>
      <c r="N122" s="10"/>
      <c r="O122" s="10"/>
    </row>
    <row r="123" spans="4:15" ht="13" thickBot="1">
      <c r="E123" s="12"/>
      <c r="F123" s="10"/>
      <c r="G123" s="10"/>
      <c r="H123" s="14" t="s">
        <v>247</v>
      </c>
      <c r="I123" s="9" t="str">
        <f>IF(OR(H121="",H125=""),"",+IF(H121&gt;H125,G121,G125))</f>
        <v/>
      </c>
      <c r="J123" s="16"/>
      <c r="K123" s="10"/>
      <c r="L123" s="10"/>
      <c r="M123" s="10"/>
      <c r="N123" s="10"/>
      <c r="O123" s="10"/>
    </row>
    <row r="124" spans="4:15" ht="13" thickBot="1">
      <c r="D124">
        <v>57</v>
      </c>
      <c r="E124" s="10"/>
      <c r="F124" s="11"/>
      <c r="G124" s="10"/>
      <c r="H124" s="14"/>
      <c r="I124" s="10"/>
      <c r="J124" s="10"/>
      <c r="K124" s="10"/>
      <c r="L124" s="10"/>
      <c r="M124" s="10"/>
      <c r="N124" s="10"/>
      <c r="O124" s="10"/>
    </row>
    <row r="125" spans="4:15" ht="13" thickBot="1">
      <c r="E125" s="12"/>
      <c r="F125" s="13" t="s">
        <v>254</v>
      </c>
      <c r="G125" s="9" t="str">
        <f>IF(OR(F124="",F126=""),"",+IF(F124&gt;F126,E124,E126))</f>
        <v/>
      </c>
      <c r="H125" s="16"/>
      <c r="I125" s="10"/>
      <c r="J125" s="10"/>
      <c r="K125" s="10"/>
      <c r="L125" s="10"/>
      <c r="M125" s="10"/>
      <c r="N125" s="10"/>
      <c r="O125" s="10"/>
    </row>
    <row r="126" spans="4:15" ht="13" thickBot="1">
      <c r="D126">
        <v>58</v>
      </c>
      <c r="E126" s="9"/>
      <c r="F126" s="16"/>
      <c r="G126" s="10"/>
      <c r="H126" s="10"/>
      <c r="I126" s="10"/>
      <c r="J126" s="10"/>
      <c r="K126" s="10"/>
      <c r="L126" s="10"/>
      <c r="M126" s="10"/>
      <c r="N126" s="10"/>
      <c r="O126" s="10"/>
    </row>
    <row r="130" spans="5:5">
      <c r="E130" s="23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67"/>
  <dimension ref="D4:AG124"/>
  <sheetViews>
    <sheetView showGridLines="0" topLeftCell="A40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87890625" customWidth="1"/>
    <col min="13" max="13" width="16.41015625" customWidth="1"/>
    <col min="14" max="14" width="4" customWidth="1"/>
    <col min="15" max="15" width="15.64453125" customWidth="1"/>
    <col min="16" max="16" width="4.41015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254</v>
      </c>
      <c r="I9" s="9" t="str">
        <f>IF(OR(H7="",H11=""),"",+IF(H7&gt;H11,G7,G11))</f>
        <v/>
      </c>
      <c r="J9" s="10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/>
      <c r="AE9" s="53" t="e">
        <f>LOOKUP(AD9,T$5:T$78,U$5:U$63)</f>
        <v>#N/A</v>
      </c>
      <c r="AF9" s="37" t="s">
        <v>157</v>
      </c>
      <c r="AG9" s="65" t="e">
        <f>LOOKUP(AD9,T$5:T$78,W$5:W$66)</f>
        <v>#N/A</v>
      </c>
    </row>
    <row r="10" spans="4:33" ht="13" thickBot="1">
      <c r="D10">
        <v>2</v>
      </c>
      <c r="E10" s="10"/>
      <c r="F10" s="11"/>
      <c r="G10" s="10"/>
      <c r="H10" s="14"/>
      <c r="I10" s="12"/>
      <c r="J10" s="15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/>
      <c r="AE10" s="53" t="e">
        <f>LOOKUP(AD10,T$5:T$78,U$5:U$63)</f>
        <v>#N/A</v>
      </c>
      <c r="AF10" s="37" t="s">
        <v>157</v>
      </c>
      <c r="AG10" s="65" t="e">
        <f>LOOKUP(AD10,T$5:T$78,W$5:W$66)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E39</f>
        <v>0</v>
      </c>
      <c r="V11" t="s">
        <v>77</v>
      </c>
      <c r="W11" s="29">
        <f>E41</f>
        <v>0</v>
      </c>
      <c r="Z11" s="34"/>
      <c r="AA11" s="40"/>
      <c r="AB11" s="40"/>
      <c r="AC11" s="38" t="s">
        <v>159</v>
      </c>
      <c r="AD11" s="48"/>
      <c r="AE11" s="53" t="e">
        <f>LOOKUP(AD11,T$5:T$78,U$5:U$63)</f>
        <v>#N/A</v>
      </c>
      <c r="AF11" s="37" t="s">
        <v>157</v>
      </c>
      <c r="AG11" s="65" t="e">
        <f>LOOKUP(AD11,T$5:T$78,W$5:W$66)</f>
        <v>#N/A</v>
      </c>
    </row>
    <row r="12" spans="4:33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E43</f>
        <v>0</v>
      </c>
      <c r="V12" t="s">
        <v>77</v>
      </c>
      <c r="W12" s="29">
        <f>E45</f>
        <v>0</v>
      </c>
      <c r="Z12" s="34"/>
      <c r="AA12" s="40"/>
      <c r="AB12" s="40"/>
      <c r="AC12" s="38" t="s">
        <v>159</v>
      </c>
      <c r="AD12" s="48"/>
      <c r="AE12" s="53" t="e">
        <f>LOOKUP(AD12,T$5:T$78,U$5:U$63)</f>
        <v>#N/A</v>
      </c>
      <c r="AF12" s="37" t="s">
        <v>157</v>
      </c>
      <c r="AG12" s="65" t="e">
        <f>LOOKUP(AD12,T$5:T$78,W$5:W$66)</f>
        <v>#N/A</v>
      </c>
    </row>
    <row r="13" spans="4:33" ht="13" thickBot="1">
      <c r="E13" s="10"/>
      <c r="F13" s="10"/>
      <c r="G13" s="10"/>
      <c r="H13" s="10"/>
      <c r="I13" s="10"/>
      <c r="J13" s="14" t="s">
        <v>247</v>
      </c>
      <c r="K13" s="9" t="str">
        <f>IF(OR(J10="",J17=""),"",+IF(J10&gt;J17,I9,I17))</f>
        <v/>
      </c>
      <c r="L13" s="17"/>
      <c r="M13" s="10"/>
      <c r="N13" s="10"/>
      <c r="O13" s="10"/>
      <c r="T13">
        <v>9</v>
      </c>
      <c r="U13" s="28">
        <f>E47</f>
        <v>0</v>
      </c>
      <c r="V13" t="s">
        <v>77</v>
      </c>
      <c r="W13" s="29">
        <f>E49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E51</f>
        <v>0</v>
      </c>
      <c r="V14" t="s">
        <v>77</v>
      </c>
      <c r="W14" s="29">
        <f>E53</f>
        <v>0</v>
      </c>
      <c r="Z14" s="34"/>
      <c r="AA14" s="40"/>
      <c r="AB14" s="40"/>
      <c r="AC14" s="38" t="s">
        <v>159</v>
      </c>
      <c r="AD14" s="48"/>
      <c r="AE14" s="53" t="e">
        <f>LOOKUP(AD14,T$5:T$78,U$5:U$63)</f>
        <v>#N/A</v>
      </c>
      <c r="AF14" s="37" t="s">
        <v>157</v>
      </c>
      <c r="AG14" s="65" t="e">
        <f>LOOKUP(AD14,T$5:T$78,W$5:W$66)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E55</f>
        <v>0</v>
      </c>
      <c r="V15" t="s">
        <v>77</v>
      </c>
      <c r="W15" s="29">
        <f>E57</f>
        <v>0</v>
      </c>
      <c r="Z15" s="34"/>
      <c r="AA15" s="40"/>
      <c r="AB15" s="40"/>
      <c r="AC15" s="38" t="s">
        <v>159</v>
      </c>
      <c r="AD15" s="48"/>
      <c r="AE15" s="53" t="e">
        <f>LOOKUP(AD15,T$5:T$78,U$5:U$63)</f>
        <v>#N/A</v>
      </c>
      <c r="AF15" s="37" t="s">
        <v>157</v>
      </c>
      <c r="AG15" s="65" t="e">
        <f>LOOKUP(AD15,T$5:T$78,W$5:W$66)</f>
        <v>#N/A</v>
      </c>
    </row>
    <row r="16" spans="4:33" ht="13" thickBot="1">
      <c r="D16">
        <v>5</v>
      </c>
      <c r="E16" s="10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E59</f>
        <v>0</v>
      </c>
      <c r="V16" t="s">
        <v>77</v>
      </c>
      <c r="W16" s="29">
        <f>E61</f>
        <v>0</v>
      </c>
      <c r="Z16" s="34"/>
      <c r="AA16" s="40"/>
      <c r="AB16" s="40"/>
      <c r="AC16" s="38" t="s">
        <v>159</v>
      </c>
      <c r="AD16" s="48"/>
      <c r="AE16" s="53" t="e">
        <f>LOOKUP(AD16,T$5:T$78,U$5:U$63)</f>
        <v>#N/A</v>
      </c>
      <c r="AF16" s="37" t="s">
        <v>157</v>
      </c>
      <c r="AG16" s="65" t="e">
        <f>LOOKUP(AD16,T$5:T$78,W$5:W$66)</f>
        <v>#N/A</v>
      </c>
    </row>
    <row r="17" spans="4:33" ht="13" thickBot="1">
      <c r="E17" s="12"/>
      <c r="F17" s="10"/>
      <c r="G17" s="10"/>
      <c r="H17" s="14" t="s">
        <v>256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E69</f>
        <v>0</v>
      </c>
      <c r="V17" t="s">
        <v>77</v>
      </c>
      <c r="W17" s="29">
        <f>E71</f>
        <v>0</v>
      </c>
      <c r="Z17" s="34"/>
      <c r="AA17" s="40"/>
      <c r="AB17" s="40"/>
      <c r="AC17" s="38" t="s">
        <v>159</v>
      </c>
      <c r="AD17" s="48"/>
      <c r="AE17" s="53" t="e">
        <f>LOOKUP(AD17,T$5:T$78,U$5:U$63)</f>
        <v>#N/A</v>
      </c>
      <c r="AF17" s="37" t="s">
        <v>157</v>
      </c>
      <c r="AG17" s="65" t="e">
        <f>LOOKUP(AD17,T$5:T$78,W$5:W$66)</f>
        <v>#N/A</v>
      </c>
    </row>
    <row r="18" spans="4:33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>
        <f>E73</f>
        <v>0</v>
      </c>
      <c r="V18" t="s">
        <v>77</v>
      </c>
      <c r="W18" s="29">
        <f>E75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>
        <f>E77</f>
        <v>0</v>
      </c>
      <c r="V19" t="s">
        <v>77</v>
      </c>
      <c r="W19" s="29">
        <f>E79</f>
        <v>0</v>
      </c>
      <c r="Z19" s="34"/>
      <c r="AA19" s="40"/>
      <c r="AB19" s="40"/>
      <c r="AC19" s="38" t="s">
        <v>159</v>
      </c>
      <c r="AD19" s="48"/>
      <c r="AE19" s="53" t="e">
        <f>LOOKUP(AD19,T$5:T$78,U$5:U$63)</f>
        <v>#N/A</v>
      </c>
      <c r="AF19" s="37" t="s">
        <v>157</v>
      </c>
      <c r="AG19" s="65" t="e">
        <f>LOOKUP(AD19,T$5:T$78,W$5:W$66)</f>
        <v>#N/A</v>
      </c>
    </row>
    <row r="20" spans="4:33" ht="13" thickBot="1">
      <c r="D20">
        <v>7</v>
      </c>
      <c r="E20" s="10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>
        <f>E81</f>
        <v>0</v>
      </c>
      <c r="V20" t="s">
        <v>77</v>
      </c>
      <c r="W20" s="29">
        <f>E83</f>
        <v>0</v>
      </c>
      <c r="Z20" s="34"/>
      <c r="AA20" s="40"/>
      <c r="AB20" s="40"/>
      <c r="AC20" s="38" t="s">
        <v>159</v>
      </c>
      <c r="AD20" s="48"/>
      <c r="AE20" s="53" t="e">
        <f>LOOKUP(AD20,T$5:T$78,U$5:U$63)</f>
        <v>#N/A</v>
      </c>
      <c r="AF20" s="37" t="s">
        <v>157</v>
      </c>
      <c r="AG20" s="65" t="e">
        <f>LOOKUP(AD20,T$5:T$78,W$5:W$66)</f>
        <v>#N/A</v>
      </c>
    </row>
    <row r="21" spans="4:33" ht="13" thickBot="1">
      <c r="E21" s="12"/>
      <c r="F21" s="10"/>
      <c r="G21" s="10"/>
      <c r="H21" s="10"/>
      <c r="I21" s="10"/>
      <c r="J21" s="10"/>
      <c r="K21" s="10"/>
      <c r="L21" s="14" t="s">
        <v>233</v>
      </c>
      <c r="M21" s="9" t="str">
        <f>IF(OR(L13="",L28=""),"",+IF(L13&gt;L28,K13,K28))</f>
        <v/>
      </c>
      <c r="N21" s="17"/>
      <c r="O21" s="10"/>
      <c r="T21">
        <v>17</v>
      </c>
      <c r="U21" s="28">
        <f>E85</f>
        <v>0</v>
      </c>
      <c r="V21" t="s">
        <v>77</v>
      </c>
      <c r="W21" s="29">
        <f>E87</f>
        <v>0</v>
      </c>
      <c r="Z21" s="34"/>
      <c r="AA21" s="40"/>
      <c r="AB21" s="40"/>
      <c r="AC21" s="38" t="s">
        <v>159</v>
      </c>
      <c r="AD21" s="48"/>
      <c r="AE21" s="53" t="e">
        <f>LOOKUP(AD21,T$5:T$78,U$5:U$63)</f>
        <v>#N/A</v>
      </c>
      <c r="AF21" s="37" t="s">
        <v>157</v>
      </c>
      <c r="AG21" s="65" t="e">
        <f>LOOKUP(AD21,T$5:T$78,W$5:W$66)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>
        <f>E89</f>
        <v>0</v>
      </c>
      <c r="V22" t="s">
        <v>77</v>
      </c>
      <c r="W22" s="29">
        <f>E91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28">
        <f>E98</f>
        <v>0</v>
      </c>
      <c r="V23" t="s">
        <v>77</v>
      </c>
      <c r="W23" s="29">
        <f>E100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28">
        <f>E102</f>
        <v>0</v>
      </c>
      <c r="V24" t="s">
        <v>77</v>
      </c>
      <c r="W24" s="29">
        <f>E104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0"/>
      <c r="G25" s="10"/>
      <c r="H25" s="14" t="s">
        <v>258</v>
      </c>
      <c r="I25" s="9" t="str">
        <f>IF(OR(H23="",H27=""),"",+IF(H23&gt;H27,G23,G27))</f>
        <v/>
      </c>
      <c r="J25" s="17"/>
      <c r="K25" s="10"/>
      <c r="L25" s="14"/>
      <c r="M25" s="10"/>
      <c r="N25" s="14"/>
      <c r="O25" s="10"/>
      <c r="T25">
        <v>21</v>
      </c>
      <c r="U25" s="28">
        <f>E106</f>
        <v>0</v>
      </c>
      <c r="V25" t="s">
        <v>77</v>
      </c>
      <c r="W25" s="29">
        <f>E108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1"/>
      <c r="G26" s="10"/>
      <c r="H26" s="14"/>
      <c r="I26" s="10"/>
      <c r="J26" s="14"/>
      <c r="K26" s="10"/>
      <c r="L26" s="14"/>
      <c r="M26" s="10"/>
      <c r="N26" s="14"/>
      <c r="O26" s="10"/>
      <c r="T26">
        <v>22</v>
      </c>
      <c r="U26" s="28">
        <f>E110</f>
        <v>0</v>
      </c>
      <c r="V26" t="s">
        <v>77</v>
      </c>
      <c r="W26" s="29">
        <f>E112</f>
        <v>0</v>
      </c>
      <c r="Z26" s="34"/>
      <c r="AA26" s="40"/>
      <c r="AB26" s="40"/>
      <c r="AC26" s="38" t="s">
        <v>159</v>
      </c>
      <c r="AD26" s="48"/>
      <c r="AE26" s="53" t="e">
        <f>LOOKUP(AD26,T$5:T$78,U$5:U$63)</f>
        <v>#N/A</v>
      </c>
      <c r="AF26" s="37" t="s">
        <v>157</v>
      </c>
      <c r="AG26" s="65" t="e">
        <f>LOOKUP(AD26,T$5:T$78,W$5:W$66)</f>
        <v>#N/A</v>
      </c>
    </row>
    <row r="27" spans="4:33" ht="13" thickBot="1">
      <c r="E27" s="12"/>
      <c r="F27" s="13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>
        <f>E114</f>
        <v>0</v>
      </c>
      <c r="V27" t="s">
        <v>77</v>
      </c>
      <c r="W27" s="29">
        <f>E116</f>
        <v>0</v>
      </c>
      <c r="Z27" s="34"/>
      <c r="AA27" s="40"/>
      <c r="AB27" s="40"/>
      <c r="AC27" s="38" t="s">
        <v>159</v>
      </c>
      <c r="AD27" s="48"/>
      <c r="AE27" s="53" t="e">
        <f>LOOKUP(AD27,T$5:T$78,U$5:U$63)</f>
        <v>#N/A</v>
      </c>
      <c r="AF27" s="37" t="s">
        <v>157</v>
      </c>
      <c r="AG27" s="65" t="e">
        <f>LOOKUP(AD27,T$5:T$78,W$5:W$66)</f>
        <v>#N/A</v>
      </c>
    </row>
    <row r="28" spans="4:33" ht="13" thickBot="1">
      <c r="D28">
        <v>11</v>
      </c>
      <c r="E28" s="10"/>
      <c r="F28" s="16"/>
      <c r="G28" s="10"/>
      <c r="H28" s="10"/>
      <c r="I28" s="10"/>
      <c r="J28" s="14" t="s">
        <v>251</v>
      </c>
      <c r="K28" s="9" t="str">
        <f>IF(OR(J25="",J33=""),"",+IF(J25&gt;J33,I25,I33))</f>
        <v/>
      </c>
      <c r="L28" s="16"/>
      <c r="M28" s="10"/>
      <c r="N28" s="14"/>
      <c r="O28" s="10"/>
      <c r="T28">
        <v>24</v>
      </c>
      <c r="U28" s="28">
        <f>E118</f>
        <v>0</v>
      </c>
      <c r="V28" t="s">
        <v>77</v>
      </c>
      <c r="W28" s="29">
        <f>E120</f>
        <v>0</v>
      </c>
      <c r="Z28" s="34"/>
      <c r="AA28" s="40"/>
      <c r="AB28" s="40"/>
      <c r="AC28" s="38" t="s">
        <v>159</v>
      </c>
      <c r="AD28" s="48"/>
      <c r="AE28" s="53" t="e">
        <f>LOOKUP(AD28,T$5:T$78,U$5:U$63)</f>
        <v>#N/A</v>
      </c>
      <c r="AF28" s="37" t="s">
        <v>157</v>
      </c>
      <c r="AG28" s="65" t="e">
        <f>LOOKUP(AD28,T$5:T$78,W$5:W$66)</f>
        <v>#N/A</v>
      </c>
    </row>
    <row r="29" spans="4:33">
      <c r="E29" s="12"/>
      <c r="F29" s="10"/>
      <c r="G29" s="10"/>
      <c r="H29" s="10"/>
      <c r="I29" s="10"/>
      <c r="J29" s="14"/>
      <c r="K29" s="10"/>
      <c r="L29" s="10"/>
      <c r="M29" s="10"/>
      <c r="N29" s="14"/>
      <c r="O29" s="10"/>
      <c r="T29">
        <v>25</v>
      </c>
      <c r="U29" s="28">
        <f>E122</f>
        <v>0</v>
      </c>
      <c r="V29" t="s">
        <v>77</v>
      </c>
      <c r="W29" s="29">
        <f>E124</f>
        <v>0</v>
      </c>
      <c r="Z29" s="34"/>
      <c r="AA29" s="40"/>
      <c r="AB29" s="40"/>
      <c r="AC29" s="38" t="s">
        <v>159</v>
      </c>
      <c r="AD29" s="48"/>
      <c r="AE29" s="53" t="e">
        <f>LOOKUP(AD29,T$5:T$78,U$5:U$63)</f>
        <v>#N/A</v>
      </c>
      <c r="AF29" s="37" t="s">
        <v>157</v>
      </c>
      <c r="AG29" s="65" t="e">
        <f>LOOKUP(AD29,T$5:T$78,W$5:W$66)</f>
        <v>#N/A</v>
      </c>
    </row>
    <row r="30" spans="4:33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>
        <f>E7</f>
        <v>0</v>
      </c>
      <c r="V30" t="s">
        <v>77</v>
      </c>
      <c r="W30" s="29" t="s">
        <v>78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2"/>
      <c r="F31" s="13" t="s">
        <v>212</v>
      </c>
      <c r="G31" s="9" t="str">
        <f>IF(OR(F30="",F32=""),"",+IF(F30&gt;F32,E30,E32))</f>
        <v/>
      </c>
      <c r="H31" s="11"/>
      <c r="I31" s="10"/>
      <c r="J31" s="14"/>
      <c r="K31" s="10"/>
      <c r="L31" s="10"/>
      <c r="M31" s="10"/>
      <c r="N31" s="14"/>
      <c r="O31" s="10"/>
      <c r="T31">
        <v>27</v>
      </c>
      <c r="U31" s="28" t="s">
        <v>160</v>
      </c>
      <c r="V31" t="s">
        <v>77</v>
      </c>
      <c r="W31" s="29" t="s">
        <v>161</v>
      </c>
      <c r="Z31" s="34"/>
      <c r="AA31" s="40"/>
      <c r="AB31" s="40"/>
      <c r="AC31" s="38" t="s">
        <v>159</v>
      </c>
      <c r="AD31" s="48"/>
      <c r="AE31" s="53" t="e">
        <f>LOOKUP(AD31,T$5:T$78,U$5:U$63)</f>
        <v>#N/A</v>
      </c>
      <c r="AF31" s="37" t="s">
        <v>157</v>
      </c>
      <c r="AG31" s="65" t="e">
        <f>LOOKUP(AD31,T$5:T$78,W$5:W$66)</f>
        <v>#N/A</v>
      </c>
    </row>
    <row r="32" spans="4:33" ht="13" thickBot="1">
      <c r="D32">
        <v>13</v>
      </c>
      <c r="E32" s="9"/>
      <c r="F32" s="16"/>
      <c r="G32" s="10"/>
      <c r="H32" s="13"/>
      <c r="I32" s="10"/>
      <c r="J32" s="14"/>
      <c r="K32" s="10"/>
      <c r="L32" s="10"/>
      <c r="M32" s="10"/>
      <c r="N32" s="14"/>
      <c r="O32" s="10"/>
      <c r="T32">
        <v>28</v>
      </c>
      <c r="U32" s="28" t="s">
        <v>81</v>
      </c>
      <c r="V32" t="s">
        <v>77</v>
      </c>
      <c r="W32" s="29" t="s">
        <v>162</v>
      </c>
      <c r="Z32" s="34"/>
      <c r="AA32" s="40"/>
      <c r="AB32" s="40"/>
      <c r="AC32" s="38" t="s">
        <v>159</v>
      </c>
      <c r="AD32" s="48"/>
      <c r="AE32" s="53" t="e">
        <f>LOOKUP(AD32,T$5:T$78,U$5:U$63)</f>
        <v>#N/A</v>
      </c>
      <c r="AF32" s="37" t="s">
        <v>157</v>
      </c>
      <c r="AG32" s="65" t="e">
        <f>LOOKUP(AD32,T$5:T$78,W$5:W$66)</f>
        <v>#N/A</v>
      </c>
    </row>
    <row r="33" spans="4:33" ht="13" thickBot="1">
      <c r="E33" s="10"/>
      <c r="F33" s="10"/>
      <c r="G33" s="10"/>
      <c r="H33" s="14" t="s">
        <v>260</v>
      </c>
      <c r="I33" s="9" t="str">
        <f>IF(OR(H31="",H34=""),"",+IF(H31&gt;H34,G31,E34))</f>
        <v/>
      </c>
      <c r="J33" s="16"/>
      <c r="K33" s="10"/>
      <c r="L33" s="10"/>
      <c r="M33" s="10"/>
      <c r="N33" s="14"/>
      <c r="O33" s="10"/>
      <c r="T33">
        <v>29</v>
      </c>
      <c r="U33" s="28" t="s">
        <v>163</v>
      </c>
      <c r="V33" t="s">
        <v>77</v>
      </c>
      <c r="W33" s="29">
        <f>E34</f>
        <v>0</v>
      </c>
      <c r="Z33" s="34"/>
      <c r="AA33" s="40"/>
      <c r="AB33" s="40"/>
      <c r="AC33" s="38" t="s">
        <v>159</v>
      </c>
      <c r="AD33" s="48"/>
      <c r="AE33" s="53" t="e">
        <f>LOOKUP(AD33,T$5:T$78,U$5:U$63)</f>
        <v>#N/A</v>
      </c>
      <c r="AF33" s="37" t="s">
        <v>157</v>
      </c>
      <c r="AG33" s="65" t="e">
        <f>LOOKUP(AD33,T$5:T$78,W$5:W$66)</f>
        <v>#N/A</v>
      </c>
    </row>
    <row r="34" spans="4:33" ht="13" thickBot="1">
      <c r="D34">
        <v>14</v>
      </c>
      <c r="E34" s="9"/>
      <c r="F34" s="9"/>
      <c r="G34" s="9">
        <f>E34</f>
        <v>0</v>
      </c>
      <c r="H34" s="16"/>
      <c r="I34" s="10"/>
      <c r="J34" s="10"/>
      <c r="K34" s="10"/>
      <c r="L34" s="10"/>
      <c r="M34" s="10"/>
      <c r="N34" s="14"/>
      <c r="O34" s="10"/>
      <c r="T34">
        <v>30</v>
      </c>
      <c r="U34" s="28">
        <f>E36</f>
        <v>0</v>
      </c>
      <c r="V34" t="s">
        <v>77</v>
      </c>
      <c r="W34" s="29" t="s">
        <v>84</v>
      </c>
      <c r="Z34" s="34"/>
      <c r="AA34" s="40"/>
      <c r="AB34" s="40"/>
      <c r="AC34" s="38" t="s">
        <v>159</v>
      </c>
      <c r="AD34" s="48"/>
      <c r="AE34" s="53" t="e">
        <f>LOOKUP(AD34,T$5:T$78,U$5:U$63)</f>
        <v>#N/A</v>
      </c>
      <c r="AF34" s="37" t="s">
        <v>157</v>
      </c>
      <c r="AG34" s="65" t="e">
        <f>LOOKUP(AD34,T$5:T$78,W$5:W$66)</f>
        <v>#N/A</v>
      </c>
    </row>
    <row r="35" spans="4:33" ht="13" thickBot="1">
      <c r="E35" s="10"/>
      <c r="F35" s="10"/>
      <c r="G35" s="10"/>
      <c r="H35" s="10"/>
      <c r="I35" s="10"/>
      <c r="J35" s="10"/>
      <c r="K35" s="10"/>
      <c r="L35" s="10"/>
      <c r="M35" s="10"/>
      <c r="N35" s="14" t="s">
        <v>207</v>
      </c>
      <c r="O35" s="9" t="str">
        <f>IF(OR(N21="",N50=""),"",+IF(N21&gt;N50,M21,M50))</f>
        <v/>
      </c>
      <c r="P35" s="7"/>
      <c r="T35">
        <v>31</v>
      </c>
      <c r="U35" s="28" t="s">
        <v>164</v>
      </c>
      <c r="V35" t="s">
        <v>77</v>
      </c>
      <c r="W35" s="29" t="s">
        <v>200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10"/>
      <c r="F36" s="9"/>
      <c r="G36" s="9">
        <f>E36</f>
        <v>0</v>
      </c>
      <c r="H36" s="11"/>
      <c r="I36" s="10"/>
      <c r="J36" s="10"/>
      <c r="K36" s="10"/>
      <c r="L36" s="10"/>
      <c r="M36" s="10"/>
      <c r="N36" s="14"/>
      <c r="O36" s="10"/>
      <c r="Q36" s="8"/>
      <c r="T36">
        <v>32</v>
      </c>
      <c r="U36" s="28" t="s">
        <v>87</v>
      </c>
      <c r="V36" t="s">
        <v>77</v>
      </c>
      <c r="W36" s="29" t="s">
        <v>88</v>
      </c>
      <c r="Z36" s="34"/>
      <c r="AA36" s="40"/>
      <c r="AB36" s="40"/>
      <c r="AC36" s="38" t="s">
        <v>159</v>
      </c>
      <c r="AD36" s="48"/>
      <c r="AE36" s="53" t="e">
        <f>LOOKUP(AD36,T$5:T$78,U$5:U$63)</f>
        <v>#N/A</v>
      </c>
      <c r="AF36" s="37" t="s">
        <v>157</v>
      </c>
      <c r="AG36" s="65" t="e">
        <f>LOOKUP(AD36,T$5:T$78,W$5:W$66)</f>
        <v>#N/A</v>
      </c>
    </row>
    <row r="37" spans="4:33">
      <c r="E37" s="12"/>
      <c r="F37" s="10"/>
      <c r="G37" s="10"/>
      <c r="H37" s="13"/>
      <c r="I37" s="10"/>
      <c r="J37" s="10"/>
      <c r="K37" s="10"/>
      <c r="L37" s="10"/>
      <c r="M37" s="10"/>
      <c r="N37" s="14"/>
      <c r="O37" s="10"/>
      <c r="Q37" s="8"/>
      <c r="T37">
        <v>33</v>
      </c>
      <c r="U37" s="28" t="s">
        <v>89</v>
      </c>
      <c r="V37" t="s">
        <v>77</v>
      </c>
      <c r="W37" s="29">
        <f>E63</f>
        <v>0</v>
      </c>
      <c r="Z37" s="34"/>
      <c r="AA37" s="40"/>
      <c r="AB37" s="40"/>
      <c r="AC37" s="38" t="s">
        <v>159</v>
      </c>
      <c r="AD37" s="48"/>
      <c r="AE37" s="53" t="e">
        <f>LOOKUP(AD37,T$5:T$78,U$5:U$63)</f>
        <v>#N/A</v>
      </c>
      <c r="AF37" s="37" t="s">
        <v>157</v>
      </c>
      <c r="AG37" s="65" t="e">
        <f>LOOKUP(AD37,T$5:T$78,W$5:W$66)</f>
        <v>#N/A</v>
      </c>
    </row>
    <row r="38" spans="4:33" ht="13" thickBot="1">
      <c r="E38" s="10"/>
      <c r="F38" s="10"/>
      <c r="G38" s="10"/>
      <c r="H38" s="14" t="s">
        <v>201</v>
      </c>
      <c r="I38" s="9" t="str">
        <f>IF(OR(H36="",H40=""),"",+IF(H36&gt;H40,G36,G40))</f>
        <v/>
      </c>
      <c r="J38" s="10"/>
      <c r="K38" s="10"/>
      <c r="L38" s="10"/>
      <c r="M38" s="10"/>
      <c r="N38" s="14"/>
      <c r="O38" s="10"/>
      <c r="Q38" s="8"/>
      <c r="T38">
        <v>34</v>
      </c>
      <c r="U38" s="28">
        <f>E66</f>
        <v>0</v>
      </c>
      <c r="V38" t="s">
        <v>77</v>
      </c>
      <c r="W38" s="29" t="s">
        <v>90</v>
      </c>
      <c r="Z38" s="34"/>
      <c r="AA38" s="40"/>
      <c r="AB38" s="40"/>
      <c r="AC38" s="38" t="s">
        <v>159</v>
      </c>
      <c r="AD38" s="48"/>
      <c r="AE38" s="53" t="e">
        <f>LOOKUP(AD38,T$5:T$78,U$5:U$63)</f>
        <v>#N/A</v>
      </c>
      <c r="AF38" s="37" t="s">
        <v>157</v>
      </c>
      <c r="AG38" s="65" t="e">
        <f>LOOKUP(AD38,T$5:T$78,W$5:W$66)</f>
        <v>#N/A</v>
      </c>
    </row>
    <row r="39" spans="4:33" ht="13" thickBot="1">
      <c r="D39">
        <v>16</v>
      </c>
      <c r="E39" s="10"/>
      <c r="F39" s="11"/>
      <c r="G39" s="10"/>
      <c r="H39" s="14"/>
      <c r="I39" s="12"/>
      <c r="J39" s="15"/>
      <c r="K39" s="10"/>
      <c r="L39" s="10"/>
      <c r="M39" s="10"/>
      <c r="N39" s="14"/>
      <c r="O39" s="10"/>
      <c r="Q39" s="8"/>
      <c r="T39">
        <v>35</v>
      </c>
      <c r="U39" s="28" t="s">
        <v>91</v>
      </c>
      <c r="V39" t="s">
        <v>77</v>
      </c>
      <c r="W39" s="29" t="s">
        <v>92</v>
      </c>
      <c r="Z39" s="34"/>
      <c r="AA39" s="33"/>
      <c r="AB39" s="33"/>
      <c r="AC39" s="33"/>
      <c r="AD39" s="50"/>
      <c r="AE39" s="64" t="e">
        <f>LOOKUP(AD39,T$5:T$78,U$5:U$63)</f>
        <v>#N/A</v>
      </c>
      <c r="AF39" s="33"/>
      <c r="AG39" s="59"/>
    </row>
    <row r="40" spans="4:33" ht="13" thickBot="1">
      <c r="E40" s="12"/>
      <c r="F40" s="13" t="s">
        <v>214</v>
      </c>
      <c r="G40" s="9" t="str">
        <f>IF(OR(F39="",F41=""),"",+IF(F39&gt;F41,E39,E41))</f>
        <v/>
      </c>
      <c r="H40" s="16"/>
      <c r="I40" s="10"/>
      <c r="J40" s="14"/>
      <c r="K40" s="10"/>
      <c r="L40" s="10"/>
      <c r="M40" s="10"/>
      <c r="N40" s="14"/>
      <c r="O40" s="10"/>
      <c r="Q40" s="8"/>
      <c r="T40">
        <v>36</v>
      </c>
      <c r="U40" s="28" t="s">
        <v>165</v>
      </c>
      <c r="V40" t="s">
        <v>77</v>
      </c>
      <c r="W40" s="29" t="s">
        <v>94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9"/>
      <c r="F41" s="16"/>
      <c r="G41" s="10"/>
      <c r="H41" s="10"/>
      <c r="I41" s="10"/>
      <c r="J41" s="14"/>
      <c r="K41" s="10"/>
      <c r="L41" s="10"/>
      <c r="M41" s="10"/>
      <c r="N41" s="14"/>
      <c r="O41" s="10"/>
      <c r="Q41" s="8"/>
      <c r="T41">
        <v>37</v>
      </c>
      <c r="U41" s="28" t="s">
        <v>95</v>
      </c>
      <c r="V41" t="s">
        <v>77</v>
      </c>
      <c r="W41" s="29">
        <f>E93</f>
        <v>0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0"/>
      <c r="F42" s="10"/>
      <c r="G42" s="10"/>
      <c r="H42" s="10"/>
      <c r="I42" s="10"/>
      <c r="J42" s="14" t="s">
        <v>255</v>
      </c>
      <c r="K42" s="9" t="str">
        <f>IF(OR(J39="",J46=""),"",+IF(J39&gt;J46,I38,I46))</f>
        <v/>
      </c>
      <c r="L42" s="17"/>
      <c r="M42" s="10"/>
      <c r="N42" s="14"/>
      <c r="O42" s="10"/>
      <c r="Q42" s="8"/>
      <c r="T42">
        <v>38</v>
      </c>
      <c r="U42" s="28">
        <f>E95</f>
        <v>0</v>
      </c>
      <c r="V42" t="s">
        <v>77</v>
      </c>
      <c r="W42" s="29" t="s">
        <v>96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10"/>
      <c r="F43" s="11"/>
      <c r="G43" s="10"/>
      <c r="H43" s="10"/>
      <c r="I43" s="10"/>
      <c r="J43" s="14"/>
      <c r="K43" s="10"/>
      <c r="L43" s="13"/>
      <c r="M43" s="10"/>
      <c r="N43" s="14"/>
      <c r="O43" s="10"/>
      <c r="Q43" s="8"/>
      <c r="T43">
        <v>39</v>
      </c>
      <c r="U43" s="28" t="s">
        <v>97</v>
      </c>
      <c r="V43" t="s">
        <v>77</v>
      </c>
      <c r="W43" s="29" t="s">
        <v>98</v>
      </c>
      <c r="Z43" s="34"/>
      <c r="AA43" s="40"/>
      <c r="AB43" s="40"/>
      <c r="AC43" s="38" t="s">
        <v>159</v>
      </c>
      <c r="AD43" s="48"/>
      <c r="AE43" s="53" t="e">
        <f>LOOKUP(AD43,T$5:T$78,U$5:U$63)</f>
        <v>#N/A</v>
      </c>
      <c r="AF43" s="37" t="s">
        <v>157</v>
      </c>
      <c r="AG43" s="65" t="e">
        <f>LOOKUP(AD43,T$5:T$78,W$5:W$66)</f>
        <v>#N/A</v>
      </c>
    </row>
    <row r="44" spans="4:33" ht="13" thickBot="1">
      <c r="E44" s="12"/>
      <c r="F44" s="13" t="s">
        <v>217</v>
      </c>
      <c r="G44" s="9" t="str">
        <f>IF(OR(F43="",F45=""),"",+IF(F43&gt;F45,E43,E45))</f>
        <v/>
      </c>
      <c r="H44" s="17"/>
      <c r="I44" s="10"/>
      <c r="J44" s="14"/>
      <c r="K44" s="10"/>
      <c r="L44" s="14"/>
      <c r="M44" s="10"/>
      <c r="N44" s="14"/>
      <c r="O44" s="10"/>
      <c r="Q44" s="8"/>
      <c r="T44">
        <v>40</v>
      </c>
      <c r="U44" s="28" t="s">
        <v>99</v>
      </c>
      <c r="V44" t="s">
        <v>77</v>
      </c>
      <c r="W44" s="29" t="s">
        <v>100</v>
      </c>
      <c r="Z44" s="34"/>
      <c r="AA44" s="40"/>
      <c r="AB44" s="40"/>
      <c r="AC44" s="38" t="s">
        <v>159</v>
      </c>
      <c r="AD44" s="48"/>
      <c r="AE44" s="53" t="e">
        <f>LOOKUP(AD44,T$5:T$78,U$5:U$63)</f>
        <v>#N/A</v>
      </c>
      <c r="AF44" s="37" t="s">
        <v>157</v>
      </c>
      <c r="AG44" s="65" t="e">
        <f>LOOKUP(AD44,T$5:T$78,W$5:W$66)</f>
        <v>#N/A</v>
      </c>
    </row>
    <row r="45" spans="4:33" ht="13" thickBot="1">
      <c r="D45">
        <v>19</v>
      </c>
      <c r="E45" s="10"/>
      <c r="F45" s="16"/>
      <c r="G45" s="10"/>
      <c r="H45" s="14"/>
      <c r="I45" s="10"/>
      <c r="J45" s="14"/>
      <c r="K45" s="10"/>
      <c r="L45" s="14"/>
      <c r="M45" s="10"/>
      <c r="N45" s="14"/>
      <c r="O45" s="10"/>
      <c r="Q45" s="8"/>
      <c r="T45">
        <v>41</v>
      </c>
      <c r="U45" s="28" t="s">
        <v>101</v>
      </c>
      <c r="V45" t="s">
        <v>77</v>
      </c>
      <c r="W45" s="29" t="s">
        <v>102</v>
      </c>
      <c r="Z45" s="34"/>
      <c r="AA45" s="40"/>
      <c r="AB45" s="40"/>
      <c r="AC45" s="38" t="s">
        <v>159</v>
      </c>
      <c r="AD45" s="48"/>
      <c r="AE45" s="53" t="e">
        <f>LOOKUP(AD45,T$5:T$78,U$5:U$63)</f>
        <v>#N/A</v>
      </c>
      <c r="AF45" s="37" t="s">
        <v>157</v>
      </c>
      <c r="AG45" s="65" t="e">
        <f>LOOKUP(AD45,T$5:T$78,W$5:W$66)</f>
        <v>#N/A</v>
      </c>
    </row>
    <row r="46" spans="4:33" ht="13" thickBot="1">
      <c r="E46" s="12"/>
      <c r="F46" s="10"/>
      <c r="G46" s="10"/>
      <c r="H46" s="14" t="s">
        <v>205</v>
      </c>
      <c r="I46" s="9" t="str">
        <f>IF(OR(H44="",H48=""),"",+IF(H44&gt;H48,G44,G48))</f>
        <v/>
      </c>
      <c r="J46" s="16"/>
      <c r="K46" s="10"/>
      <c r="L46" s="14"/>
      <c r="M46" s="10"/>
      <c r="N46" s="14"/>
      <c r="O46" s="10"/>
      <c r="Q46" s="8"/>
      <c r="T46">
        <v>42</v>
      </c>
      <c r="U46" s="28" t="s">
        <v>103</v>
      </c>
      <c r="V46" t="s">
        <v>77</v>
      </c>
      <c r="W46" s="29" t="s">
        <v>104</v>
      </c>
      <c r="Z46" s="34"/>
      <c r="AA46" s="40"/>
      <c r="AB46" s="40"/>
      <c r="AC46" s="38" t="s">
        <v>159</v>
      </c>
      <c r="AD46" s="48"/>
      <c r="AE46" s="53" t="e">
        <f>LOOKUP(AD46,T$5:T$78,U$5:U$63)</f>
        <v>#N/A</v>
      </c>
      <c r="AF46" s="37" t="s">
        <v>157</v>
      </c>
      <c r="AG46" s="65" t="e">
        <f>LOOKUP(AD46,T$5:T$78,W$5:W$66)</f>
        <v>#N/A</v>
      </c>
    </row>
    <row r="47" spans="4:33" ht="13" thickBot="1">
      <c r="D47">
        <v>20</v>
      </c>
      <c r="E47" s="10"/>
      <c r="F47" s="11"/>
      <c r="G47" s="10"/>
      <c r="H47" s="14"/>
      <c r="I47" s="10"/>
      <c r="J47" s="10"/>
      <c r="K47" s="10"/>
      <c r="L47" s="14"/>
      <c r="M47" s="10"/>
      <c r="N47" s="14"/>
      <c r="O47" s="10"/>
      <c r="Q47" s="8"/>
      <c r="T47">
        <v>43</v>
      </c>
      <c r="U47" s="28" t="s">
        <v>105</v>
      </c>
      <c r="V47" t="s">
        <v>77</v>
      </c>
      <c r="W47" s="29" t="s">
        <v>106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3" t="s">
        <v>219</v>
      </c>
      <c r="G48" s="9" t="str">
        <f>IF(OR(F47="",F49=""),"",+IF(F47&gt;F49,E47,E49))</f>
        <v/>
      </c>
      <c r="H48" s="16"/>
      <c r="I48" s="10"/>
      <c r="J48" s="10"/>
      <c r="K48" s="10"/>
      <c r="L48" s="14"/>
      <c r="M48" s="10"/>
      <c r="N48" s="14"/>
      <c r="O48" s="10"/>
      <c r="Q48" s="8"/>
      <c r="T48">
        <v>44</v>
      </c>
      <c r="U48" s="28" t="s">
        <v>107</v>
      </c>
      <c r="V48" t="s">
        <v>77</v>
      </c>
      <c r="W48" s="29" t="s">
        <v>108</v>
      </c>
      <c r="Z48" s="34"/>
      <c r="AA48" s="40"/>
      <c r="AB48" s="40"/>
      <c r="AC48" s="38" t="s">
        <v>159</v>
      </c>
      <c r="AD48" s="48"/>
      <c r="AE48" s="53" t="e">
        <f>LOOKUP(AD48,T$5:T$78,U$5:U$63)</f>
        <v>#N/A</v>
      </c>
      <c r="AF48" s="37" t="s">
        <v>157</v>
      </c>
      <c r="AG48" s="65" t="e">
        <f>LOOKUP(AD48,T$5:T$78,W$5:W$66)</f>
        <v>#N/A</v>
      </c>
    </row>
    <row r="49" spans="4:33" ht="13" thickBot="1">
      <c r="D49">
        <v>21</v>
      </c>
      <c r="E49" s="10"/>
      <c r="F49" s="16"/>
      <c r="G49" s="10"/>
      <c r="H49" s="10"/>
      <c r="I49" s="10"/>
      <c r="J49" s="10"/>
      <c r="K49" s="10"/>
      <c r="L49" s="14"/>
      <c r="M49" s="10"/>
      <c r="N49" s="14"/>
      <c r="O49" s="10"/>
      <c r="Q49" s="8"/>
      <c r="T49">
        <v>45</v>
      </c>
      <c r="U49" s="28" t="s">
        <v>109</v>
      </c>
      <c r="V49" t="s">
        <v>77</v>
      </c>
      <c r="W49" s="29" t="s">
        <v>110</v>
      </c>
      <c r="Z49" s="34"/>
      <c r="AA49" s="40"/>
      <c r="AB49" s="40"/>
      <c r="AC49" s="38" t="s">
        <v>159</v>
      </c>
      <c r="AD49" s="48"/>
      <c r="AE49" s="53" t="e">
        <f>LOOKUP(AD49,T$5:T$78,U$5:U$63)</f>
        <v>#N/A</v>
      </c>
      <c r="AF49" s="37" t="s">
        <v>157</v>
      </c>
      <c r="AG49" s="65" t="e">
        <f>LOOKUP(AD49,T$5:T$78,W$5:W$66)</f>
        <v>#N/A</v>
      </c>
    </row>
    <row r="50" spans="4:33" ht="13" thickBot="1">
      <c r="E50" s="12"/>
      <c r="F50" s="10"/>
      <c r="G50" s="10"/>
      <c r="H50" s="10"/>
      <c r="I50" s="10"/>
      <c r="J50" s="10"/>
      <c r="K50" s="10"/>
      <c r="L50" s="14" t="s">
        <v>241</v>
      </c>
      <c r="M50" s="9" t="str">
        <f>IF(OR(L42="",L57=""),"",+IF(L42&gt;L57,K42,K57))</f>
        <v/>
      </c>
      <c r="N50" s="16"/>
      <c r="O50" s="10"/>
      <c r="Q50" s="8"/>
      <c r="T50">
        <v>46</v>
      </c>
      <c r="U50" s="28" t="s">
        <v>111</v>
      </c>
      <c r="V50" t="s">
        <v>77</v>
      </c>
      <c r="W50" s="29" t="s">
        <v>112</v>
      </c>
      <c r="Z50" s="34"/>
      <c r="AA50" s="40"/>
      <c r="AB50" s="40"/>
      <c r="AC50" s="38" t="s">
        <v>159</v>
      </c>
      <c r="AD50" s="48"/>
      <c r="AE50" s="53" t="e">
        <f>LOOKUP(AD50,T$5:T$78,U$5:U$63)</f>
        <v>#N/A</v>
      </c>
      <c r="AF50" s="37" t="s">
        <v>157</v>
      </c>
      <c r="AG50" s="65" t="e">
        <f>LOOKUP(AD50,T$5:T$78,W$5:W$66)</f>
        <v>#N/A</v>
      </c>
    </row>
    <row r="51" spans="4:33" ht="13" thickBot="1">
      <c r="D51">
        <v>22</v>
      </c>
      <c r="E51" s="10"/>
      <c r="F51" s="11"/>
      <c r="G51" s="10"/>
      <c r="H51" s="10"/>
      <c r="I51" s="10"/>
      <c r="J51" s="10"/>
      <c r="K51" s="10"/>
      <c r="L51" s="14"/>
      <c r="M51" s="10"/>
      <c r="N51" s="10"/>
      <c r="O51" s="10"/>
      <c r="Q51" s="8"/>
      <c r="T51">
        <v>47</v>
      </c>
      <c r="U51" s="28" t="s">
        <v>113</v>
      </c>
      <c r="V51" t="s">
        <v>77</v>
      </c>
      <c r="W51" s="29" t="s">
        <v>114</v>
      </c>
      <c r="Z51" s="34"/>
      <c r="AA51" s="40"/>
      <c r="AB51" s="40"/>
      <c r="AC51" s="38" t="s">
        <v>159</v>
      </c>
      <c r="AD51" s="48"/>
      <c r="AE51" s="53" t="e">
        <f>LOOKUP(AD51,T$5:T$78,U$5:U$63)</f>
        <v>#N/A</v>
      </c>
      <c r="AF51" s="37" t="s">
        <v>157</v>
      </c>
      <c r="AG51" s="65" t="e">
        <f>LOOKUP(AD51,T$5:T$78,W$5:W$66)</f>
        <v>#N/A</v>
      </c>
    </row>
    <row r="52" spans="4:33" ht="13" thickBot="1">
      <c r="E52" s="12"/>
      <c r="F52" s="13" t="s">
        <v>221</v>
      </c>
      <c r="G52" s="9" t="str">
        <f>IF(OR(F51="",F53=""),"",+IF(F51&gt;F53,E51,E53))</f>
        <v/>
      </c>
      <c r="H52" s="17"/>
      <c r="I52" s="10"/>
      <c r="J52" s="10"/>
      <c r="K52" s="10"/>
      <c r="L52" s="14"/>
      <c r="M52" s="10"/>
      <c r="N52" s="10"/>
      <c r="O52" s="10"/>
      <c r="Q52" s="8"/>
      <c r="T52">
        <v>48</v>
      </c>
      <c r="U52" s="28" t="s">
        <v>115</v>
      </c>
      <c r="V52" t="s">
        <v>77</v>
      </c>
      <c r="W52" s="29" t="s">
        <v>116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10"/>
      <c r="F53" s="16"/>
      <c r="G53" s="10"/>
      <c r="H53" s="14"/>
      <c r="I53" s="10"/>
      <c r="J53" s="10"/>
      <c r="K53" s="10"/>
      <c r="L53" s="14"/>
      <c r="M53" s="10"/>
      <c r="N53" s="10"/>
      <c r="O53" s="10"/>
      <c r="Q53" s="8"/>
      <c r="T53">
        <v>49</v>
      </c>
      <c r="U53" s="28" t="s">
        <v>117</v>
      </c>
      <c r="V53" t="s">
        <v>77</v>
      </c>
      <c r="W53" s="29" t="s">
        <v>118</v>
      </c>
      <c r="Z53" s="34"/>
      <c r="AA53" s="40"/>
      <c r="AB53" s="40"/>
      <c r="AC53" s="38" t="s">
        <v>159</v>
      </c>
      <c r="AD53" s="48"/>
      <c r="AE53" s="53" t="e">
        <f>LOOKUP(AD53,T$5:T$78,U$5:U$63)</f>
        <v>#N/A</v>
      </c>
      <c r="AF53" s="37" t="s">
        <v>157</v>
      </c>
      <c r="AG53" s="65" t="e">
        <f>LOOKUP(AD53,T$5:T$78,W$5:W$66)</f>
        <v>#N/A</v>
      </c>
    </row>
    <row r="54" spans="4:33" ht="13" thickBot="1">
      <c r="E54" s="12"/>
      <c r="F54" s="10"/>
      <c r="G54" s="10"/>
      <c r="H54" s="14" t="s">
        <v>209</v>
      </c>
      <c r="I54" s="9" t="str">
        <f>IF(OR(H52="",H56=""),"",+IF(H52&gt;H56,G52,G56))</f>
        <v/>
      </c>
      <c r="J54" s="17"/>
      <c r="K54" s="10"/>
      <c r="L54" s="14"/>
      <c r="M54" s="10"/>
      <c r="N54" s="10"/>
      <c r="O54" s="10"/>
      <c r="Q54" s="8"/>
      <c r="T54">
        <v>50</v>
      </c>
      <c r="U54" s="28" t="s">
        <v>119</v>
      </c>
      <c r="V54" t="s">
        <v>77</v>
      </c>
      <c r="W54" s="29" t="s">
        <v>120</v>
      </c>
      <c r="Z54" s="34"/>
      <c r="AA54" s="40"/>
      <c r="AB54" s="40"/>
      <c r="AC54" s="38" t="s">
        <v>159</v>
      </c>
      <c r="AD54" s="48"/>
      <c r="AE54" s="53" t="e">
        <f>LOOKUP(AD54,T$5:T$78,U$5:U$63)</f>
        <v>#N/A</v>
      </c>
      <c r="AF54" s="37" t="s">
        <v>157</v>
      </c>
      <c r="AG54" s="65" t="e">
        <f>LOOKUP(AD54,T$5:T$78,W$5:W$66)</f>
        <v>#N/A</v>
      </c>
    </row>
    <row r="55" spans="4:33" ht="13" thickBot="1">
      <c r="D55">
        <v>24</v>
      </c>
      <c r="E55" s="10"/>
      <c r="F55" s="11"/>
      <c r="G55" s="10"/>
      <c r="H55" s="14"/>
      <c r="I55" s="10"/>
      <c r="J55" s="14"/>
      <c r="K55" s="10"/>
      <c r="L55" s="14"/>
      <c r="M55" s="10"/>
      <c r="N55" s="10"/>
      <c r="O55" s="10"/>
      <c r="Q55" s="8"/>
      <c r="T55">
        <v>51</v>
      </c>
      <c r="U55" s="28" t="s">
        <v>121</v>
      </c>
      <c r="V55" t="s">
        <v>77</v>
      </c>
      <c r="W55" s="29" t="s">
        <v>122</v>
      </c>
      <c r="Z55" s="34"/>
      <c r="AA55" s="40"/>
      <c r="AB55" s="40"/>
      <c r="AC55" s="38" t="s">
        <v>159</v>
      </c>
      <c r="AD55" s="48"/>
      <c r="AE55" s="53" t="e">
        <f>LOOKUP(AD55,T$5:T$78,U$5:U$63)</f>
        <v>#N/A</v>
      </c>
      <c r="AF55" s="37" t="s">
        <v>157</v>
      </c>
      <c r="AG55" s="65" t="e">
        <f>LOOKUP(AD55,T$5:T$78,W$5:W$66)</f>
        <v>#N/A</v>
      </c>
    </row>
    <row r="56" spans="4:33" ht="13" thickBot="1">
      <c r="E56" s="12"/>
      <c r="F56" s="13" t="s">
        <v>223</v>
      </c>
      <c r="G56" s="9" t="str">
        <f>IF(OR(F55="",F57=""),"",+IF(F55&gt;F57,E55,E57))</f>
        <v/>
      </c>
      <c r="H56" s="16"/>
      <c r="I56" s="10"/>
      <c r="J56" s="14"/>
      <c r="K56" s="10"/>
      <c r="L56" s="14"/>
      <c r="M56" s="10"/>
      <c r="N56" s="10"/>
      <c r="O56" s="10"/>
      <c r="Q56" s="8"/>
      <c r="T56">
        <v>52</v>
      </c>
      <c r="U56" s="28" t="s">
        <v>123</v>
      </c>
      <c r="V56" t="s">
        <v>77</v>
      </c>
      <c r="W56" s="29" t="s">
        <v>124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10"/>
      <c r="F57" s="16"/>
      <c r="G57" s="10"/>
      <c r="H57" s="10"/>
      <c r="I57" s="10"/>
      <c r="J57" s="14" t="s">
        <v>259</v>
      </c>
      <c r="K57" s="9" t="str">
        <f>IF(OR(J54="",J62=""),"",+IF(J54&gt;J62,I54,I62))</f>
        <v/>
      </c>
      <c r="L57" s="16"/>
      <c r="M57" s="10"/>
      <c r="N57" s="10"/>
      <c r="O57" s="10"/>
      <c r="Q57" s="8"/>
      <c r="T57">
        <v>53</v>
      </c>
      <c r="U57" s="28" t="s">
        <v>125</v>
      </c>
      <c r="V57" t="s">
        <v>77</v>
      </c>
      <c r="W57" s="29" t="s">
        <v>126</v>
      </c>
    </row>
    <row r="58" spans="4:33">
      <c r="E58" s="12"/>
      <c r="F58" s="10"/>
      <c r="G58" s="10"/>
      <c r="H58" s="10"/>
      <c r="I58" s="10"/>
      <c r="J58" s="14"/>
      <c r="K58" s="10"/>
      <c r="L58" s="10"/>
      <c r="M58" s="10"/>
      <c r="N58" s="10"/>
      <c r="O58" s="10"/>
      <c r="Q58" s="8"/>
      <c r="T58">
        <v>54</v>
      </c>
      <c r="U58" s="28" t="s">
        <v>127</v>
      </c>
      <c r="V58" t="s">
        <v>77</v>
      </c>
      <c r="W58" s="29" t="s">
        <v>130</v>
      </c>
    </row>
    <row r="59" spans="4:33" ht="13" thickBot="1">
      <c r="D59">
        <v>26</v>
      </c>
      <c r="E59" s="10"/>
      <c r="F59" s="11"/>
      <c r="G59" s="10"/>
      <c r="H59" s="10"/>
      <c r="I59" s="10"/>
      <c r="J59" s="14"/>
      <c r="K59" s="10"/>
      <c r="L59" s="10"/>
      <c r="M59" s="10"/>
      <c r="N59" s="10"/>
      <c r="O59" s="10"/>
      <c r="Q59" s="8"/>
      <c r="T59">
        <v>55</v>
      </c>
      <c r="U59" s="28" t="s">
        <v>128</v>
      </c>
      <c r="V59" t="s">
        <v>77</v>
      </c>
      <c r="W59" s="29" t="s">
        <v>129</v>
      </c>
    </row>
    <row r="60" spans="4:33" ht="13" thickBot="1">
      <c r="E60" s="12"/>
      <c r="F60" s="13" t="s">
        <v>225</v>
      </c>
      <c r="G60" s="9" t="str">
        <f>IF(OR(F59="",F61=""),"",+IF(F59&gt;F61,E59,E61))</f>
        <v/>
      </c>
      <c r="H60" s="11"/>
      <c r="I60" s="10"/>
      <c r="J60" s="14"/>
      <c r="K60" s="10"/>
      <c r="L60" s="10"/>
      <c r="M60" s="10"/>
      <c r="N60" s="10"/>
      <c r="O60" s="10"/>
      <c r="Q60" s="8"/>
      <c r="T60">
        <v>56</v>
      </c>
      <c r="U60" s="28" t="s">
        <v>131</v>
      </c>
      <c r="V60" t="s">
        <v>77</v>
      </c>
      <c r="W60" s="29" t="s">
        <v>132</v>
      </c>
    </row>
    <row r="61" spans="4:33" ht="13" thickBot="1">
      <c r="D61">
        <v>27</v>
      </c>
      <c r="E61" s="69"/>
      <c r="F61" s="16"/>
      <c r="G61" s="10"/>
      <c r="H61" s="13"/>
      <c r="I61" s="10"/>
      <c r="J61" s="14"/>
      <c r="K61" s="10"/>
      <c r="L61" s="10"/>
      <c r="M61" s="10"/>
      <c r="N61" s="10"/>
      <c r="O61" s="10"/>
      <c r="Q61" s="8"/>
      <c r="U61" s="29"/>
    </row>
    <row r="62" spans="4:33" ht="13" thickBot="1">
      <c r="E62" s="10"/>
      <c r="F62" s="10"/>
      <c r="G62" s="10"/>
      <c r="H62" s="14" t="s">
        <v>213</v>
      </c>
      <c r="I62" s="9" t="str">
        <f>IF(OR(H60="",H63=""),"",+IF(H60&gt;H63,G60,E63))</f>
        <v/>
      </c>
      <c r="J62" s="16"/>
      <c r="K62" s="10"/>
      <c r="L62" s="10"/>
      <c r="M62" s="10"/>
      <c r="N62" s="10"/>
      <c r="O62" s="10"/>
      <c r="Q62" s="8"/>
      <c r="W62" s="28"/>
    </row>
    <row r="63" spans="4:33" ht="13" thickBot="1">
      <c r="D63">
        <v>28</v>
      </c>
      <c r="E63" s="9"/>
      <c r="F63" s="9"/>
      <c r="G63" s="9">
        <f>E63</f>
        <v>0</v>
      </c>
      <c r="H63" s="16"/>
      <c r="I63" s="10"/>
      <c r="J63" s="10"/>
      <c r="K63" s="10"/>
      <c r="L63" s="10"/>
      <c r="M63" s="10"/>
      <c r="N63" s="10"/>
      <c r="O63" s="10"/>
      <c r="Q63" s="8"/>
    </row>
    <row r="64" spans="4:33"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Q64" s="8"/>
    </row>
    <row r="65" spans="4:19" ht="13" thickBot="1"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t="s">
        <v>237</v>
      </c>
      <c r="Q65" s="27"/>
      <c r="R65" s="7"/>
      <c r="S65" s="7"/>
    </row>
    <row r="66" spans="4:19" ht="13" thickBot="1">
      <c r="D66">
        <v>29</v>
      </c>
      <c r="E66" s="10"/>
      <c r="F66" s="9"/>
      <c r="G66" s="9">
        <f>E66</f>
        <v>0</v>
      </c>
      <c r="H66" s="11"/>
      <c r="I66" s="10"/>
      <c r="J66" s="10"/>
      <c r="K66" s="10"/>
      <c r="L66" s="10"/>
      <c r="M66" s="10"/>
      <c r="N66" s="10"/>
      <c r="O66" s="10"/>
      <c r="Q66" s="8"/>
    </row>
    <row r="67" spans="4:19">
      <c r="E67" s="12"/>
      <c r="F67" s="10"/>
      <c r="G67" s="10"/>
      <c r="H67" s="13"/>
      <c r="I67" s="10"/>
      <c r="J67" s="10"/>
      <c r="K67" s="10"/>
      <c r="L67" s="10"/>
      <c r="M67" s="10"/>
      <c r="N67" s="10"/>
      <c r="O67" s="10"/>
      <c r="Q67" s="8"/>
    </row>
    <row r="68" spans="4:19" ht="13" thickBot="1">
      <c r="E68" s="10"/>
      <c r="F68" s="10"/>
      <c r="G68" s="10"/>
      <c r="H68" s="14" t="s">
        <v>216</v>
      </c>
      <c r="I68" s="9" t="str">
        <f>IF(OR(H66="",H70=""),"",+IF(H66&gt;H70,G66,G70))</f>
        <v/>
      </c>
      <c r="J68" s="10"/>
      <c r="K68" s="10"/>
      <c r="L68" s="10"/>
      <c r="M68" s="10"/>
      <c r="N68" s="10"/>
      <c r="O68" s="10"/>
      <c r="Q68" s="8"/>
    </row>
    <row r="69" spans="4:19" ht="13" thickBot="1">
      <c r="D69">
        <v>30</v>
      </c>
      <c r="E69" s="10"/>
      <c r="F69" s="11"/>
      <c r="G69" s="10"/>
      <c r="H69" s="14"/>
      <c r="I69" s="12"/>
      <c r="J69" s="15"/>
      <c r="K69" s="10"/>
      <c r="L69" s="10"/>
      <c r="M69" s="10"/>
      <c r="N69" s="10"/>
      <c r="O69" s="10"/>
      <c r="Q69" s="8"/>
    </row>
    <row r="70" spans="4:19" ht="13" thickBot="1">
      <c r="E70" s="12"/>
      <c r="F70" s="13" t="s">
        <v>227</v>
      </c>
      <c r="G70" s="9" t="str">
        <f>IF(OR(F69="",F71=""),"",+IF(F69&gt;F71,E69,E71))</f>
        <v/>
      </c>
      <c r="H70" s="16"/>
      <c r="I70" s="10"/>
      <c r="J70" s="14"/>
      <c r="K70" s="10"/>
      <c r="L70" s="10"/>
      <c r="M70" s="10"/>
      <c r="N70" s="10"/>
      <c r="O70" s="10"/>
      <c r="Q70" s="8"/>
    </row>
    <row r="71" spans="4:19" ht="13" thickBot="1">
      <c r="D71">
        <v>31</v>
      </c>
      <c r="E71" s="9"/>
      <c r="F71" s="16"/>
      <c r="G71" s="10"/>
      <c r="H71" s="10"/>
      <c r="I71" s="10"/>
      <c r="J71" s="14"/>
      <c r="K71" s="10"/>
      <c r="L71" s="10"/>
      <c r="M71" s="10"/>
      <c r="N71" s="10"/>
      <c r="O71" s="10"/>
      <c r="Q71" s="8"/>
    </row>
    <row r="72" spans="4:19" ht="13" thickBot="1">
      <c r="E72" s="10"/>
      <c r="F72" s="10"/>
      <c r="G72" s="10"/>
      <c r="H72" s="10"/>
      <c r="I72" s="10"/>
      <c r="J72" s="14" t="s">
        <v>203</v>
      </c>
      <c r="K72" s="9" t="str">
        <f>IF(OR(J69="",J76=""),"",+IF(J69&gt;J76,I68,I76))</f>
        <v/>
      </c>
      <c r="L72" s="17"/>
      <c r="M72" s="10"/>
      <c r="N72" s="10"/>
      <c r="O72" s="10"/>
      <c r="Q72" s="8"/>
    </row>
    <row r="73" spans="4:19" ht="13" thickBot="1">
      <c r="D73">
        <v>32</v>
      </c>
      <c r="E73" s="10"/>
      <c r="F73" s="11"/>
      <c r="G73" s="10"/>
      <c r="H73" s="10"/>
      <c r="I73" s="10"/>
      <c r="J73" s="14"/>
      <c r="K73" s="10"/>
      <c r="L73" s="13"/>
      <c r="M73" s="10"/>
      <c r="N73" s="10"/>
      <c r="O73" s="10"/>
      <c r="Q73" s="8"/>
    </row>
    <row r="74" spans="4:19" ht="13" thickBot="1">
      <c r="E74" s="12"/>
      <c r="F74" s="13" t="s">
        <v>229</v>
      </c>
      <c r="G74" s="9" t="str">
        <f>IF(OR(F73="",F75=""),"",+IF(F73&gt;F75,E73,E75))</f>
        <v/>
      </c>
      <c r="H74" s="17"/>
      <c r="I74" s="10"/>
      <c r="J74" s="14"/>
      <c r="K74" s="10"/>
      <c r="L74" s="14"/>
      <c r="M74" s="10"/>
      <c r="N74" s="10"/>
      <c r="O74" s="10"/>
      <c r="Q74" s="8"/>
    </row>
    <row r="75" spans="4:19" ht="13" thickBot="1">
      <c r="D75">
        <v>33</v>
      </c>
      <c r="E75" s="10"/>
      <c r="F75" s="16"/>
      <c r="G75" s="10"/>
      <c r="H75" s="14"/>
      <c r="I75" s="10"/>
      <c r="J75" s="14"/>
      <c r="K75" s="10"/>
      <c r="L75" s="14"/>
      <c r="M75" s="10"/>
      <c r="N75" s="10"/>
      <c r="O75" s="10"/>
      <c r="Q75" s="8"/>
    </row>
    <row r="76" spans="4:19" ht="13" thickBot="1">
      <c r="E76" s="12"/>
      <c r="F76" s="10"/>
      <c r="G76" s="10"/>
      <c r="H76" s="14" t="s">
        <v>220</v>
      </c>
      <c r="I76" s="9" t="str">
        <f>IF(OR(H74="",H78=""),"",+IF(H74&gt;H78,G74,G78))</f>
        <v/>
      </c>
      <c r="J76" s="16"/>
      <c r="K76" s="10"/>
      <c r="L76" s="14"/>
      <c r="M76" s="10"/>
      <c r="N76" s="10"/>
      <c r="O76" s="10"/>
      <c r="Q76" s="8"/>
    </row>
    <row r="77" spans="4:19" ht="13" thickBot="1">
      <c r="D77">
        <v>34</v>
      </c>
      <c r="E77" s="10"/>
      <c r="F77" s="11"/>
      <c r="G77" s="10"/>
      <c r="H77" s="14"/>
      <c r="I77" s="10"/>
      <c r="J77" s="10"/>
      <c r="K77" s="10"/>
      <c r="L77" s="14"/>
      <c r="M77" s="10"/>
      <c r="N77" s="10"/>
      <c r="O77" s="10"/>
      <c r="Q77" s="8"/>
    </row>
    <row r="78" spans="4:19" ht="13" thickBot="1">
      <c r="E78" s="12"/>
      <c r="F78" s="13" t="s">
        <v>232</v>
      </c>
      <c r="G78" s="9" t="str">
        <f>IF(OR(F77="",F79=""),"",+IF(F77&gt;F79,E77,E79))</f>
        <v/>
      </c>
      <c r="H78" s="16"/>
      <c r="I78" s="10"/>
      <c r="J78" s="10"/>
      <c r="K78" s="10"/>
      <c r="L78" s="14"/>
      <c r="M78" s="10"/>
      <c r="N78" s="10"/>
      <c r="O78" s="10"/>
      <c r="Q78" s="8"/>
    </row>
    <row r="79" spans="4:19" ht="13" thickBot="1">
      <c r="D79">
        <v>35</v>
      </c>
      <c r="E79" s="10"/>
      <c r="F79" s="16"/>
      <c r="G79" s="10"/>
      <c r="H79" s="10"/>
      <c r="I79" s="10"/>
      <c r="J79" s="10"/>
      <c r="K79" s="10"/>
      <c r="L79" s="14"/>
      <c r="M79" s="10"/>
      <c r="N79" s="10"/>
      <c r="O79" s="10"/>
      <c r="Q79" s="8"/>
    </row>
    <row r="80" spans="4:19" ht="13" thickBot="1">
      <c r="E80" s="12"/>
      <c r="F80" s="10"/>
      <c r="G80" s="10"/>
      <c r="H80" s="10"/>
      <c r="I80" s="10"/>
      <c r="J80" s="10"/>
      <c r="K80" s="10"/>
      <c r="L80" s="14" t="s">
        <v>249</v>
      </c>
      <c r="M80" s="9" t="str">
        <f>IF(OR(L72="",L87=""),"",+IF(L72&gt;L87,K72,K87))</f>
        <v/>
      </c>
      <c r="N80" s="17"/>
      <c r="O80" s="10"/>
      <c r="Q80" s="8"/>
    </row>
    <row r="81" spans="4:17" ht="13" thickBot="1">
      <c r="D81">
        <v>36</v>
      </c>
      <c r="E81" s="10"/>
      <c r="F81" s="11"/>
      <c r="G81" s="10"/>
      <c r="H81" s="10"/>
      <c r="I81" s="10"/>
      <c r="J81" s="10"/>
      <c r="K81" s="10"/>
      <c r="L81" s="14"/>
      <c r="M81" s="10"/>
      <c r="N81" s="14"/>
      <c r="O81" s="10"/>
      <c r="Q81" s="8"/>
    </row>
    <row r="82" spans="4:17" ht="13" thickBot="1">
      <c r="E82" s="12"/>
      <c r="F82" s="13" t="s">
        <v>234</v>
      </c>
      <c r="G82" s="9" t="str">
        <f>IF(OR(F81="",F83=""),"",+IF(F81&gt;F83,E81,E83))</f>
        <v/>
      </c>
      <c r="H82" s="17"/>
      <c r="I82" s="10"/>
      <c r="J82" s="10"/>
      <c r="K82" s="10"/>
      <c r="L82" s="14"/>
      <c r="M82" s="10"/>
      <c r="N82" s="14"/>
      <c r="O82" s="10"/>
      <c r="Q82" s="8"/>
    </row>
    <row r="83" spans="4:17" ht="13" thickBot="1">
      <c r="D83">
        <v>37</v>
      </c>
      <c r="E83" s="10"/>
      <c r="F83" s="16"/>
      <c r="G83" s="10"/>
      <c r="H83" s="14"/>
      <c r="I83" s="10"/>
      <c r="J83" s="10"/>
      <c r="K83" s="10"/>
      <c r="L83" s="14"/>
      <c r="M83" s="10"/>
      <c r="N83" s="14"/>
      <c r="O83" s="10"/>
      <c r="Q83" s="8"/>
    </row>
    <row r="84" spans="4:17" ht="13" thickBot="1">
      <c r="E84" s="12"/>
      <c r="F84" s="10"/>
      <c r="G84" s="10"/>
      <c r="H84" s="14" t="s">
        <v>224</v>
      </c>
      <c r="I84" s="9" t="str">
        <f>IF(OR(H82="",H86=""),"",+IF(H82&gt;H86,G82,G86))</f>
        <v/>
      </c>
      <c r="J84" s="17"/>
      <c r="K84" s="10"/>
      <c r="L84" s="14"/>
      <c r="M84" s="10"/>
      <c r="N84" s="14"/>
      <c r="O84" s="10"/>
      <c r="Q84" s="8"/>
    </row>
    <row r="85" spans="4:17" ht="13" thickBot="1">
      <c r="D85">
        <v>38</v>
      </c>
      <c r="E85" s="10"/>
      <c r="F85" s="11"/>
      <c r="G85" s="10"/>
      <c r="H85" s="14"/>
      <c r="I85" s="10"/>
      <c r="J85" s="14"/>
      <c r="K85" s="10"/>
      <c r="L85" s="14"/>
      <c r="M85" s="10"/>
      <c r="N85" s="14"/>
      <c r="O85" s="10"/>
      <c r="Q85" s="8"/>
    </row>
    <row r="86" spans="4:17" ht="13" thickBot="1">
      <c r="E86" s="12"/>
      <c r="F86" s="13" t="s">
        <v>236</v>
      </c>
      <c r="G86" s="9" t="str">
        <f>IF(OR(F85="",F87=""),"",+IF(F85&gt;F87,E85,E87))</f>
        <v/>
      </c>
      <c r="H86" s="16"/>
      <c r="I86" s="10"/>
      <c r="J86" s="14"/>
      <c r="K86" s="10"/>
      <c r="L86" s="14"/>
      <c r="M86" s="10"/>
      <c r="N86" s="14"/>
      <c r="O86" s="10"/>
      <c r="Q86" s="8"/>
    </row>
    <row r="87" spans="4:17" ht="13" thickBot="1">
      <c r="D87">
        <v>39</v>
      </c>
      <c r="E87" s="10"/>
      <c r="F87" s="16"/>
      <c r="G87" s="10"/>
      <c r="H87" s="10"/>
      <c r="I87" s="10"/>
      <c r="J87" s="14" t="s">
        <v>211</v>
      </c>
      <c r="K87" s="9" t="str">
        <f>IF(OR(J84="",J92=""),"",+IF(J84&gt;J92,I84,I92))</f>
        <v/>
      </c>
      <c r="L87" s="16"/>
      <c r="M87" s="10"/>
      <c r="N87" s="14"/>
      <c r="O87" s="10"/>
      <c r="Q87" s="8"/>
    </row>
    <row r="88" spans="4:17">
      <c r="E88" s="12"/>
      <c r="F88" s="10"/>
      <c r="G88" s="10"/>
      <c r="H88" s="10"/>
      <c r="I88" s="10"/>
      <c r="J88" s="14"/>
      <c r="K88" s="10"/>
      <c r="L88" s="10"/>
      <c r="M88" s="10"/>
      <c r="N88" s="14"/>
      <c r="O88" s="10"/>
      <c r="Q88" s="8"/>
    </row>
    <row r="89" spans="4:17" ht="13" thickBot="1">
      <c r="D89">
        <v>40</v>
      </c>
      <c r="E89" s="10"/>
      <c r="F89" s="11"/>
      <c r="G89" s="10"/>
      <c r="H89" s="10"/>
      <c r="I89" s="10"/>
      <c r="J89" s="14"/>
      <c r="K89" s="10"/>
      <c r="L89" s="10"/>
      <c r="M89" s="10"/>
      <c r="N89" s="14"/>
      <c r="O89" s="10"/>
      <c r="Q89" s="8"/>
    </row>
    <row r="90" spans="4:17" ht="13" thickBot="1">
      <c r="E90" s="12"/>
      <c r="F90" s="13" t="s">
        <v>238</v>
      </c>
      <c r="G90" s="9" t="str">
        <f>IF(OR(F89="",F91=""),"",+IF(F89&gt;F91,E89,E91))</f>
        <v/>
      </c>
      <c r="H90" s="11"/>
      <c r="I90" s="10"/>
      <c r="J90" s="14"/>
      <c r="K90" s="10"/>
      <c r="L90" s="10"/>
      <c r="M90" s="10"/>
      <c r="N90" s="14"/>
      <c r="O90" s="10"/>
      <c r="Q90" s="8"/>
    </row>
    <row r="91" spans="4:17" ht="13" thickBot="1">
      <c r="D91">
        <v>41</v>
      </c>
      <c r="E91" s="9"/>
      <c r="F91" s="16"/>
      <c r="G91" s="10"/>
      <c r="H91" s="13"/>
      <c r="I91" s="10"/>
      <c r="J91" s="14"/>
      <c r="K91" s="10"/>
      <c r="L91" s="10"/>
      <c r="M91" s="10"/>
      <c r="N91" s="14"/>
      <c r="O91" s="10"/>
      <c r="Q91" s="8"/>
    </row>
    <row r="92" spans="4:17" ht="13" thickBot="1">
      <c r="E92" s="10"/>
      <c r="F92" s="10"/>
      <c r="G92" s="10"/>
      <c r="H92" s="14" t="s">
        <v>228</v>
      </c>
      <c r="I92" s="9" t="str">
        <f>IF(OR(H90="",H93=""),"",+IF(H90&gt;H93,G90,E93))</f>
        <v/>
      </c>
      <c r="J92" s="16"/>
      <c r="K92" s="10"/>
      <c r="L92" s="10"/>
      <c r="M92" s="10"/>
      <c r="N92" s="14"/>
      <c r="O92" s="10"/>
      <c r="Q92" s="8"/>
    </row>
    <row r="93" spans="4:17" ht="13" thickBot="1">
      <c r="D93">
        <v>42</v>
      </c>
      <c r="E93" s="9"/>
      <c r="F93" s="9"/>
      <c r="G93" s="9">
        <f>E93</f>
        <v>0</v>
      </c>
      <c r="H93" s="16"/>
      <c r="I93" s="10"/>
      <c r="J93" s="10"/>
      <c r="K93" s="10"/>
      <c r="L93" s="10"/>
      <c r="M93" s="10"/>
      <c r="N93" s="14"/>
      <c r="O93" s="10"/>
      <c r="Q93" s="8"/>
    </row>
    <row r="94" spans="4:17" ht="13" thickBot="1">
      <c r="E94" s="10"/>
      <c r="F94" s="10"/>
      <c r="G94" s="10"/>
      <c r="H94" s="10"/>
      <c r="I94" s="10"/>
      <c r="J94" s="10"/>
      <c r="K94" s="10"/>
      <c r="L94" s="10"/>
      <c r="M94" s="10"/>
      <c r="N94" s="14" t="s">
        <v>222</v>
      </c>
      <c r="O94" s="9" t="str">
        <f>IF(OR(N80="",N109=""),"",+IF(N80&gt;N109,M80,M109))</f>
        <v/>
      </c>
      <c r="P94" s="7"/>
      <c r="Q94" s="8"/>
    </row>
    <row r="95" spans="4:17" ht="13" thickBot="1">
      <c r="D95">
        <v>43</v>
      </c>
      <c r="E95" s="24"/>
      <c r="F95" s="9"/>
      <c r="G95" s="9">
        <f>E95</f>
        <v>0</v>
      </c>
      <c r="H95" s="11"/>
      <c r="I95" s="10"/>
      <c r="J95" s="10"/>
      <c r="K95" s="10"/>
      <c r="L95" s="10"/>
      <c r="M95" s="10"/>
      <c r="N95" s="14"/>
      <c r="O95" s="10"/>
    </row>
    <row r="96" spans="4:17">
      <c r="E96" s="12"/>
      <c r="F96" s="10"/>
      <c r="G96" s="10"/>
      <c r="H96" s="13"/>
      <c r="I96" s="10"/>
      <c r="J96" s="10"/>
      <c r="K96" s="10"/>
      <c r="L96" s="10"/>
      <c r="M96" s="10"/>
      <c r="N96" s="14"/>
      <c r="O96" s="10"/>
    </row>
    <row r="97" spans="4:15" ht="13" thickBot="1">
      <c r="E97" s="10"/>
      <c r="F97" s="10"/>
      <c r="G97" s="10"/>
      <c r="H97" s="14" t="s">
        <v>231</v>
      </c>
      <c r="I97" s="9" t="str">
        <f>IF(OR(H95="",H99=""),"",+IF(H95&gt;H99,G95,G99))</f>
        <v/>
      </c>
      <c r="J97" s="10"/>
      <c r="K97" s="10"/>
      <c r="L97" s="10"/>
      <c r="M97" s="10"/>
      <c r="N97" s="14"/>
      <c r="O97" s="10"/>
    </row>
    <row r="98" spans="4:15" ht="13" thickBot="1">
      <c r="D98">
        <v>44</v>
      </c>
      <c r="E98" s="10"/>
      <c r="F98" s="11"/>
      <c r="G98" s="10"/>
      <c r="H98" s="14"/>
      <c r="I98" s="12"/>
      <c r="J98" s="15"/>
      <c r="K98" s="10"/>
      <c r="L98" s="10"/>
      <c r="M98" s="10"/>
      <c r="N98" s="14"/>
      <c r="O98" s="10"/>
    </row>
    <row r="99" spans="4:15" ht="13" thickBot="1">
      <c r="E99" s="12"/>
      <c r="F99" s="13" t="s">
        <v>240</v>
      </c>
      <c r="G99" s="9" t="str">
        <f>IF(OR(F98="",F100=""),"",+IF(F98&gt;F100,E98,E100))</f>
        <v/>
      </c>
      <c r="H99" s="16"/>
      <c r="I99" s="10"/>
      <c r="J99" s="14"/>
      <c r="K99" s="10"/>
      <c r="L99" s="10"/>
      <c r="M99" s="10"/>
      <c r="N99" s="14"/>
      <c r="O99" s="10"/>
    </row>
    <row r="100" spans="4:15" ht="13" thickBot="1">
      <c r="D100">
        <v>45</v>
      </c>
      <c r="E100" s="9"/>
      <c r="F100" s="16"/>
      <c r="G100" s="10"/>
      <c r="H100" s="10"/>
      <c r="I100" s="10"/>
      <c r="J100" s="14"/>
      <c r="K100" s="10"/>
      <c r="L100" s="10"/>
      <c r="M100" s="10"/>
      <c r="N100" s="14"/>
      <c r="O100" s="10"/>
    </row>
    <row r="101" spans="4:15" ht="13" thickBot="1">
      <c r="E101" s="10"/>
      <c r="F101" s="10"/>
      <c r="G101" s="10"/>
      <c r="H101" s="10"/>
      <c r="I101" s="10"/>
      <c r="J101" s="14" t="s">
        <v>218</v>
      </c>
      <c r="K101" s="9" t="str">
        <f>IF(OR(J98="",J105=""),"",+IF(J98&gt;J105,I97,I105))</f>
        <v/>
      </c>
      <c r="L101" s="17"/>
      <c r="M101" s="10"/>
      <c r="N101" s="14"/>
      <c r="O101" s="10"/>
    </row>
    <row r="102" spans="4:15" ht="13" thickBot="1">
      <c r="D102">
        <v>46</v>
      </c>
      <c r="E102" s="10"/>
      <c r="F102" s="11"/>
      <c r="G102" s="10"/>
      <c r="H102" s="10"/>
      <c r="I102" s="10"/>
      <c r="J102" s="14"/>
      <c r="K102" s="10"/>
      <c r="L102" s="13"/>
      <c r="M102" s="10"/>
      <c r="N102" s="14"/>
      <c r="O102" s="10"/>
    </row>
    <row r="103" spans="4:15" ht="13" thickBot="1">
      <c r="E103" s="12"/>
      <c r="F103" s="13" t="s">
        <v>242</v>
      </c>
      <c r="G103" s="9" t="str">
        <f>IF(OR(F102="",F104=""),"",+IF(F102&gt;F104,E102,E104))</f>
        <v/>
      </c>
      <c r="H103" s="17"/>
      <c r="I103" s="10"/>
      <c r="J103" s="14"/>
      <c r="K103" s="10"/>
      <c r="L103" s="14"/>
      <c r="M103" s="10"/>
      <c r="N103" s="14"/>
      <c r="O103" s="10"/>
    </row>
    <row r="104" spans="4:15" ht="13" thickBot="1">
      <c r="D104">
        <v>47</v>
      </c>
      <c r="E104" s="10"/>
      <c r="F104" s="16"/>
      <c r="G104" s="10"/>
      <c r="H104" s="14"/>
      <c r="I104" s="10"/>
      <c r="J104" s="14"/>
      <c r="K104" s="10"/>
      <c r="L104" s="14"/>
      <c r="M104" s="10"/>
      <c r="N104" s="14"/>
      <c r="O104" s="10"/>
    </row>
    <row r="105" spans="4:15" ht="13" thickBot="1">
      <c r="E105" s="12"/>
      <c r="F105" s="10"/>
      <c r="G105" s="10"/>
      <c r="H105" s="14" t="s">
        <v>235</v>
      </c>
      <c r="I105" s="9" t="str">
        <f>IF(OR(H103="",H107=""),"",+IF(H103&gt;H107,G103,G107))</f>
        <v/>
      </c>
      <c r="J105" s="16"/>
      <c r="K105" s="10"/>
      <c r="L105" s="14"/>
      <c r="M105" s="10"/>
      <c r="N105" s="14"/>
      <c r="O105" s="10"/>
    </row>
    <row r="106" spans="4:15" ht="13" thickBot="1">
      <c r="D106">
        <v>48</v>
      </c>
      <c r="E106" s="10"/>
      <c r="F106" s="11"/>
      <c r="G106" s="10"/>
      <c r="H106" s="14"/>
      <c r="I106" s="10"/>
      <c r="J106" s="10"/>
      <c r="K106" s="10"/>
      <c r="L106" s="14"/>
      <c r="M106" s="10"/>
      <c r="N106" s="14"/>
      <c r="O106" s="10"/>
    </row>
    <row r="107" spans="4:15" ht="13" thickBot="1">
      <c r="E107" s="12"/>
      <c r="F107" s="13" t="s">
        <v>244</v>
      </c>
      <c r="G107" s="9" t="str">
        <f>IF(OR(F106="",F108=""),"",+IF(F106&gt;F108,E106,E108))</f>
        <v/>
      </c>
      <c r="H107" s="16"/>
      <c r="I107" s="10"/>
      <c r="J107" s="10"/>
      <c r="K107" s="10"/>
      <c r="L107" s="14"/>
      <c r="M107" s="10"/>
      <c r="N107" s="14"/>
      <c r="O107" s="10"/>
    </row>
    <row r="108" spans="4:15" ht="13" thickBot="1">
      <c r="D108">
        <v>49</v>
      </c>
      <c r="E108" s="10"/>
      <c r="F108" s="16"/>
      <c r="G108" s="10"/>
      <c r="H108" s="10"/>
      <c r="I108" s="10"/>
      <c r="J108" s="10"/>
      <c r="K108" s="10"/>
      <c r="L108" s="14"/>
      <c r="M108" s="10"/>
      <c r="N108" s="14"/>
      <c r="O108" s="10"/>
    </row>
    <row r="109" spans="4:15" ht="13" thickBot="1">
      <c r="E109" s="12"/>
      <c r="F109" s="10"/>
      <c r="G109" s="10"/>
      <c r="H109" s="10"/>
      <c r="I109" s="10"/>
      <c r="J109" s="10"/>
      <c r="K109" s="10"/>
      <c r="L109" s="14" t="s">
        <v>257</v>
      </c>
      <c r="M109" s="9" t="str">
        <f>IF(OR(L101="",L117=""),"",+IF(L101&gt;L117,K101,K117))</f>
        <v/>
      </c>
      <c r="N109" s="16"/>
      <c r="O109" s="10"/>
    </row>
    <row r="110" spans="4:15" ht="13" thickBot="1">
      <c r="D110">
        <v>50</v>
      </c>
      <c r="E110" s="10"/>
      <c r="F110" s="11"/>
      <c r="G110" s="10"/>
      <c r="H110" s="10"/>
      <c r="I110" s="10"/>
      <c r="J110" s="10"/>
      <c r="K110" s="10"/>
      <c r="L110" s="14"/>
      <c r="M110" s="10"/>
      <c r="N110" s="10"/>
      <c r="O110" s="10"/>
    </row>
    <row r="111" spans="4:15" ht="13" thickBot="1">
      <c r="E111" s="12"/>
      <c r="F111" s="13" t="s">
        <v>246</v>
      </c>
      <c r="G111" s="9" t="str">
        <f>IF(OR(F110="",F112=""),"",+IF(F110&gt;F112,E110,E112))</f>
        <v/>
      </c>
      <c r="H111" s="17"/>
      <c r="I111" s="10"/>
      <c r="J111" s="10"/>
      <c r="K111" s="10"/>
      <c r="L111" s="14"/>
      <c r="M111" s="10"/>
      <c r="N111" s="10"/>
      <c r="O111" s="10"/>
    </row>
    <row r="112" spans="4:15" ht="13" thickBot="1">
      <c r="D112">
        <v>51</v>
      </c>
      <c r="E112" s="10"/>
      <c r="F112" s="16"/>
      <c r="G112" s="10"/>
      <c r="H112" s="14"/>
      <c r="I112" s="10"/>
      <c r="J112" s="10"/>
      <c r="K112" s="10"/>
      <c r="L112" s="14"/>
      <c r="M112" s="10"/>
      <c r="N112" s="10"/>
      <c r="O112" s="10"/>
    </row>
    <row r="113" spans="4:15" ht="13" thickBot="1">
      <c r="E113" s="12"/>
      <c r="F113" s="10"/>
      <c r="G113" s="10"/>
      <c r="H113" s="14" t="s">
        <v>239</v>
      </c>
      <c r="I113" s="9" t="str">
        <f>IF(OR(H111="",H115=""),"",+IF(H111&gt;H115,G111,G115))</f>
        <v/>
      </c>
      <c r="J113" s="17"/>
      <c r="K113" s="10"/>
      <c r="L113" s="14"/>
      <c r="M113" s="10"/>
      <c r="N113" s="10"/>
      <c r="O113" s="10"/>
    </row>
    <row r="114" spans="4:15" ht="13" thickBot="1">
      <c r="D114">
        <v>52</v>
      </c>
      <c r="E114" s="10"/>
      <c r="F114" s="11"/>
      <c r="G114" s="10"/>
      <c r="H114" s="14"/>
      <c r="I114" s="10"/>
      <c r="J114" s="13"/>
      <c r="K114" s="10"/>
      <c r="L114" s="14"/>
      <c r="M114" s="10"/>
      <c r="N114" s="10"/>
      <c r="O114" s="10"/>
    </row>
    <row r="115" spans="4:15" ht="13" thickBot="1">
      <c r="E115" s="12"/>
      <c r="F115" s="13" t="s">
        <v>248</v>
      </c>
      <c r="G115" s="9" t="str">
        <f>IF(OR(F114="",F116=""),"",+IF(F114&gt;F116,E114,E116))</f>
        <v/>
      </c>
      <c r="H115" s="16"/>
      <c r="I115" s="10"/>
      <c r="J115" s="14"/>
      <c r="K115" s="10"/>
      <c r="L115" s="14"/>
      <c r="M115" s="10"/>
      <c r="N115" s="10"/>
      <c r="O115" s="10"/>
    </row>
    <row r="116" spans="4:15" ht="13" thickBot="1">
      <c r="D116">
        <v>53</v>
      </c>
      <c r="E116" s="10"/>
      <c r="F116" s="16"/>
      <c r="G116" s="10"/>
      <c r="H116" s="10"/>
      <c r="I116" s="10"/>
      <c r="J116" s="14"/>
      <c r="K116" s="10"/>
      <c r="L116" s="14"/>
      <c r="M116" s="10"/>
      <c r="N116" s="10"/>
      <c r="O116" s="10"/>
    </row>
    <row r="117" spans="4:15" ht="13" thickBot="1">
      <c r="E117" s="12"/>
      <c r="F117" s="10"/>
      <c r="G117" s="10"/>
      <c r="H117" s="10"/>
      <c r="I117" s="10"/>
      <c r="J117" s="14" t="s">
        <v>226</v>
      </c>
      <c r="K117" s="9" t="str">
        <f>IF(OR(J113="",J121=""),"",+IF(J113&gt;J121,I113,I121))</f>
        <v/>
      </c>
      <c r="L117" s="16"/>
      <c r="M117" s="10"/>
      <c r="N117" s="10"/>
      <c r="O117" s="10"/>
    </row>
    <row r="118" spans="4:15" ht="13" thickBot="1">
      <c r="D118">
        <v>54</v>
      </c>
      <c r="E118" s="10"/>
      <c r="F118" s="11"/>
      <c r="G118" s="10"/>
      <c r="H118" s="10"/>
      <c r="I118" s="10"/>
      <c r="J118" s="14"/>
      <c r="K118" s="10"/>
      <c r="L118" s="10"/>
      <c r="M118" s="10"/>
      <c r="N118" s="10"/>
      <c r="O118" s="10"/>
    </row>
    <row r="119" spans="4:15" ht="13" thickBot="1">
      <c r="E119" s="12"/>
      <c r="F119" s="13" t="s">
        <v>250</v>
      </c>
      <c r="G119" s="9" t="str">
        <f>IF(OR(F118="",F120=""),"",+IF(F118&gt;F120,E118,E120))</f>
        <v/>
      </c>
      <c r="H119" s="17"/>
      <c r="I119" s="10"/>
      <c r="J119" s="14"/>
      <c r="K119" s="10"/>
      <c r="L119" s="10"/>
      <c r="M119" s="10"/>
      <c r="N119" s="10"/>
      <c r="O119" s="10"/>
    </row>
    <row r="120" spans="4:15" ht="13" thickBot="1">
      <c r="D120">
        <v>55</v>
      </c>
      <c r="E120" s="10"/>
      <c r="F120" s="16"/>
      <c r="G120" s="10"/>
      <c r="H120" s="14"/>
      <c r="I120" s="10"/>
      <c r="J120" s="14"/>
      <c r="K120" s="10"/>
      <c r="L120" s="10"/>
      <c r="M120" s="10"/>
      <c r="N120" s="10"/>
      <c r="O120" s="10"/>
    </row>
    <row r="121" spans="4:15" ht="13" thickBot="1">
      <c r="E121" s="12"/>
      <c r="F121" s="10"/>
      <c r="G121" s="10"/>
      <c r="H121" s="14" t="s">
        <v>243</v>
      </c>
      <c r="I121" s="9" t="str">
        <f>IF(OR(H119="",H123=""),"",+IF(H119&gt;H123,G119,G123))</f>
        <v/>
      </c>
      <c r="J121" s="16"/>
      <c r="K121" s="10"/>
      <c r="L121" s="10"/>
      <c r="M121" s="10"/>
      <c r="N121" s="10"/>
      <c r="O121" s="10"/>
    </row>
    <row r="122" spans="4:15" ht="13" thickBot="1">
      <c r="D122">
        <v>56</v>
      </c>
      <c r="E122" s="10"/>
      <c r="F122" s="11"/>
      <c r="G122" s="10"/>
      <c r="H122" s="14"/>
      <c r="I122" s="10"/>
      <c r="J122" s="10"/>
      <c r="K122" s="10"/>
      <c r="L122" s="10"/>
      <c r="M122" s="10"/>
      <c r="N122" s="10"/>
      <c r="O122" s="10"/>
    </row>
    <row r="123" spans="4:15" ht="13" thickBot="1">
      <c r="E123" s="12"/>
      <c r="F123" s="13" t="s">
        <v>252</v>
      </c>
      <c r="G123" s="9" t="str">
        <f>IF(OR(F122="",F124=""),"",+IF(F122&gt;F124,E122,E124))</f>
        <v/>
      </c>
      <c r="H123" s="16"/>
      <c r="I123" s="10"/>
      <c r="J123" s="10"/>
      <c r="K123" s="10"/>
      <c r="L123" s="10"/>
      <c r="M123" s="10"/>
      <c r="N123" s="10"/>
      <c r="O123" s="10"/>
    </row>
    <row r="124" spans="4:15" ht="13" thickBot="1">
      <c r="D124">
        <v>57</v>
      </c>
      <c r="E124" s="9"/>
      <c r="F124" s="16"/>
      <c r="G124" s="10"/>
      <c r="H124" s="10"/>
      <c r="I124" s="10"/>
      <c r="J124" s="10"/>
      <c r="K124" s="10"/>
      <c r="L124" s="10"/>
      <c r="M124" s="10"/>
      <c r="N124" s="10"/>
      <c r="O124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68"/>
  <dimension ref="D4:AG134"/>
  <sheetViews>
    <sheetView showGridLines="0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87890625" customWidth="1"/>
    <col min="13" max="13" width="16.41015625" customWidth="1"/>
    <col min="14" max="14" width="4" customWidth="1"/>
    <col min="15" max="15" width="15.64453125" customWidth="1"/>
    <col min="16" max="16" width="4.11718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252</v>
      </c>
      <c r="I9" s="9" t="str">
        <f>IF(OR(H7="",H11=""),"",+IF(H7&gt;H11,G7,G11))</f>
        <v/>
      </c>
      <c r="J9" s="10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/>
      <c r="AE9" s="53" t="e">
        <f>LOOKUP(AD9,T$5:T$78,U$5:U$62)</f>
        <v>#N/A</v>
      </c>
      <c r="AF9" s="37" t="s">
        <v>157</v>
      </c>
      <c r="AG9" s="65" t="e">
        <f>LOOKUP(AD9,T$5:T$78,W$5:W$65)</f>
        <v>#N/A</v>
      </c>
    </row>
    <row r="10" spans="4:33" ht="13" thickBot="1">
      <c r="D10">
        <v>2</v>
      </c>
      <c r="E10" s="10"/>
      <c r="F10" s="11"/>
      <c r="G10" s="10"/>
      <c r="H10" s="14"/>
      <c r="I10" s="12"/>
      <c r="J10" s="15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/>
      <c r="AE10" s="53" t="e">
        <f>LOOKUP(AD10,T$5:T$78,U$5:U$62)</f>
        <v>#N/A</v>
      </c>
      <c r="AF10" s="37" t="s">
        <v>157</v>
      </c>
      <c r="AG10" s="65" t="e">
        <f>LOOKUP(AD10,T$5:T$78,W$5:W$65)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E39</f>
        <v>0</v>
      </c>
      <c r="V11" t="s">
        <v>77</v>
      </c>
      <c r="W11" s="29">
        <f>E41</f>
        <v>0</v>
      </c>
      <c r="Z11" s="34"/>
      <c r="AA11" s="40"/>
      <c r="AB11" s="40"/>
      <c r="AC11" s="38" t="s">
        <v>159</v>
      </c>
      <c r="AD11" s="48"/>
      <c r="AE11" s="53" t="e">
        <f>LOOKUP(AD11,T$5:T$78,U$5:U$62)</f>
        <v>#N/A</v>
      </c>
      <c r="AF11" s="37" t="s">
        <v>157</v>
      </c>
      <c r="AG11" s="65" t="e">
        <f>LOOKUP(AD11,T$5:T$78,W$5:W$65)</f>
        <v>#N/A</v>
      </c>
    </row>
    <row r="12" spans="4:33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E43</f>
        <v>0</v>
      </c>
      <c r="V12" t="s">
        <v>77</v>
      </c>
      <c r="W12" s="29">
        <f>E45</f>
        <v>0</v>
      </c>
      <c r="Z12" s="34"/>
      <c r="AA12" s="40"/>
      <c r="AB12" s="40"/>
      <c r="AC12" s="38" t="s">
        <v>159</v>
      </c>
      <c r="AD12" s="48"/>
      <c r="AE12" s="53" t="e">
        <f>LOOKUP(AD12,T$5:T$78,U$5:U$62)</f>
        <v>#N/A</v>
      </c>
      <c r="AF12" s="37" t="s">
        <v>157</v>
      </c>
      <c r="AG12" s="65" t="e">
        <f>LOOKUP(AD12,T$5:T$78,W$5:W$65)</f>
        <v>#N/A</v>
      </c>
    </row>
    <row r="13" spans="4:33" ht="13" thickBot="1">
      <c r="E13" s="10"/>
      <c r="F13" s="10"/>
      <c r="G13" s="10"/>
      <c r="H13" s="10"/>
      <c r="I13" s="10"/>
      <c r="J13" s="14" t="s">
        <v>243</v>
      </c>
      <c r="K13" s="9" t="str">
        <f>IF(OR(J10="",J17=""),"",+IF(J10&gt;J17,I9,I17))</f>
        <v/>
      </c>
      <c r="L13" s="17"/>
      <c r="M13" s="10"/>
      <c r="N13" s="10"/>
      <c r="O13" s="10"/>
      <c r="T13">
        <v>9</v>
      </c>
      <c r="U13" s="28">
        <f>E47</f>
        <v>0</v>
      </c>
      <c r="V13" t="s">
        <v>77</v>
      </c>
      <c r="W13" s="29">
        <f>E49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E51</f>
        <v>0</v>
      </c>
      <c r="V14" t="s">
        <v>77</v>
      </c>
      <c r="W14" s="29">
        <f>E53</f>
        <v>0</v>
      </c>
      <c r="Z14" s="34"/>
      <c r="AA14" s="40"/>
      <c r="AB14" s="40"/>
      <c r="AC14" s="38" t="s">
        <v>159</v>
      </c>
      <c r="AD14" s="48"/>
      <c r="AE14" s="53" t="e">
        <f>LOOKUP(AD14,T$5:T$78,U$5:U$62)</f>
        <v>#N/A</v>
      </c>
      <c r="AF14" s="37" t="s">
        <v>157</v>
      </c>
      <c r="AG14" s="65" t="e">
        <f>LOOKUP(AD14,T$5:T$78,W$5:W$65)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E55</f>
        <v>0</v>
      </c>
      <c r="V15" t="s">
        <v>77</v>
      </c>
      <c r="W15" s="29">
        <f>E57</f>
        <v>0</v>
      </c>
      <c r="Z15" s="34"/>
      <c r="AA15" s="40"/>
      <c r="AB15" s="40"/>
      <c r="AC15" s="38" t="s">
        <v>159</v>
      </c>
      <c r="AD15" s="48"/>
      <c r="AE15" s="53" t="e">
        <f>LOOKUP(AD15,T$5:T$78,U$5:U$62)</f>
        <v>#N/A</v>
      </c>
      <c r="AF15" s="37" t="s">
        <v>157</v>
      </c>
      <c r="AG15" s="65" t="e">
        <f>LOOKUP(AD15,T$5:T$78,W$5:W$65)</f>
        <v>#N/A</v>
      </c>
    </row>
    <row r="16" spans="4:33" ht="13" thickBot="1">
      <c r="D16">
        <v>5</v>
      </c>
      <c r="E16" s="10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E59</f>
        <v>0</v>
      </c>
      <c r="V16" t="s">
        <v>77</v>
      </c>
      <c r="W16" s="29">
        <f>E61</f>
        <v>0</v>
      </c>
      <c r="Z16" s="34"/>
      <c r="AA16" s="40"/>
      <c r="AB16" s="40"/>
      <c r="AC16" s="38" t="s">
        <v>159</v>
      </c>
      <c r="AD16" s="48"/>
      <c r="AE16" s="53" t="e">
        <f>LOOKUP(AD16,T$5:T$78,U$5:U$62)</f>
        <v>#N/A</v>
      </c>
      <c r="AF16" s="37" t="s">
        <v>157</v>
      </c>
      <c r="AG16" s="65" t="e">
        <f>LOOKUP(AD16,T$5:T$78,W$5:W$65)</f>
        <v>#N/A</v>
      </c>
    </row>
    <row r="17" spans="4:33" ht="13" thickBot="1">
      <c r="E17" s="12"/>
      <c r="F17" s="10"/>
      <c r="G17" s="10"/>
      <c r="H17" s="14" t="s">
        <v>254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E69</f>
        <v>0</v>
      </c>
      <c r="V17" t="s">
        <v>77</v>
      </c>
      <c r="W17" s="29">
        <f>E71</f>
        <v>0</v>
      </c>
      <c r="Z17" s="34"/>
      <c r="AA17" s="40"/>
      <c r="AB17" s="40"/>
      <c r="AC17" s="38" t="s">
        <v>159</v>
      </c>
      <c r="AD17" s="48"/>
      <c r="AE17" s="53" t="e">
        <f>LOOKUP(AD17,T$5:T$78,U$5:U$62)</f>
        <v>#N/A</v>
      </c>
      <c r="AF17" s="37" t="s">
        <v>157</v>
      </c>
      <c r="AG17" s="65" t="e">
        <f>LOOKUP(AD17,T$5:T$78,W$5:W$65)</f>
        <v>#N/A</v>
      </c>
    </row>
    <row r="18" spans="4:33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>
        <f>E73</f>
        <v>0</v>
      </c>
      <c r="V18" t="s">
        <v>77</v>
      </c>
      <c r="W18" s="29">
        <f>E75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>
        <f>E77</f>
        <v>0</v>
      </c>
      <c r="V19" t="s">
        <v>77</v>
      </c>
      <c r="W19" s="29">
        <f>E79</f>
        <v>0</v>
      </c>
      <c r="Z19" s="34"/>
      <c r="AA19" s="40"/>
      <c r="AB19" s="40"/>
      <c r="AC19" s="38" t="s">
        <v>159</v>
      </c>
      <c r="AD19" s="48"/>
      <c r="AE19" s="53" t="e">
        <f>LOOKUP(AD19,T$5:T$78,U$5:U$62)</f>
        <v>#N/A</v>
      </c>
      <c r="AF19" s="37" t="s">
        <v>157</v>
      </c>
      <c r="AG19" s="65" t="e">
        <f>LOOKUP(AD19,T$5:T$78,W$5:W$65)</f>
        <v>#N/A</v>
      </c>
    </row>
    <row r="20" spans="4:33" ht="13" thickBot="1">
      <c r="D20">
        <v>7</v>
      </c>
      <c r="E20" s="10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>
        <f>E81</f>
        <v>0</v>
      </c>
      <c r="V20" t="s">
        <v>77</v>
      </c>
      <c r="W20" s="29">
        <f>E83</f>
        <v>0</v>
      </c>
      <c r="Z20" s="34"/>
      <c r="AA20" s="40"/>
      <c r="AB20" s="40"/>
      <c r="AC20" s="38" t="s">
        <v>159</v>
      </c>
      <c r="AD20" s="48"/>
      <c r="AE20" s="53" t="e">
        <f>LOOKUP(AD20,T$5:T$78,U$5:U$62)</f>
        <v>#N/A</v>
      </c>
      <c r="AF20" s="37" t="s">
        <v>157</v>
      </c>
      <c r="AG20" s="65" t="e">
        <f>LOOKUP(AD20,T$5:T$78,W$5:W$65)</f>
        <v>#N/A</v>
      </c>
    </row>
    <row r="21" spans="4:33" ht="13" thickBot="1">
      <c r="E21" s="12"/>
      <c r="F21" s="10"/>
      <c r="G21" s="10"/>
      <c r="H21" s="10"/>
      <c r="I21" s="10"/>
      <c r="J21" s="10"/>
      <c r="K21" s="10"/>
      <c r="L21" s="14" t="s">
        <v>226</v>
      </c>
      <c r="M21" s="9" t="str">
        <f>IF(OR(L13="",L28=""),"",+IF(L13&gt;L28,K13,K28))</f>
        <v/>
      </c>
      <c r="N21" s="17"/>
      <c r="O21" s="10"/>
      <c r="T21">
        <v>17</v>
      </c>
      <c r="U21" s="28">
        <f>E85</f>
        <v>0</v>
      </c>
      <c r="V21" t="s">
        <v>77</v>
      </c>
      <c r="W21" s="29">
        <f>E87</f>
        <v>0</v>
      </c>
      <c r="Z21" s="34"/>
      <c r="AA21" s="40"/>
      <c r="AB21" s="40"/>
      <c r="AC21" s="38" t="s">
        <v>159</v>
      </c>
      <c r="AD21" s="48"/>
      <c r="AE21" s="53" t="e">
        <f>LOOKUP(AD21,T$5:T$78,U$5:U$62)</f>
        <v>#N/A</v>
      </c>
      <c r="AF21" s="37" t="s">
        <v>157</v>
      </c>
      <c r="AG21" s="65" t="e">
        <f>LOOKUP(AD21,T$5:T$78,W$5:W$65)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>
        <f>E89</f>
        <v>0</v>
      </c>
      <c r="V22" t="s">
        <v>77</v>
      </c>
      <c r="W22" s="29">
        <f>E91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28">
        <f>E98</f>
        <v>0</v>
      </c>
      <c r="V23" t="s">
        <v>77</v>
      </c>
      <c r="W23" s="29">
        <f>E100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28">
        <f>E102</f>
        <v>0</v>
      </c>
      <c r="V24" t="s">
        <v>77</v>
      </c>
      <c r="W24" s="29">
        <f>E104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0"/>
      <c r="G25" s="10"/>
      <c r="H25" s="14" t="s">
        <v>256</v>
      </c>
      <c r="I25" s="9" t="str">
        <f>IF(OR(H23="",H27=""),"",+IF(H23&gt;H27,G23,G27))</f>
        <v/>
      </c>
      <c r="J25" s="17"/>
      <c r="K25" s="10"/>
      <c r="L25" s="14"/>
      <c r="M25" s="10"/>
      <c r="N25" s="14"/>
      <c r="O25" s="10"/>
      <c r="T25">
        <v>21</v>
      </c>
      <c r="U25" s="28">
        <f>E106</f>
        <v>0</v>
      </c>
      <c r="V25" t="s">
        <v>77</v>
      </c>
      <c r="W25" s="29">
        <f>E108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1"/>
      <c r="G26" s="10"/>
      <c r="H26" s="14"/>
      <c r="I26" s="10"/>
      <c r="J26" s="14"/>
      <c r="K26" s="10"/>
      <c r="L26" s="14"/>
      <c r="M26" s="10"/>
      <c r="N26" s="14"/>
      <c r="O26" s="10"/>
      <c r="T26">
        <v>22</v>
      </c>
      <c r="U26" s="28">
        <f>E110</f>
        <v>0</v>
      </c>
      <c r="V26" t="s">
        <v>77</v>
      </c>
      <c r="W26" s="29">
        <f>E112</f>
        <v>0</v>
      </c>
      <c r="Z26" s="34"/>
      <c r="AA26" s="40"/>
      <c r="AB26" s="40"/>
      <c r="AC26" s="38" t="s">
        <v>159</v>
      </c>
      <c r="AD26" s="48"/>
      <c r="AE26" s="53" t="e">
        <f>LOOKUP(AD26,T$5:T$78,U$5:U$62)</f>
        <v>#N/A</v>
      </c>
      <c r="AF26" s="37" t="s">
        <v>157</v>
      </c>
      <c r="AG26" s="65" t="e">
        <f>LOOKUP(AD26,T$5:T$78,W$5:W$65)</f>
        <v>#N/A</v>
      </c>
    </row>
    <row r="27" spans="4:33" ht="13" thickBot="1">
      <c r="E27" s="12"/>
      <c r="F27" s="13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>
        <f>E114</f>
        <v>0</v>
      </c>
      <c r="V27" t="s">
        <v>77</v>
      </c>
      <c r="W27" s="29">
        <f>E116</f>
        <v>0</v>
      </c>
      <c r="Z27" s="34"/>
      <c r="AA27" s="40"/>
      <c r="AB27" s="40"/>
      <c r="AC27" s="38" t="s">
        <v>159</v>
      </c>
      <c r="AD27" s="48"/>
      <c r="AE27" s="53" t="e">
        <f>LOOKUP(AD27,T$5:T$78,U$5:U$62)</f>
        <v>#N/A</v>
      </c>
      <c r="AF27" s="37" t="s">
        <v>157</v>
      </c>
      <c r="AG27" s="65" t="e">
        <f>LOOKUP(AD27,T$5:T$78,W$5:W$65)</f>
        <v>#N/A</v>
      </c>
    </row>
    <row r="28" spans="4:33" ht="13" thickBot="1">
      <c r="D28">
        <v>11</v>
      </c>
      <c r="E28" s="10"/>
      <c r="F28" s="16"/>
      <c r="G28" s="10"/>
      <c r="H28" s="10"/>
      <c r="I28" s="10"/>
      <c r="J28" s="14" t="s">
        <v>247</v>
      </c>
      <c r="K28" s="9" t="str">
        <f>IF(OR(J25="",J33=""),"",+IF(J25&gt;J33,I25,I33))</f>
        <v/>
      </c>
      <c r="L28" s="16"/>
      <c r="M28" s="10"/>
      <c r="N28" s="14"/>
      <c r="O28" s="10"/>
      <c r="T28">
        <v>24</v>
      </c>
      <c r="U28" s="28">
        <f>E118</f>
        <v>0</v>
      </c>
      <c r="V28" t="s">
        <v>77</v>
      </c>
      <c r="W28" s="29">
        <f>E120</f>
        <v>0</v>
      </c>
      <c r="Z28" s="34"/>
      <c r="AA28" s="40"/>
      <c r="AB28" s="40"/>
      <c r="AC28" s="38" t="s">
        <v>159</v>
      </c>
      <c r="AD28" s="48"/>
      <c r="AE28" s="53" t="e">
        <f>LOOKUP(AD28,T$5:T$78,U$5:U$62)</f>
        <v>#N/A</v>
      </c>
      <c r="AF28" s="37" t="s">
        <v>157</v>
      </c>
      <c r="AG28" s="65" t="e">
        <f>LOOKUP(AD28,T$5:T$78,W$5:W$65)</f>
        <v>#N/A</v>
      </c>
    </row>
    <row r="29" spans="4:33">
      <c r="E29" s="12"/>
      <c r="F29" s="10"/>
      <c r="G29" s="10"/>
      <c r="H29" s="10"/>
      <c r="I29" s="10"/>
      <c r="J29" s="14"/>
      <c r="K29" s="10"/>
      <c r="L29" s="10"/>
      <c r="M29" s="10"/>
      <c r="N29" s="14"/>
      <c r="O29" s="10"/>
      <c r="T29">
        <v>25</v>
      </c>
      <c r="U29" s="28">
        <f>E7</f>
        <v>0</v>
      </c>
      <c r="V29" t="s">
        <v>77</v>
      </c>
      <c r="W29" s="29" t="s">
        <v>78</v>
      </c>
      <c r="Z29" s="34"/>
      <c r="AA29" s="40"/>
      <c r="AB29" s="40"/>
      <c r="AC29" s="38" t="s">
        <v>159</v>
      </c>
      <c r="AD29" s="48"/>
      <c r="AE29" s="53" t="e">
        <f>LOOKUP(AD29,T$5:T$78,U$5:U$62)</f>
        <v>#N/A</v>
      </c>
      <c r="AF29" s="37" t="s">
        <v>157</v>
      </c>
      <c r="AG29" s="65" t="e">
        <f>LOOKUP(AD29,T$5:T$78,W$5:W$65)</f>
        <v>#N/A</v>
      </c>
    </row>
    <row r="30" spans="4:33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 t="s">
        <v>160</v>
      </c>
      <c r="V30" t="s">
        <v>77</v>
      </c>
      <c r="W30" s="29" t="s">
        <v>161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2"/>
      <c r="F31" s="13" t="s">
        <v>212</v>
      </c>
      <c r="G31" s="9" t="str">
        <f>IF(OR(F30="",F32=""),"",+IF(F30&gt;F32,E30,E32))</f>
        <v/>
      </c>
      <c r="H31" s="11"/>
      <c r="I31" s="10"/>
      <c r="J31" s="14"/>
      <c r="K31" s="10"/>
      <c r="L31" s="10"/>
      <c r="M31" s="10"/>
      <c r="N31" s="14"/>
      <c r="O31" s="10"/>
      <c r="T31">
        <v>27</v>
      </c>
      <c r="U31" s="28" t="s">
        <v>81</v>
      </c>
      <c r="V31" t="s">
        <v>77</v>
      </c>
      <c r="W31" s="29" t="s">
        <v>162</v>
      </c>
      <c r="Z31" s="34"/>
      <c r="AA31" s="40"/>
      <c r="AB31" s="40"/>
      <c r="AC31" s="38" t="s">
        <v>159</v>
      </c>
      <c r="AD31" s="48"/>
      <c r="AE31" s="53" t="e">
        <f>LOOKUP(AD31,T$5:T$78,U$5:U$62)</f>
        <v>#N/A</v>
      </c>
      <c r="AF31" s="37" t="s">
        <v>157</v>
      </c>
      <c r="AG31" s="65" t="e">
        <f>LOOKUP(AD31,T$5:T$78,W$5:W$65)</f>
        <v>#N/A</v>
      </c>
    </row>
    <row r="32" spans="4:33" ht="13" thickBot="1">
      <c r="D32">
        <v>13</v>
      </c>
      <c r="E32" s="9"/>
      <c r="F32" s="16"/>
      <c r="G32" s="10"/>
      <c r="H32" s="13"/>
      <c r="I32" s="10"/>
      <c r="J32" s="14"/>
      <c r="K32" s="10"/>
      <c r="L32" s="10"/>
      <c r="M32" s="10"/>
      <c r="N32" s="14"/>
      <c r="O32" s="10"/>
      <c r="T32">
        <v>28</v>
      </c>
      <c r="U32" s="28" t="s">
        <v>163</v>
      </c>
      <c r="V32" t="s">
        <v>77</v>
      </c>
      <c r="W32" s="29">
        <f>E34</f>
        <v>0</v>
      </c>
      <c r="Z32" s="34"/>
      <c r="AA32" s="40"/>
      <c r="AB32" s="40"/>
      <c r="AC32" s="38" t="s">
        <v>159</v>
      </c>
      <c r="AD32" s="48"/>
      <c r="AE32" s="53" t="e">
        <f>LOOKUP(AD32,T$5:T$78,U$5:U$62)</f>
        <v>#N/A</v>
      </c>
      <c r="AF32" s="37" t="s">
        <v>157</v>
      </c>
      <c r="AG32" s="65" t="e">
        <f>LOOKUP(AD32,T$5:T$78,W$5:W$65)</f>
        <v>#N/A</v>
      </c>
    </row>
    <row r="33" spans="4:33" ht="13" thickBot="1">
      <c r="E33" s="10"/>
      <c r="F33" s="10"/>
      <c r="G33" s="10"/>
      <c r="H33" s="14" t="s">
        <v>258</v>
      </c>
      <c r="I33" s="9" t="str">
        <f>IF(OR(H31="",H34=""),"",+IF(H31&gt;H34,G31,E34))</f>
        <v/>
      </c>
      <c r="J33" s="16"/>
      <c r="K33" s="10"/>
      <c r="L33" s="10"/>
      <c r="M33" s="10"/>
      <c r="N33" s="14"/>
      <c r="O33" s="10"/>
      <c r="T33">
        <v>29</v>
      </c>
      <c r="U33" s="28">
        <f>E36</f>
        <v>0</v>
      </c>
      <c r="V33" t="s">
        <v>77</v>
      </c>
      <c r="W33" s="29" t="s">
        <v>84</v>
      </c>
      <c r="Z33" s="34"/>
      <c r="AA33" s="40"/>
      <c r="AB33" s="40"/>
      <c r="AC33" s="38" t="s">
        <v>159</v>
      </c>
      <c r="AD33" s="48"/>
      <c r="AE33" s="53" t="e">
        <f>LOOKUP(AD33,T$5:T$78,U$5:U$62)</f>
        <v>#N/A</v>
      </c>
      <c r="AF33" s="37" t="s">
        <v>157</v>
      </c>
      <c r="AG33" s="65" t="e">
        <f>LOOKUP(AD33,T$5:T$78,W$5:W$65)</f>
        <v>#N/A</v>
      </c>
    </row>
    <row r="34" spans="4:33" ht="13" thickBot="1">
      <c r="D34">
        <v>14</v>
      </c>
      <c r="E34" s="9"/>
      <c r="F34" s="9"/>
      <c r="G34" s="9">
        <f>E34</f>
        <v>0</v>
      </c>
      <c r="H34" s="16"/>
      <c r="I34" s="10"/>
      <c r="J34" s="10"/>
      <c r="K34" s="10"/>
      <c r="L34" s="10"/>
      <c r="M34" s="10"/>
      <c r="N34" s="14"/>
      <c r="O34" s="10"/>
      <c r="T34">
        <v>30</v>
      </c>
      <c r="U34" s="28" t="s">
        <v>164</v>
      </c>
      <c r="V34" t="s">
        <v>77</v>
      </c>
      <c r="W34" s="29" t="s">
        <v>200</v>
      </c>
      <c r="Z34" s="34"/>
      <c r="AA34" s="40"/>
      <c r="AB34" s="40"/>
      <c r="AC34" s="38" t="s">
        <v>159</v>
      </c>
      <c r="AD34" s="48"/>
      <c r="AE34" s="53" t="e">
        <f>LOOKUP(AD34,T$5:T$78,U$5:U$62)</f>
        <v>#N/A</v>
      </c>
      <c r="AF34" s="37" t="s">
        <v>157</v>
      </c>
      <c r="AG34" s="65" t="e">
        <f>LOOKUP(AD34,T$5:T$78,W$5:W$65)</f>
        <v>#N/A</v>
      </c>
    </row>
    <row r="35" spans="4:33" ht="13" thickBot="1">
      <c r="E35" s="10"/>
      <c r="F35" s="10"/>
      <c r="G35" s="10"/>
      <c r="H35" s="10"/>
      <c r="I35" s="10"/>
      <c r="J35" s="10"/>
      <c r="K35" s="10"/>
      <c r="L35" s="10"/>
      <c r="M35" s="10"/>
      <c r="N35" s="14" t="s">
        <v>257</v>
      </c>
      <c r="O35" s="9" t="str">
        <f>IF(OR(N21="",N50=""),"",+IF(N21&gt;N50,M21,M50))</f>
        <v/>
      </c>
      <c r="P35" s="7"/>
      <c r="T35">
        <v>31</v>
      </c>
      <c r="U35" s="28" t="s">
        <v>87</v>
      </c>
      <c r="V35" t="s">
        <v>77</v>
      </c>
      <c r="W35" s="29" t="s">
        <v>88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D36">
        <v>15</v>
      </c>
      <c r="E36" s="10"/>
      <c r="F36" s="9"/>
      <c r="G36" s="9">
        <f>E36</f>
        <v>0</v>
      </c>
      <c r="H36" s="11"/>
      <c r="I36" s="10"/>
      <c r="J36" s="10"/>
      <c r="K36" s="10"/>
      <c r="L36" s="10"/>
      <c r="M36" s="10"/>
      <c r="N36" s="14"/>
      <c r="O36" s="10"/>
      <c r="Q36" s="8"/>
      <c r="T36">
        <v>32</v>
      </c>
      <c r="U36" s="28" t="s">
        <v>89</v>
      </c>
      <c r="V36" t="s">
        <v>77</v>
      </c>
      <c r="W36" s="29">
        <f>E63</f>
        <v>0</v>
      </c>
      <c r="Z36" s="34"/>
      <c r="AA36" s="40"/>
      <c r="AB36" s="40"/>
      <c r="AC36" s="38" t="s">
        <v>159</v>
      </c>
      <c r="AD36" s="48"/>
      <c r="AE36" s="53" t="e">
        <f>LOOKUP(AD36,T$5:T$78,U$5:U$62)</f>
        <v>#N/A</v>
      </c>
      <c r="AF36" s="37" t="s">
        <v>157</v>
      </c>
      <c r="AG36" s="65" t="e">
        <f>LOOKUP(AD36,T$5:T$78,W$5:W$65)</f>
        <v>#N/A</v>
      </c>
    </row>
    <row r="37" spans="4:33">
      <c r="E37" s="12"/>
      <c r="F37" s="10"/>
      <c r="G37" s="10"/>
      <c r="H37" s="13"/>
      <c r="I37" s="10"/>
      <c r="J37" s="10"/>
      <c r="K37" s="10"/>
      <c r="L37" s="10"/>
      <c r="M37" s="10"/>
      <c r="N37" s="14"/>
      <c r="O37" s="10"/>
      <c r="Q37" s="8"/>
      <c r="T37">
        <v>33</v>
      </c>
      <c r="U37" s="28">
        <f>E66</f>
        <v>0</v>
      </c>
      <c r="V37" t="s">
        <v>77</v>
      </c>
      <c r="W37" s="29" t="s">
        <v>90</v>
      </c>
      <c r="Z37" s="34"/>
      <c r="AA37" s="40"/>
      <c r="AB37" s="40"/>
      <c r="AC37" s="38" t="s">
        <v>159</v>
      </c>
      <c r="AD37" s="48"/>
      <c r="AE37" s="53" t="e">
        <f>LOOKUP(AD37,T$5:T$78,U$5:U$62)</f>
        <v>#N/A</v>
      </c>
      <c r="AF37" s="37" t="s">
        <v>157</v>
      </c>
      <c r="AG37" s="65" t="e">
        <f>LOOKUP(AD37,T$5:T$78,W$5:W$65)</f>
        <v>#N/A</v>
      </c>
    </row>
    <row r="38" spans="4:33" ht="13" thickBot="1">
      <c r="E38" s="10"/>
      <c r="F38" s="10"/>
      <c r="G38" s="10"/>
      <c r="H38" s="14" t="s">
        <v>260</v>
      </c>
      <c r="I38" s="9" t="str">
        <f>IF(OR(H36="",H40=""),"",+IF(H36&gt;H40,G36,G40))</f>
        <v/>
      </c>
      <c r="J38" s="10"/>
      <c r="K38" s="10"/>
      <c r="L38" s="10"/>
      <c r="M38" s="10"/>
      <c r="N38" s="14"/>
      <c r="O38" s="10"/>
      <c r="Q38" s="8"/>
      <c r="T38">
        <v>34</v>
      </c>
      <c r="U38" s="28" t="s">
        <v>91</v>
      </c>
      <c r="V38" t="s">
        <v>77</v>
      </c>
      <c r="W38" s="29" t="s">
        <v>92</v>
      </c>
      <c r="Z38" s="34"/>
      <c r="AA38" s="40"/>
      <c r="AB38" s="40"/>
      <c r="AC38" s="38" t="s">
        <v>159</v>
      </c>
      <c r="AD38" s="48"/>
      <c r="AE38" s="53" t="e">
        <f>LOOKUP(AD38,T$5:T$78,U$5:U$62)</f>
        <v>#N/A</v>
      </c>
      <c r="AF38" s="37" t="s">
        <v>157</v>
      </c>
      <c r="AG38" s="65" t="e">
        <f>LOOKUP(AD38,T$5:T$78,W$5:W$65)</f>
        <v>#N/A</v>
      </c>
    </row>
    <row r="39" spans="4:33" ht="13" thickBot="1">
      <c r="D39">
        <v>16</v>
      </c>
      <c r="E39" s="10"/>
      <c r="F39" s="11"/>
      <c r="G39" s="10"/>
      <c r="H39" s="14"/>
      <c r="I39" s="12"/>
      <c r="J39" s="15"/>
      <c r="K39" s="10"/>
      <c r="L39" s="10"/>
      <c r="M39" s="10"/>
      <c r="N39" s="14"/>
      <c r="O39" s="10"/>
      <c r="Q39" s="8"/>
      <c r="T39">
        <v>35</v>
      </c>
      <c r="U39" s="28" t="s">
        <v>165</v>
      </c>
      <c r="V39" t="s">
        <v>77</v>
      </c>
      <c r="W39" s="29" t="s">
        <v>94</v>
      </c>
      <c r="Z39" s="34"/>
      <c r="AA39" s="33"/>
      <c r="AB39" s="33"/>
      <c r="AC39" s="33"/>
      <c r="AD39" s="50"/>
      <c r="AE39" s="64" t="e">
        <f>LOOKUP(AD39,T$5:T$78,U$5:U$62)</f>
        <v>#N/A</v>
      </c>
      <c r="AF39" s="33"/>
      <c r="AG39" s="59"/>
    </row>
    <row r="40" spans="4:33" ht="13" thickBot="1">
      <c r="E40" s="12"/>
      <c r="F40" s="13" t="s">
        <v>214</v>
      </c>
      <c r="G40" s="9" t="str">
        <f>IF(OR(F39="",F41=""),"",+IF(F39&gt;F41,E39,E41))</f>
        <v/>
      </c>
      <c r="H40" s="16"/>
      <c r="I40" s="10"/>
      <c r="J40" s="14"/>
      <c r="K40" s="10"/>
      <c r="L40" s="10"/>
      <c r="M40" s="10"/>
      <c r="N40" s="14"/>
      <c r="O40" s="10"/>
      <c r="Q40" s="8"/>
      <c r="T40">
        <v>36</v>
      </c>
      <c r="U40" s="28" t="s">
        <v>95</v>
      </c>
      <c r="V40" t="s">
        <v>77</v>
      </c>
      <c r="W40" s="29">
        <f>E93</f>
        <v>0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9"/>
      <c r="F41" s="16"/>
      <c r="G41" s="10"/>
      <c r="H41" s="10"/>
      <c r="I41" s="10"/>
      <c r="J41" s="14"/>
      <c r="K41" s="10"/>
      <c r="L41" s="10"/>
      <c r="M41" s="10"/>
      <c r="N41" s="14"/>
      <c r="O41" s="10"/>
      <c r="Q41" s="8"/>
      <c r="T41">
        <v>37</v>
      </c>
      <c r="U41" s="28">
        <f>E95</f>
        <v>0</v>
      </c>
      <c r="V41" t="s">
        <v>77</v>
      </c>
      <c r="W41" s="29" t="s">
        <v>96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0"/>
      <c r="F42" s="10"/>
      <c r="G42" s="10"/>
      <c r="H42" s="10"/>
      <c r="I42" s="10"/>
      <c r="J42" s="14" t="s">
        <v>251</v>
      </c>
      <c r="K42" s="9" t="str">
        <f>IF(OR(J39="",J46=""),"",+IF(J39&gt;J46,I38,I46))</f>
        <v/>
      </c>
      <c r="L42" s="17"/>
      <c r="M42" s="10"/>
      <c r="N42" s="14"/>
      <c r="O42" s="10"/>
      <c r="Q42" s="8"/>
      <c r="T42">
        <v>38</v>
      </c>
      <c r="U42" s="28" t="s">
        <v>97</v>
      </c>
      <c r="V42" t="s">
        <v>77</v>
      </c>
      <c r="W42" s="29" t="s">
        <v>98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10"/>
      <c r="F43" s="11"/>
      <c r="G43" s="10"/>
      <c r="H43" s="10"/>
      <c r="I43" s="10"/>
      <c r="J43" s="14"/>
      <c r="K43" s="10"/>
      <c r="L43" s="13"/>
      <c r="M43" s="10"/>
      <c r="N43" s="14"/>
      <c r="O43" s="10"/>
      <c r="Q43" s="8"/>
      <c r="T43">
        <v>39</v>
      </c>
      <c r="U43" s="28" t="s">
        <v>99</v>
      </c>
      <c r="V43" t="s">
        <v>77</v>
      </c>
      <c r="W43" s="29" t="s">
        <v>100</v>
      </c>
      <c r="Z43" s="34"/>
      <c r="AA43" s="40"/>
      <c r="AB43" s="40"/>
      <c r="AC43" s="38" t="s">
        <v>159</v>
      </c>
      <c r="AD43" s="48"/>
      <c r="AE43" s="53" t="e">
        <f>LOOKUP(AD43,T$5:T$78,U$5:U$62)</f>
        <v>#N/A</v>
      </c>
      <c r="AF43" s="37" t="s">
        <v>157</v>
      </c>
      <c r="AG43" s="65" t="e">
        <f>LOOKUP(AD43,T$5:T$78,W$5:W$65)</f>
        <v>#N/A</v>
      </c>
    </row>
    <row r="44" spans="4:33" ht="13" thickBot="1">
      <c r="E44" s="12"/>
      <c r="F44" s="13" t="s">
        <v>217</v>
      </c>
      <c r="G44" s="9" t="str">
        <f>IF(OR(F43="",F45=""),"",+IF(F43&gt;F45,E43,E45))</f>
        <v/>
      </c>
      <c r="H44" s="17"/>
      <c r="I44" s="10"/>
      <c r="J44" s="14"/>
      <c r="K44" s="10"/>
      <c r="L44" s="14"/>
      <c r="M44" s="10"/>
      <c r="N44" s="14"/>
      <c r="O44" s="10"/>
      <c r="Q44" s="8"/>
      <c r="T44">
        <v>40</v>
      </c>
      <c r="U44" s="28" t="s">
        <v>101</v>
      </c>
      <c r="V44" t="s">
        <v>77</v>
      </c>
      <c r="W44" s="29">
        <f>E122</f>
        <v>0</v>
      </c>
      <c r="Z44" s="34"/>
      <c r="AA44" s="40"/>
      <c r="AB44" s="40"/>
      <c r="AC44" s="38" t="s">
        <v>159</v>
      </c>
      <c r="AD44" s="48"/>
      <c r="AE44" s="53" t="e">
        <f>LOOKUP(AD44,T$5:T$78,U$5:U$62)</f>
        <v>#N/A</v>
      </c>
      <c r="AF44" s="37" t="s">
        <v>157</v>
      </c>
      <c r="AG44" s="65" t="e">
        <f>LOOKUP(AD44,T$5:T$78,W$5:W$65)</f>
        <v>#N/A</v>
      </c>
    </row>
    <row r="45" spans="4:33" ht="13" thickBot="1">
      <c r="D45">
        <v>19</v>
      </c>
      <c r="E45" s="10"/>
      <c r="F45" s="16"/>
      <c r="G45" s="10"/>
      <c r="H45" s="14"/>
      <c r="I45" s="10"/>
      <c r="J45" s="14"/>
      <c r="K45" s="10"/>
      <c r="L45" s="14"/>
      <c r="M45" s="10"/>
      <c r="N45" s="14"/>
      <c r="O45" s="10"/>
      <c r="Q45" s="8"/>
      <c r="T45">
        <v>41</v>
      </c>
      <c r="U45" s="28" t="s">
        <v>102</v>
      </c>
      <c r="V45" t="s">
        <v>77</v>
      </c>
      <c r="W45" s="29" t="s">
        <v>103</v>
      </c>
      <c r="Z45" s="34"/>
      <c r="AA45" s="40"/>
      <c r="AB45" s="40"/>
      <c r="AC45" s="38" t="s">
        <v>159</v>
      </c>
      <c r="AD45" s="48"/>
      <c r="AE45" s="53" t="e">
        <f>LOOKUP(AD45,T$5:T$78,U$5:U$62)</f>
        <v>#N/A</v>
      </c>
      <c r="AF45" s="37" t="s">
        <v>157</v>
      </c>
      <c r="AG45" s="65" t="e">
        <f>LOOKUP(AD45,T$5:T$78,W$5:W$65)</f>
        <v>#N/A</v>
      </c>
    </row>
    <row r="46" spans="4:33" ht="13" thickBot="1">
      <c r="E46" s="12"/>
      <c r="F46" s="10"/>
      <c r="G46" s="10"/>
      <c r="H46" s="14" t="s">
        <v>201</v>
      </c>
      <c r="I46" s="9" t="str">
        <f>IF(OR(H44="",H48=""),"",+IF(H44&gt;H48,G44,G48))</f>
        <v/>
      </c>
      <c r="J46" s="16"/>
      <c r="K46" s="10"/>
      <c r="L46" s="14"/>
      <c r="M46" s="10"/>
      <c r="N46" s="14"/>
      <c r="O46" s="10"/>
      <c r="Q46" s="8"/>
      <c r="T46">
        <v>42</v>
      </c>
      <c r="U46" s="28" t="s">
        <v>104</v>
      </c>
      <c r="V46" t="s">
        <v>77</v>
      </c>
      <c r="W46" s="29" t="s">
        <v>105</v>
      </c>
      <c r="Z46" s="34"/>
      <c r="AA46" s="40"/>
      <c r="AB46" s="40"/>
      <c r="AC46" s="38" t="s">
        <v>159</v>
      </c>
      <c r="AD46" s="48"/>
      <c r="AE46" s="53" t="e">
        <f>LOOKUP(AD46,T$5:T$78,U$5:U$62)</f>
        <v>#N/A</v>
      </c>
      <c r="AF46" s="37" t="s">
        <v>157</v>
      </c>
      <c r="AG46" s="65" t="e">
        <f>LOOKUP(AD46,T$5:T$78,W$5:W$65)</f>
        <v>#N/A</v>
      </c>
    </row>
    <row r="47" spans="4:33" ht="13" thickBot="1">
      <c r="D47">
        <v>20</v>
      </c>
      <c r="E47" s="10"/>
      <c r="F47" s="11"/>
      <c r="G47" s="10"/>
      <c r="H47" s="14"/>
      <c r="I47" s="10"/>
      <c r="J47" s="10"/>
      <c r="K47" s="10"/>
      <c r="L47" s="14"/>
      <c r="M47" s="10"/>
      <c r="N47" s="14"/>
      <c r="O47" s="10"/>
      <c r="Q47" s="8"/>
      <c r="T47">
        <v>43</v>
      </c>
      <c r="U47" s="28" t="s">
        <v>106</v>
      </c>
      <c r="V47" t="s">
        <v>77</v>
      </c>
      <c r="W47" s="29" t="s">
        <v>107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3" t="s">
        <v>219</v>
      </c>
      <c r="G48" s="9" t="str">
        <f>IF(OR(F47="",F49=""),"",+IF(F47&gt;F49,E47,E49))</f>
        <v/>
      </c>
      <c r="H48" s="16"/>
      <c r="I48" s="10"/>
      <c r="J48" s="10"/>
      <c r="K48" s="10"/>
      <c r="L48" s="14"/>
      <c r="M48" s="10"/>
      <c r="N48" s="14"/>
      <c r="O48" s="10"/>
      <c r="Q48" s="8"/>
      <c r="T48">
        <v>44</v>
      </c>
      <c r="U48" s="28" t="s">
        <v>108</v>
      </c>
      <c r="V48" t="s">
        <v>77</v>
      </c>
      <c r="W48" s="29" t="s">
        <v>109</v>
      </c>
      <c r="Z48" s="34"/>
      <c r="AA48" s="40"/>
      <c r="AB48" s="40"/>
      <c r="AC48" s="38" t="s">
        <v>159</v>
      </c>
      <c r="AD48" s="48"/>
      <c r="AE48" s="53" t="e">
        <f>LOOKUP(AD48,T$5:T$78,U$5:U$62)</f>
        <v>#N/A</v>
      </c>
      <c r="AF48" s="37" t="s">
        <v>157</v>
      </c>
      <c r="AG48" s="65" t="e">
        <f>LOOKUP(AD48,T$5:T$78,W$5:W$65)</f>
        <v>#N/A</v>
      </c>
    </row>
    <row r="49" spans="4:33" ht="13" thickBot="1">
      <c r="D49">
        <v>21</v>
      </c>
      <c r="E49" s="10"/>
      <c r="F49" s="16"/>
      <c r="G49" s="10"/>
      <c r="H49" s="10"/>
      <c r="I49" s="10"/>
      <c r="J49" s="10"/>
      <c r="K49" s="10"/>
      <c r="L49" s="14"/>
      <c r="M49" s="10"/>
      <c r="N49" s="14"/>
      <c r="O49" s="10"/>
      <c r="Q49" s="8"/>
      <c r="T49">
        <v>45</v>
      </c>
      <c r="U49" s="28" t="s">
        <v>110</v>
      </c>
      <c r="V49" t="s">
        <v>77</v>
      </c>
      <c r="W49" s="29" t="s">
        <v>111</v>
      </c>
      <c r="Z49" s="34"/>
      <c r="AA49" s="40"/>
      <c r="AB49" s="40"/>
      <c r="AC49" s="38" t="s">
        <v>159</v>
      </c>
      <c r="AD49" s="48"/>
      <c r="AE49" s="53" t="e">
        <f>LOOKUP(AD49,T$5:T$78,U$5:U$62)</f>
        <v>#N/A</v>
      </c>
      <c r="AF49" s="37" t="s">
        <v>157</v>
      </c>
      <c r="AG49" s="65" t="e">
        <f>LOOKUP(AD49,T$5:T$78,W$5:W$65)</f>
        <v>#N/A</v>
      </c>
    </row>
    <row r="50" spans="4:33" ht="13" thickBot="1">
      <c r="E50" s="12"/>
      <c r="F50" s="10"/>
      <c r="G50" s="10"/>
      <c r="H50" s="10"/>
      <c r="I50" s="10"/>
      <c r="J50" s="10"/>
      <c r="K50" s="10"/>
      <c r="L50" s="14" t="s">
        <v>233</v>
      </c>
      <c r="M50" s="9" t="str">
        <f>IF(OR(L42="",L57=""),"",+IF(L42&gt;L57,K42,K57))</f>
        <v/>
      </c>
      <c r="N50" s="16"/>
      <c r="O50" s="10"/>
      <c r="Q50" s="8"/>
      <c r="T50">
        <v>46</v>
      </c>
      <c r="U50" s="28" t="s">
        <v>112</v>
      </c>
      <c r="V50" t="s">
        <v>77</v>
      </c>
      <c r="W50" s="29" t="s">
        <v>113</v>
      </c>
      <c r="Z50" s="34"/>
      <c r="AA50" s="40"/>
      <c r="AB50" s="40"/>
      <c r="AC50" s="38" t="s">
        <v>159</v>
      </c>
      <c r="AD50" s="48"/>
      <c r="AE50" s="53" t="e">
        <f>LOOKUP(AD50,T$5:T$78,U$5:U$62)</f>
        <v>#N/A</v>
      </c>
      <c r="AF50" s="37" t="s">
        <v>157</v>
      </c>
      <c r="AG50" s="65" t="e">
        <f>LOOKUP(AD50,T$5:T$78,W$5:W$65)</f>
        <v>#N/A</v>
      </c>
    </row>
    <row r="51" spans="4:33" ht="13" thickBot="1">
      <c r="D51">
        <v>22</v>
      </c>
      <c r="E51" s="10"/>
      <c r="F51" s="11"/>
      <c r="G51" s="10"/>
      <c r="H51" s="10"/>
      <c r="I51" s="10"/>
      <c r="J51" s="10"/>
      <c r="K51" s="10"/>
      <c r="L51" s="14"/>
      <c r="M51" s="10"/>
      <c r="N51" s="10"/>
      <c r="O51" s="10"/>
      <c r="Q51" s="8"/>
      <c r="T51">
        <v>47</v>
      </c>
      <c r="U51" s="28" t="s">
        <v>114</v>
      </c>
      <c r="V51" t="s">
        <v>77</v>
      </c>
      <c r="W51" s="29" t="s">
        <v>115</v>
      </c>
      <c r="Z51" s="34"/>
      <c r="AA51" s="40"/>
      <c r="AB51" s="40"/>
      <c r="AC51" s="38" t="s">
        <v>159</v>
      </c>
      <c r="AD51" s="48"/>
      <c r="AE51" s="53" t="e">
        <f>LOOKUP(AD51,T$5:T$78,U$5:U$62)</f>
        <v>#N/A</v>
      </c>
      <c r="AF51" s="37" t="s">
        <v>157</v>
      </c>
      <c r="AG51" s="65" t="e">
        <f>LOOKUP(AD51,T$5:T$78,W$5:W$65)</f>
        <v>#N/A</v>
      </c>
    </row>
    <row r="52" spans="4:33" ht="13" thickBot="1">
      <c r="E52" s="12"/>
      <c r="F52" s="13" t="s">
        <v>221</v>
      </c>
      <c r="G52" s="9" t="str">
        <f>IF(OR(F51="",F53=""),"",+IF(F51&gt;F53,E51,E53))</f>
        <v/>
      </c>
      <c r="H52" s="17"/>
      <c r="I52" s="10"/>
      <c r="J52" s="10"/>
      <c r="K52" s="10"/>
      <c r="L52" s="14"/>
      <c r="M52" s="10"/>
      <c r="N52" s="10"/>
      <c r="O52" s="10"/>
      <c r="Q52" s="8"/>
      <c r="T52">
        <v>48</v>
      </c>
      <c r="U52" s="28" t="s">
        <v>116</v>
      </c>
      <c r="V52" t="s">
        <v>77</v>
      </c>
      <c r="W52" s="29" t="s">
        <v>117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10"/>
      <c r="F53" s="16"/>
      <c r="G53" s="10"/>
      <c r="H53" s="14"/>
      <c r="I53" s="10"/>
      <c r="J53" s="10"/>
      <c r="K53" s="10"/>
      <c r="L53" s="14"/>
      <c r="M53" s="10"/>
      <c r="N53" s="10"/>
      <c r="O53" s="10"/>
      <c r="Q53" s="8"/>
      <c r="T53">
        <v>49</v>
      </c>
      <c r="U53" s="28" t="s">
        <v>118</v>
      </c>
      <c r="V53" t="s">
        <v>77</v>
      </c>
      <c r="W53" s="29" t="s">
        <v>119</v>
      </c>
      <c r="Z53" s="34"/>
      <c r="AA53" s="40"/>
      <c r="AB53" s="40"/>
      <c r="AC53" s="38" t="s">
        <v>159</v>
      </c>
      <c r="AD53" s="48"/>
      <c r="AE53" s="53" t="e">
        <f>LOOKUP(AD53,T$5:T$78,U$5:U$62)</f>
        <v>#N/A</v>
      </c>
      <c r="AF53" s="37" t="s">
        <v>157</v>
      </c>
      <c r="AG53" s="65" t="e">
        <f>LOOKUP(AD53,T$5:T$78,W$5:W$65)</f>
        <v>#N/A</v>
      </c>
    </row>
    <row r="54" spans="4:33" ht="13" thickBot="1">
      <c r="E54" s="12"/>
      <c r="F54" s="10"/>
      <c r="G54" s="10"/>
      <c r="H54" s="14" t="s">
        <v>205</v>
      </c>
      <c r="I54" s="9" t="str">
        <f>IF(OR(H52="",H56=""),"",+IF(H52&gt;H56,G52,G56))</f>
        <v/>
      </c>
      <c r="J54" s="17"/>
      <c r="K54" s="10"/>
      <c r="L54" s="14"/>
      <c r="M54" s="10"/>
      <c r="N54" s="10"/>
      <c r="O54" s="10"/>
      <c r="Q54" s="8"/>
      <c r="T54">
        <v>50</v>
      </c>
      <c r="U54" s="28" t="s">
        <v>120</v>
      </c>
      <c r="V54" t="s">
        <v>77</v>
      </c>
      <c r="W54" s="29" t="s">
        <v>121</v>
      </c>
      <c r="Z54" s="34"/>
      <c r="AA54" s="40"/>
      <c r="AB54" s="40"/>
      <c r="AC54" s="38" t="s">
        <v>159</v>
      </c>
      <c r="AD54" s="48"/>
      <c r="AE54" s="53" t="e">
        <f>LOOKUP(AD54,T$5:T$78,U$5:U$62)</f>
        <v>#N/A</v>
      </c>
      <c r="AF54" s="37" t="s">
        <v>157</v>
      </c>
      <c r="AG54" s="65" t="e">
        <f>LOOKUP(AD54,T$5:T$78,W$5:W$65)</f>
        <v>#N/A</v>
      </c>
    </row>
    <row r="55" spans="4:33" ht="13" thickBot="1">
      <c r="D55">
        <v>24</v>
      </c>
      <c r="E55" s="10"/>
      <c r="F55" s="11"/>
      <c r="G55" s="10"/>
      <c r="H55" s="14"/>
      <c r="I55" s="10"/>
      <c r="J55" s="14"/>
      <c r="K55" s="10"/>
      <c r="L55" s="14"/>
      <c r="M55" s="10"/>
      <c r="N55" s="10"/>
      <c r="O55" s="10"/>
      <c r="Q55" s="8"/>
      <c r="T55">
        <v>51</v>
      </c>
      <c r="U55" s="28" t="s">
        <v>122</v>
      </c>
      <c r="V55" t="s">
        <v>77</v>
      </c>
      <c r="W55" s="29" t="s">
        <v>123</v>
      </c>
      <c r="Z55" s="34"/>
      <c r="AA55" s="40"/>
      <c r="AB55" s="40"/>
      <c r="AC55" s="38" t="s">
        <v>159</v>
      </c>
      <c r="AD55" s="48"/>
      <c r="AE55" s="53" t="e">
        <f>LOOKUP(AD55,T$5:T$78,U$5:U$62)</f>
        <v>#N/A</v>
      </c>
      <c r="AF55" s="37" t="s">
        <v>157</v>
      </c>
      <c r="AG55" s="65" t="e">
        <f>LOOKUP(AD55,T$5:T$78,W$5:W$65)</f>
        <v>#N/A</v>
      </c>
    </row>
    <row r="56" spans="4:33" ht="13" thickBot="1">
      <c r="E56" s="12"/>
      <c r="F56" s="13" t="s">
        <v>223</v>
      </c>
      <c r="G56" s="9" t="str">
        <f>IF(OR(F55="",F57=""),"",+IF(F55&gt;F57,E55,E57))</f>
        <v/>
      </c>
      <c r="H56" s="16"/>
      <c r="I56" s="10"/>
      <c r="J56" s="14"/>
      <c r="K56" s="10"/>
      <c r="L56" s="14"/>
      <c r="M56" s="10"/>
      <c r="N56" s="10"/>
      <c r="O56" s="10"/>
      <c r="Q56" s="8"/>
      <c r="T56">
        <v>52</v>
      </c>
      <c r="U56" s="28" t="s">
        <v>124</v>
      </c>
      <c r="V56" t="s">
        <v>77</v>
      </c>
      <c r="W56" s="29" t="s">
        <v>125</v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10"/>
      <c r="F57" s="16"/>
      <c r="G57" s="10"/>
      <c r="H57" s="10"/>
      <c r="I57" s="10"/>
      <c r="J57" s="14" t="s">
        <v>255</v>
      </c>
      <c r="K57" s="9" t="str">
        <f>IF(OR(J54="",J62=""),"",+IF(J54&gt;J62,I54,I62))</f>
        <v/>
      </c>
      <c r="L57" s="16"/>
      <c r="M57" s="10"/>
      <c r="N57" s="10"/>
      <c r="O57" s="10"/>
      <c r="Q57" s="8"/>
      <c r="T57">
        <v>53</v>
      </c>
      <c r="U57" s="28" t="s">
        <v>126</v>
      </c>
      <c r="V57" t="s">
        <v>77</v>
      </c>
      <c r="W57" s="29" t="s">
        <v>127</v>
      </c>
    </row>
    <row r="58" spans="4:33">
      <c r="E58" s="12"/>
      <c r="F58" s="10"/>
      <c r="G58" s="10"/>
      <c r="H58" s="10"/>
      <c r="I58" s="10"/>
      <c r="J58" s="14"/>
      <c r="K58" s="10"/>
      <c r="L58" s="10"/>
      <c r="M58" s="10"/>
      <c r="N58" s="10"/>
      <c r="O58" s="10"/>
      <c r="Q58" s="8"/>
      <c r="T58">
        <v>54</v>
      </c>
      <c r="U58" s="28" t="s">
        <v>130</v>
      </c>
      <c r="V58" t="s">
        <v>77</v>
      </c>
      <c r="W58" s="29" t="s">
        <v>128</v>
      </c>
    </row>
    <row r="59" spans="4:33" ht="13" thickBot="1">
      <c r="D59">
        <v>26</v>
      </c>
      <c r="E59" s="10"/>
      <c r="F59" s="11"/>
      <c r="G59" s="10"/>
      <c r="H59" s="10"/>
      <c r="I59" s="10"/>
      <c r="J59" s="14"/>
      <c r="K59" s="10"/>
      <c r="L59" s="10"/>
      <c r="M59" s="10"/>
      <c r="N59" s="10"/>
      <c r="O59" s="10"/>
      <c r="Q59" s="8"/>
      <c r="T59">
        <v>55</v>
      </c>
      <c r="U59" s="28" t="s">
        <v>129</v>
      </c>
      <c r="V59" t="s">
        <v>77</v>
      </c>
      <c r="W59" s="29" t="s">
        <v>131</v>
      </c>
    </row>
    <row r="60" spans="4:33" ht="13" thickBot="1">
      <c r="E60" s="12"/>
      <c r="F60" s="13" t="s">
        <v>225</v>
      </c>
      <c r="G60" s="9" t="str">
        <f>IF(OR(F59="",F61=""),"",+IF(F59&gt;F61,E59,E61))</f>
        <v/>
      </c>
      <c r="H60" s="11"/>
      <c r="I60" s="10"/>
      <c r="J60" s="14"/>
      <c r="K60" s="10"/>
      <c r="L60" s="10"/>
      <c r="M60" s="10"/>
      <c r="N60" s="10"/>
      <c r="O60" s="10"/>
      <c r="Q60" s="8"/>
      <c r="U60" s="29"/>
    </row>
    <row r="61" spans="4:33" ht="13" thickBot="1">
      <c r="D61">
        <v>27</v>
      </c>
      <c r="E61" s="9"/>
      <c r="F61" s="16"/>
      <c r="G61" s="10"/>
      <c r="H61" s="13"/>
      <c r="I61" s="10"/>
      <c r="J61" s="14"/>
      <c r="K61" s="10"/>
      <c r="L61" s="10"/>
      <c r="M61" s="10"/>
      <c r="N61" s="10"/>
      <c r="O61" s="10"/>
      <c r="Q61" s="8"/>
      <c r="W61" s="28"/>
    </row>
    <row r="62" spans="4:33" ht="13" thickBot="1">
      <c r="E62" s="10"/>
      <c r="F62" s="10"/>
      <c r="G62" s="10"/>
      <c r="H62" s="14" t="s">
        <v>209</v>
      </c>
      <c r="I62" s="9" t="str">
        <f>IF(OR(H60="",H63=""),"",+IF(H60&gt;H63,G60,E63))</f>
        <v/>
      </c>
      <c r="J62" s="16"/>
      <c r="K62" s="10"/>
      <c r="L62" s="10"/>
      <c r="M62" s="10"/>
      <c r="N62" s="10"/>
      <c r="O62" s="10"/>
      <c r="Q62" s="8"/>
    </row>
    <row r="63" spans="4:33" ht="13" thickBot="1">
      <c r="D63">
        <v>28</v>
      </c>
      <c r="E63" s="9"/>
      <c r="F63" s="9"/>
      <c r="G63" s="9">
        <f>E63</f>
        <v>0</v>
      </c>
      <c r="H63" s="16"/>
      <c r="I63" s="10"/>
      <c r="J63" s="10"/>
      <c r="K63" s="10"/>
      <c r="L63" s="10"/>
      <c r="M63" s="10"/>
      <c r="N63" s="10"/>
      <c r="O63" s="10"/>
      <c r="Q63" s="8"/>
    </row>
    <row r="64" spans="4:33"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Q64" s="8"/>
    </row>
    <row r="65" spans="4:19" ht="13" thickBot="1"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t="s">
        <v>222</v>
      </c>
      <c r="Q65" s="27"/>
      <c r="R65" s="7"/>
      <c r="S65" s="7"/>
    </row>
    <row r="66" spans="4:19" ht="13" thickBot="1">
      <c r="D66">
        <v>29</v>
      </c>
      <c r="E66" s="10"/>
      <c r="F66" s="9"/>
      <c r="G66" s="9">
        <f>E66</f>
        <v>0</v>
      </c>
      <c r="H66" s="11"/>
      <c r="I66" s="10"/>
      <c r="J66" s="10"/>
      <c r="K66" s="10"/>
      <c r="L66" s="10"/>
      <c r="M66" s="10"/>
      <c r="N66" s="10"/>
      <c r="O66" s="10"/>
      <c r="Q66" s="8"/>
    </row>
    <row r="67" spans="4:19">
      <c r="E67" s="12"/>
      <c r="F67" s="10"/>
      <c r="G67" s="10"/>
      <c r="H67" s="13"/>
      <c r="I67" s="10"/>
      <c r="J67" s="10"/>
      <c r="K67" s="10"/>
      <c r="L67" s="10"/>
      <c r="M67" s="10"/>
      <c r="N67" s="10"/>
      <c r="O67" s="10"/>
      <c r="Q67" s="8"/>
    </row>
    <row r="68" spans="4:19" ht="13" thickBot="1">
      <c r="E68" s="10"/>
      <c r="F68" s="10"/>
      <c r="G68" s="10"/>
      <c r="H68" s="14" t="s">
        <v>213</v>
      </c>
      <c r="I68" s="9" t="str">
        <f>IF(OR(H66="",H70=""),"",+IF(H66&gt;H70,G66,G70))</f>
        <v/>
      </c>
      <c r="J68" s="10"/>
      <c r="K68" s="10"/>
      <c r="L68" s="10"/>
      <c r="M68" s="10"/>
      <c r="N68" s="10"/>
      <c r="O68" s="10"/>
      <c r="Q68" s="8"/>
    </row>
    <row r="69" spans="4:19" ht="13" thickBot="1">
      <c r="D69">
        <v>30</v>
      </c>
      <c r="E69" s="10"/>
      <c r="F69" s="11"/>
      <c r="G69" s="10"/>
      <c r="H69" s="14"/>
      <c r="I69" s="12"/>
      <c r="J69" s="15"/>
      <c r="K69" s="10"/>
      <c r="L69" s="10"/>
      <c r="M69" s="10"/>
      <c r="N69" s="10"/>
      <c r="O69" s="10"/>
      <c r="Q69" s="8"/>
    </row>
    <row r="70" spans="4:19" ht="13" thickBot="1">
      <c r="E70" s="12"/>
      <c r="F70" s="13" t="s">
        <v>227</v>
      </c>
      <c r="G70" s="9" t="str">
        <f>IF(OR(F69="",F71=""),"",+IF(F69&gt;F71,E69,E71))</f>
        <v/>
      </c>
      <c r="H70" s="16"/>
      <c r="I70" s="10"/>
      <c r="J70" s="14"/>
      <c r="K70" s="10"/>
      <c r="L70" s="10"/>
      <c r="M70" s="10"/>
      <c r="N70" s="10"/>
      <c r="O70" s="10"/>
      <c r="Q70" s="8"/>
    </row>
    <row r="71" spans="4:19" ht="13" thickBot="1">
      <c r="D71">
        <v>31</v>
      </c>
      <c r="E71" s="9"/>
      <c r="F71" s="16"/>
      <c r="G71" s="10"/>
      <c r="H71" s="10"/>
      <c r="I71" s="10"/>
      <c r="J71" s="14"/>
      <c r="K71" s="10"/>
      <c r="L71" s="10"/>
      <c r="M71" s="10"/>
      <c r="N71" s="10"/>
      <c r="O71" s="10"/>
      <c r="Q71" s="8"/>
    </row>
    <row r="72" spans="4:19" ht="13" thickBot="1">
      <c r="E72" s="10"/>
      <c r="F72" s="10"/>
      <c r="G72" s="10"/>
      <c r="H72" s="10"/>
      <c r="I72" s="10"/>
      <c r="J72" s="14" t="s">
        <v>259</v>
      </c>
      <c r="K72" s="9" t="str">
        <f>IF(OR(J69="",J76=""),"",+IF(J69&gt;J76,I68,I76))</f>
        <v/>
      </c>
      <c r="L72" s="17"/>
      <c r="M72" s="10"/>
      <c r="N72" s="10"/>
      <c r="O72" s="10"/>
      <c r="Q72" s="8"/>
    </row>
    <row r="73" spans="4:19" ht="13" thickBot="1">
      <c r="D73">
        <v>32</v>
      </c>
      <c r="E73" s="10"/>
      <c r="F73" s="11"/>
      <c r="G73" s="10"/>
      <c r="H73" s="10"/>
      <c r="I73" s="10"/>
      <c r="J73" s="14"/>
      <c r="K73" s="10"/>
      <c r="L73" s="13"/>
      <c r="M73" s="10"/>
      <c r="N73" s="10"/>
      <c r="O73" s="10"/>
      <c r="Q73" s="8"/>
    </row>
    <row r="74" spans="4:19" ht="13" thickBot="1">
      <c r="E74" s="12"/>
      <c r="F74" s="13" t="s">
        <v>229</v>
      </c>
      <c r="G74" s="9" t="str">
        <f>IF(OR(F73="",F75=""),"",+IF(F73&gt;F75,E73,E75))</f>
        <v/>
      </c>
      <c r="H74" s="17"/>
      <c r="I74" s="10"/>
      <c r="J74" s="14"/>
      <c r="K74" s="10"/>
      <c r="L74" s="14"/>
      <c r="M74" s="10"/>
      <c r="N74" s="10"/>
      <c r="O74" s="10"/>
      <c r="Q74" s="8"/>
    </row>
    <row r="75" spans="4:19" ht="13" thickBot="1">
      <c r="D75">
        <v>33</v>
      </c>
      <c r="E75" s="10"/>
      <c r="F75" s="16"/>
      <c r="G75" s="10"/>
      <c r="H75" s="14"/>
      <c r="I75" s="10"/>
      <c r="J75" s="14"/>
      <c r="K75" s="10"/>
      <c r="L75" s="14"/>
      <c r="M75" s="10"/>
      <c r="N75" s="10"/>
      <c r="O75" s="10"/>
      <c r="Q75" s="8"/>
    </row>
    <row r="76" spans="4:19" ht="13" thickBot="1">
      <c r="E76" s="12"/>
      <c r="F76" s="10"/>
      <c r="G76" s="10"/>
      <c r="H76" s="14" t="s">
        <v>216</v>
      </c>
      <c r="I76" s="9" t="str">
        <f>IF(OR(H74="",H78=""),"",+IF(H74&gt;H78,G74,G78))</f>
        <v/>
      </c>
      <c r="J76" s="16"/>
      <c r="K76" s="10"/>
      <c r="L76" s="14"/>
      <c r="M76" s="10"/>
      <c r="N76" s="10"/>
      <c r="O76" s="10"/>
      <c r="Q76" s="8"/>
    </row>
    <row r="77" spans="4:19" ht="13" thickBot="1">
      <c r="D77">
        <v>34</v>
      </c>
      <c r="E77" s="10"/>
      <c r="F77" s="11"/>
      <c r="G77" s="10"/>
      <c r="H77" s="14"/>
      <c r="I77" s="10"/>
      <c r="J77" s="10"/>
      <c r="K77" s="10"/>
      <c r="L77" s="14"/>
      <c r="M77" s="10"/>
      <c r="N77" s="10"/>
      <c r="O77" s="10"/>
      <c r="Q77" s="8"/>
    </row>
    <row r="78" spans="4:19" ht="13" thickBot="1">
      <c r="E78" s="12"/>
      <c r="F78" s="13" t="s">
        <v>232</v>
      </c>
      <c r="G78" s="9" t="str">
        <f>IF(OR(F77="",F79=""),"",+IF(F77&gt;F79,E77,E79))</f>
        <v/>
      </c>
      <c r="H78" s="16"/>
      <c r="I78" s="10"/>
      <c r="J78" s="10"/>
      <c r="K78" s="10"/>
      <c r="L78" s="14"/>
      <c r="M78" s="10"/>
      <c r="N78" s="10"/>
      <c r="O78" s="10"/>
      <c r="Q78" s="8"/>
    </row>
    <row r="79" spans="4:19" ht="13" thickBot="1">
      <c r="D79">
        <v>35</v>
      </c>
      <c r="E79" s="10"/>
      <c r="F79" s="16"/>
      <c r="G79" s="10"/>
      <c r="H79" s="10"/>
      <c r="I79" s="10"/>
      <c r="J79" s="10"/>
      <c r="K79" s="10"/>
      <c r="L79" s="14"/>
      <c r="M79" s="10"/>
      <c r="N79" s="10"/>
      <c r="O79" s="10"/>
      <c r="Q79" s="8"/>
    </row>
    <row r="80" spans="4:19" ht="13" thickBot="1">
      <c r="E80" s="12"/>
      <c r="F80" s="10"/>
      <c r="G80" s="10"/>
      <c r="H80" s="10"/>
      <c r="I80" s="10"/>
      <c r="J80" s="10"/>
      <c r="K80" s="10"/>
      <c r="L80" s="14" t="s">
        <v>241</v>
      </c>
      <c r="M80" s="9" t="str">
        <f>IF(OR(L72="",L87=""),"",+IF(L72&gt;L87,K72,K87))</f>
        <v/>
      </c>
      <c r="N80" s="17"/>
      <c r="O80" s="10"/>
      <c r="Q80" s="8"/>
    </row>
    <row r="81" spans="4:17" ht="13" thickBot="1">
      <c r="D81">
        <v>36</v>
      </c>
      <c r="E81" s="10"/>
      <c r="F81" s="11"/>
      <c r="G81" s="10"/>
      <c r="H81" s="10"/>
      <c r="I81" s="10"/>
      <c r="J81" s="10"/>
      <c r="K81" s="10"/>
      <c r="L81" s="14"/>
      <c r="M81" s="10"/>
      <c r="N81" s="14"/>
      <c r="O81" s="10"/>
      <c r="Q81" s="8"/>
    </row>
    <row r="82" spans="4:17" ht="13" thickBot="1">
      <c r="E82" s="12"/>
      <c r="F82" s="13" t="s">
        <v>234</v>
      </c>
      <c r="G82" s="9" t="str">
        <f>IF(OR(F81="",F83=""),"",+IF(F81&gt;F83,E81,E83))</f>
        <v/>
      </c>
      <c r="H82" s="17"/>
      <c r="I82" s="10"/>
      <c r="J82" s="10"/>
      <c r="K82" s="10"/>
      <c r="L82" s="14"/>
      <c r="M82" s="10"/>
      <c r="N82" s="14"/>
      <c r="O82" s="10"/>
      <c r="Q82" s="8"/>
    </row>
    <row r="83" spans="4:17" ht="13" thickBot="1">
      <c r="D83">
        <v>37</v>
      </c>
      <c r="E83" s="10"/>
      <c r="F83" s="16"/>
      <c r="G83" s="10"/>
      <c r="H83" s="14"/>
      <c r="I83" s="10"/>
      <c r="J83" s="10"/>
      <c r="K83" s="10"/>
      <c r="L83" s="14"/>
      <c r="M83" s="10"/>
      <c r="N83" s="14"/>
      <c r="O83" s="10"/>
      <c r="Q83" s="8"/>
    </row>
    <row r="84" spans="4:17" ht="13" thickBot="1">
      <c r="E84" s="12"/>
      <c r="F84" s="10"/>
      <c r="G84" s="10"/>
      <c r="H84" s="14" t="s">
        <v>220</v>
      </c>
      <c r="I84" s="9" t="str">
        <f>IF(OR(H82="",H86=""),"",+IF(H82&gt;H86,G82,G86))</f>
        <v/>
      </c>
      <c r="J84" s="17"/>
      <c r="K84" s="10"/>
      <c r="L84" s="14"/>
      <c r="M84" s="10"/>
      <c r="N84" s="14"/>
      <c r="O84" s="10"/>
      <c r="Q84" s="8"/>
    </row>
    <row r="85" spans="4:17" ht="13" thickBot="1">
      <c r="D85">
        <v>38</v>
      </c>
      <c r="E85" s="10"/>
      <c r="F85" s="11"/>
      <c r="G85" s="10"/>
      <c r="H85" s="14"/>
      <c r="I85" s="10"/>
      <c r="J85" s="14"/>
      <c r="K85" s="10"/>
      <c r="L85" s="14"/>
      <c r="M85" s="10"/>
      <c r="N85" s="14"/>
      <c r="O85" s="10"/>
      <c r="Q85" s="8"/>
    </row>
    <row r="86" spans="4:17" ht="13" thickBot="1">
      <c r="E86" s="12"/>
      <c r="F86" s="13" t="s">
        <v>236</v>
      </c>
      <c r="G86" s="9" t="str">
        <f>IF(OR(F85="",F87=""),"",+IF(F85&gt;F87,E85,E87))</f>
        <v/>
      </c>
      <c r="H86" s="16"/>
      <c r="I86" s="10"/>
      <c r="J86" s="14"/>
      <c r="K86" s="10"/>
      <c r="L86" s="14"/>
      <c r="M86" s="10"/>
      <c r="N86" s="14"/>
      <c r="O86" s="10"/>
      <c r="Q86" s="8"/>
    </row>
    <row r="87" spans="4:17" ht="13" thickBot="1">
      <c r="D87">
        <v>39</v>
      </c>
      <c r="E87" s="10"/>
      <c r="F87" s="16"/>
      <c r="G87" s="10"/>
      <c r="H87" s="10"/>
      <c r="I87" s="10"/>
      <c r="J87" s="14" t="s">
        <v>203</v>
      </c>
      <c r="K87" s="9" t="str">
        <f>IF(OR(J84="",J92=""),"",+IF(J84&gt;J92,I84,I92))</f>
        <v/>
      </c>
      <c r="L87" s="16"/>
      <c r="M87" s="10"/>
      <c r="N87" s="14"/>
      <c r="O87" s="10"/>
      <c r="Q87" s="8"/>
    </row>
    <row r="88" spans="4:17">
      <c r="E88" s="12"/>
      <c r="F88" s="10"/>
      <c r="G88" s="10"/>
      <c r="H88" s="10"/>
      <c r="I88" s="10"/>
      <c r="J88" s="14"/>
      <c r="K88" s="10"/>
      <c r="L88" s="10"/>
      <c r="M88" s="10"/>
      <c r="N88" s="14"/>
      <c r="O88" s="10"/>
      <c r="Q88" s="8"/>
    </row>
    <row r="89" spans="4:17" ht="13" thickBot="1">
      <c r="D89">
        <v>40</v>
      </c>
      <c r="E89" s="10"/>
      <c r="F89" s="11"/>
      <c r="G89" s="10"/>
      <c r="H89" s="10"/>
      <c r="I89" s="10"/>
      <c r="J89" s="14"/>
      <c r="K89" s="10"/>
      <c r="L89" s="10"/>
      <c r="M89" s="10"/>
      <c r="N89" s="14"/>
      <c r="O89" s="10"/>
      <c r="Q89" s="8"/>
    </row>
    <row r="90" spans="4:17" ht="13" thickBot="1">
      <c r="E90" s="12"/>
      <c r="F90" s="13" t="s">
        <v>238</v>
      </c>
      <c r="G90" s="9" t="str">
        <f>IF(OR(F89="",F91=""),"",+IF(F89&gt;F91,E89,E91))</f>
        <v/>
      </c>
      <c r="H90" s="11"/>
      <c r="I90" s="10"/>
      <c r="J90" s="14"/>
      <c r="K90" s="10"/>
      <c r="L90" s="10"/>
      <c r="M90" s="10"/>
      <c r="N90" s="14"/>
      <c r="O90" s="10"/>
      <c r="Q90" s="8"/>
    </row>
    <row r="91" spans="4:17" ht="13" thickBot="1">
      <c r="D91">
        <v>41</v>
      </c>
      <c r="E91" s="9"/>
      <c r="F91" s="16"/>
      <c r="G91" s="10"/>
      <c r="H91" s="13"/>
      <c r="I91" s="10"/>
      <c r="J91" s="14"/>
      <c r="K91" s="10"/>
      <c r="L91" s="10"/>
      <c r="M91" s="10"/>
      <c r="N91" s="14"/>
      <c r="O91" s="10"/>
      <c r="Q91" s="8"/>
    </row>
    <row r="92" spans="4:17" ht="13" thickBot="1">
      <c r="E92" s="10"/>
      <c r="F92" s="10"/>
      <c r="G92" s="10"/>
      <c r="H92" s="14" t="s">
        <v>224</v>
      </c>
      <c r="I92" s="9" t="str">
        <f>IF(OR(H90="",H93=""),"",+IF(H90&gt;H93,G90,E93))</f>
        <v/>
      </c>
      <c r="J92" s="16"/>
      <c r="K92" s="10"/>
      <c r="L92" s="10"/>
      <c r="M92" s="10"/>
      <c r="N92" s="14"/>
      <c r="O92" s="10"/>
      <c r="Q92" s="8"/>
    </row>
    <row r="93" spans="4:17" ht="13" thickBot="1">
      <c r="D93">
        <v>42</v>
      </c>
      <c r="E93" s="9"/>
      <c r="F93" s="9"/>
      <c r="G93" s="9">
        <f>E93</f>
        <v>0</v>
      </c>
      <c r="H93" s="16"/>
      <c r="I93" s="10"/>
      <c r="J93" s="10"/>
      <c r="K93" s="10"/>
      <c r="L93" s="10"/>
      <c r="M93" s="10"/>
      <c r="N93" s="14"/>
      <c r="O93" s="10"/>
      <c r="Q93" s="8"/>
    </row>
    <row r="94" spans="4:17" ht="13" thickBot="1">
      <c r="E94" s="10"/>
      <c r="F94" s="10"/>
      <c r="G94" s="10"/>
      <c r="H94" s="10"/>
      <c r="I94" s="10"/>
      <c r="J94" s="10"/>
      <c r="K94" s="10"/>
      <c r="L94" s="10"/>
      <c r="M94" s="10"/>
      <c r="N94" s="14" t="s">
        <v>207</v>
      </c>
      <c r="O94" s="9" t="str">
        <f>IF(OR(N80="",N109=""),"",+IF(N80&gt;N109,M80,M109))</f>
        <v/>
      </c>
      <c r="P94" s="7"/>
      <c r="Q94" s="8"/>
    </row>
    <row r="95" spans="4:17" ht="13" thickBot="1">
      <c r="D95">
        <v>43</v>
      </c>
      <c r="E95" s="10"/>
      <c r="F95" s="9"/>
      <c r="G95" s="9">
        <f>E95</f>
        <v>0</v>
      </c>
      <c r="H95" s="11"/>
      <c r="I95" s="10"/>
      <c r="J95" s="10"/>
      <c r="K95" s="10"/>
      <c r="L95" s="10"/>
      <c r="M95" s="10"/>
      <c r="N95" s="14"/>
      <c r="O95" s="10"/>
    </row>
    <row r="96" spans="4:17">
      <c r="E96" s="12"/>
      <c r="F96" s="10"/>
      <c r="G96" s="10"/>
      <c r="H96" s="13"/>
      <c r="I96" s="10"/>
      <c r="J96" s="10"/>
      <c r="K96" s="10"/>
      <c r="L96" s="10"/>
      <c r="M96" s="10"/>
      <c r="N96" s="14"/>
      <c r="O96" s="10"/>
    </row>
    <row r="97" spans="4:17" ht="13" thickBot="1">
      <c r="E97" s="10"/>
      <c r="F97" s="10"/>
      <c r="G97" s="10"/>
      <c r="H97" s="14" t="s">
        <v>228</v>
      </c>
      <c r="I97" s="9" t="str">
        <f>IF(OR(H95="",H99=""),"",+IF(H95&gt;H99,G95,G99))</f>
        <v/>
      </c>
      <c r="J97" s="10"/>
      <c r="K97" s="10"/>
      <c r="L97" s="10"/>
      <c r="M97" s="10"/>
      <c r="N97" s="14"/>
      <c r="O97" s="10"/>
    </row>
    <row r="98" spans="4:17" ht="13" thickBot="1">
      <c r="D98">
        <v>44</v>
      </c>
      <c r="E98" s="10"/>
      <c r="F98" s="11"/>
      <c r="G98" s="10"/>
      <c r="H98" s="14"/>
      <c r="I98" s="12"/>
      <c r="J98" s="15"/>
      <c r="K98" s="10"/>
      <c r="L98" s="10"/>
      <c r="M98" s="10"/>
      <c r="N98" s="14"/>
      <c r="O98" s="10"/>
    </row>
    <row r="99" spans="4:17" ht="13" thickBot="1">
      <c r="E99" s="12"/>
      <c r="F99" s="13" t="s">
        <v>240</v>
      </c>
      <c r="G99" s="9" t="str">
        <f>IF(OR(F98="",F100=""),"",+IF(F98&gt;F100,E98,E100))</f>
        <v/>
      </c>
      <c r="H99" s="16"/>
      <c r="I99" s="10"/>
      <c r="J99" s="14"/>
      <c r="K99" s="10"/>
      <c r="L99" s="10"/>
      <c r="M99" s="10"/>
      <c r="N99" s="14"/>
      <c r="O99" s="10"/>
    </row>
    <row r="100" spans="4:17" ht="13" thickBot="1">
      <c r="D100">
        <v>45</v>
      </c>
      <c r="E100" s="9"/>
      <c r="F100" s="16"/>
      <c r="G100" s="10"/>
      <c r="H100" s="10"/>
      <c r="I100" s="10"/>
      <c r="J100" s="14"/>
      <c r="K100" s="10"/>
      <c r="L100" s="10"/>
      <c r="M100" s="10"/>
      <c r="N100" s="14"/>
      <c r="O100" s="10"/>
    </row>
    <row r="101" spans="4:17" ht="13" thickBot="1">
      <c r="E101" s="10"/>
      <c r="F101" s="10"/>
      <c r="G101" s="10"/>
      <c r="H101" s="10"/>
      <c r="I101" s="10"/>
      <c r="J101" s="14" t="s">
        <v>211</v>
      </c>
      <c r="K101" s="9" t="str">
        <f>IF(OR(J98="",J105=""),"",+IF(J98&gt;J105,I97,I105))</f>
        <v/>
      </c>
      <c r="L101" s="17"/>
      <c r="M101" s="10"/>
      <c r="N101" s="14"/>
      <c r="O101" s="10"/>
    </row>
    <row r="102" spans="4:17" ht="13" thickBot="1">
      <c r="D102">
        <v>46</v>
      </c>
      <c r="E102" s="10"/>
      <c r="F102" s="11"/>
      <c r="G102" s="10"/>
      <c r="H102" s="10"/>
      <c r="I102" s="10"/>
      <c r="J102" s="14"/>
      <c r="K102" s="10"/>
      <c r="L102" s="13"/>
      <c r="M102" s="10"/>
      <c r="N102" s="14"/>
      <c r="O102" s="10"/>
    </row>
    <row r="103" spans="4:17" ht="13" thickBot="1">
      <c r="E103" s="12"/>
      <c r="F103" s="13" t="s">
        <v>242</v>
      </c>
      <c r="G103" s="9" t="str">
        <f>IF(OR(F102="",F104=""),"",+IF(F102&gt;F104,E102,E104))</f>
        <v/>
      </c>
      <c r="H103" s="17"/>
      <c r="I103" s="10"/>
      <c r="J103" s="14"/>
      <c r="K103" s="10"/>
      <c r="L103" s="14"/>
      <c r="M103" s="10"/>
      <c r="N103" s="14"/>
      <c r="O103" s="10"/>
    </row>
    <row r="104" spans="4:17" ht="13" thickBot="1">
      <c r="D104">
        <v>47</v>
      </c>
      <c r="E104" s="10"/>
      <c r="F104" s="16"/>
      <c r="G104" s="10"/>
      <c r="H104" s="14"/>
      <c r="I104" s="10"/>
      <c r="J104" s="14"/>
      <c r="K104" s="10"/>
      <c r="L104" s="14"/>
      <c r="M104" s="10"/>
      <c r="N104" s="14"/>
      <c r="O104" s="10"/>
    </row>
    <row r="105" spans="4:17" ht="13" thickBot="1">
      <c r="E105" s="12"/>
      <c r="F105" s="10"/>
      <c r="G105" s="10"/>
      <c r="H105" s="14" t="s">
        <v>231</v>
      </c>
      <c r="I105" s="9" t="str">
        <f>IF(OR(H103="",H107=""),"",+IF(H103&gt;H107,G103,G107))</f>
        <v/>
      </c>
      <c r="J105" s="16"/>
      <c r="K105" s="10"/>
      <c r="L105" s="14"/>
      <c r="M105" s="10"/>
      <c r="N105" s="14"/>
      <c r="O105" s="10"/>
    </row>
    <row r="106" spans="4:17" ht="13" thickBot="1">
      <c r="D106">
        <v>48</v>
      </c>
      <c r="E106" s="10"/>
      <c r="F106" s="11"/>
      <c r="G106" s="10"/>
      <c r="H106" s="14"/>
      <c r="I106" s="10"/>
      <c r="J106" s="10"/>
      <c r="K106" s="10"/>
      <c r="L106" s="14"/>
      <c r="M106" s="10"/>
      <c r="N106" s="14"/>
      <c r="O106" s="10"/>
    </row>
    <row r="107" spans="4:17" ht="13" thickBot="1">
      <c r="E107" s="12"/>
      <c r="F107" s="13" t="s">
        <v>244</v>
      </c>
      <c r="G107" s="9" t="str">
        <f>IF(OR(F106="",F108=""),"",+IF(F106&gt;F108,E106,E108))</f>
        <v/>
      </c>
      <c r="H107" s="16"/>
      <c r="I107" s="10"/>
      <c r="J107" s="10"/>
      <c r="K107" s="10"/>
      <c r="L107" s="14"/>
      <c r="M107" s="10"/>
      <c r="N107" s="14"/>
      <c r="O107" s="10"/>
    </row>
    <row r="108" spans="4:17" ht="13" thickBot="1">
      <c r="D108">
        <v>49</v>
      </c>
      <c r="E108" s="10"/>
      <c r="F108" s="16"/>
      <c r="G108" s="10"/>
      <c r="H108" s="10"/>
      <c r="I108" s="10"/>
      <c r="J108" s="10"/>
      <c r="K108" s="10"/>
      <c r="L108" s="14"/>
      <c r="M108" s="10"/>
      <c r="N108" s="14"/>
      <c r="O108" s="10"/>
    </row>
    <row r="109" spans="4:17" ht="13" thickBot="1">
      <c r="E109" s="12"/>
      <c r="F109" s="10"/>
      <c r="G109" s="10"/>
      <c r="H109" s="10"/>
      <c r="I109" s="10"/>
      <c r="J109" s="10"/>
      <c r="K109" s="10"/>
      <c r="L109" s="14" t="s">
        <v>249</v>
      </c>
      <c r="M109" s="9" t="str">
        <f>IF(OR(L101="",L116=""),"",+IF(L101&gt;L116,K101,K116))</f>
        <v/>
      </c>
      <c r="N109" s="16"/>
      <c r="O109" s="10"/>
    </row>
    <row r="110" spans="4:17" ht="13" thickBot="1">
      <c r="D110">
        <v>50</v>
      </c>
      <c r="E110" s="10"/>
      <c r="F110" s="11"/>
      <c r="G110" s="10"/>
      <c r="H110" s="10"/>
      <c r="I110" s="10"/>
      <c r="J110" s="10"/>
      <c r="K110" s="10"/>
      <c r="L110" s="14"/>
      <c r="M110" s="10"/>
      <c r="N110" s="10"/>
      <c r="O110" s="10"/>
      <c r="Q110" s="23"/>
    </row>
    <row r="111" spans="4:17" ht="13" thickBot="1">
      <c r="E111" s="12"/>
      <c r="F111" s="13" t="s">
        <v>246</v>
      </c>
      <c r="G111" s="9" t="str">
        <f>IF(OR(F110="",F112=""),"",+IF(F110&gt;F112,E110,E112))</f>
        <v/>
      </c>
      <c r="H111" s="17"/>
      <c r="I111" s="10"/>
      <c r="J111" s="10"/>
      <c r="K111" s="10"/>
      <c r="L111" s="14"/>
      <c r="M111" s="10"/>
      <c r="N111" s="10"/>
      <c r="O111" s="10"/>
      <c r="Q111" s="23"/>
    </row>
    <row r="112" spans="4:17" ht="13" thickBot="1">
      <c r="D112">
        <v>51</v>
      </c>
      <c r="E112" s="10"/>
      <c r="F112" s="16"/>
      <c r="G112" s="10"/>
      <c r="H112" s="14"/>
      <c r="I112" s="10"/>
      <c r="J112" s="10"/>
      <c r="K112" s="10"/>
      <c r="L112" s="14"/>
      <c r="M112" s="10"/>
      <c r="N112" s="10"/>
      <c r="O112" s="10"/>
    </row>
    <row r="113" spans="4:15" ht="13" thickBot="1">
      <c r="E113" s="12"/>
      <c r="F113" s="10"/>
      <c r="G113" s="10"/>
      <c r="H113" s="14" t="s">
        <v>235</v>
      </c>
      <c r="I113" s="9" t="str">
        <f>IF(OR(H111="",H115=""),"",+IF(H111&gt;H115,G111,G115))</f>
        <v/>
      </c>
      <c r="J113" s="17"/>
      <c r="K113" s="10"/>
      <c r="L113" s="14"/>
      <c r="M113" s="10"/>
      <c r="N113" s="10"/>
      <c r="O113" s="10"/>
    </row>
    <row r="114" spans="4:15" ht="13" thickBot="1">
      <c r="D114">
        <v>52</v>
      </c>
      <c r="E114" s="10"/>
      <c r="F114" s="11"/>
      <c r="G114" s="10"/>
      <c r="H114" s="14"/>
      <c r="I114" s="10"/>
      <c r="J114" s="14"/>
      <c r="K114" s="10"/>
      <c r="L114" s="14"/>
      <c r="M114" s="10"/>
      <c r="N114" s="10"/>
      <c r="O114" s="10"/>
    </row>
    <row r="115" spans="4:15" ht="13" thickBot="1">
      <c r="E115" s="12"/>
      <c r="F115" s="13" t="s">
        <v>248</v>
      </c>
      <c r="G115" s="9" t="str">
        <f>IF(OR(F114="",F116=""),"",+IF(F114&gt;F116,E114,E116))</f>
        <v/>
      </c>
      <c r="H115" s="16"/>
      <c r="I115" s="10"/>
      <c r="J115" s="14"/>
      <c r="K115" s="10"/>
      <c r="L115" s="14"/>
      <c r="M115" s="10"/>
      <c r="N115" s="10"/>
      <c r="O115" s="10"/>
    </row>
    <row r="116" spans="4:15" ht="13" thickBot="1">
      <c r="D116">
        <v>53</v>
      </c>
      <c r="E116" s="10"/>
      <c r="F116" s="16"/>
      <c r="G116" s="10"/>
      <c r="H116" s="10"/>
      <c r="I116" s="10"/>
      <c r="J116" s="14" t="s">
        <v>218</v>
      </c>
      <c r="K116" s="9" t="str">
        <f>IF(OR(J113="",J121=""),"",+IF(J113&gt;J121,I113,I121))</f>
        <v/>
      </c>
      <c r="L116" s="16"/>
      <c r="M116" s="10"/>
      <c r="N116" s="10"/>
      <c r="O116" s="10"/>
    </row>
    <row r="117" spans="4:15">
      <c r="E117" s="12"/>
      <c r="F117" s="10"/>
      <c r="G117" s="10"/>
      <c r="H117" s="10"/>
      <c r="I117" s="10"/>
      <c r="J117" s="14"/>
      <c r="K117" s="10"/>
      <c r="L117" s="10"/>
      <c r="M117" s="10"/>
      <c r="N117" s="10"/>
      <c r="O117" s="10"/>
    </row>
    <row r="118" spans="4:15" ht="13" thickBot="1">
      <c r="D118">
        <v>54</v>
      </c>
      <c r="E118" s="10"/>
      <c r="F118" s="11"/>
      <c r="G118" s="10"/>
      <c r="H118" s="10"/>
      <c r="I118" s="10"/>
      <c r="J118" s="14"/>
      <c r="K118" s="10"/>
      <c r="L118" s="10"/>
      <c r="M118" s="10"/>
      <c r="N118" s="10"/>
      <c r="O118" s="10"/>
    </row>
    <row r="119" spans="4:15" ht="13" thickBot="1">
      <c r="E119" s="12"/>
      <c r="F119" s="13" t="s">
        <v>250</v>
      </c>
      <c r="G119" s="9" t="str">
        <f>IF(OR(F118="",F120=""),"",+IF(F118&gt;F120,E118,E120))</f>
        <v/>
      </c>
      <c r="H119" s="11"/>
      <c r="I119" s="10"/>
      <c r="J119" s="14"/>
      <c r="K119" s="10"/>
      <c r="L119" s="10"/>
      <c r="M119" s="10"/>
      <c r="N119" s="10"/>
      <c r="O119" s="10"/>
    </row>
    <row r="120" spans="4:15" ht="13" thickBot="1">
      <c r="D120">
        <v>55</v>
      </c>
      <c r="E120" s="9"/>
      <c r="F120" s="16"/>
      <c r="G120" s="10"/>
      <c r="H120" s="13"/>
      <c r="I120" s="10"/>
      <c r="J120" s="14"/>
      <c r="K120" s="10"/>
      <c r="L120" s="10"/>
      <c r="M120" s="10"/>
      <c r="N120" s="10"/>
      <c r="O120" s="10"/>
    </row>
    <row r="121" spans="4:15" ht="13" thickBot="1">
      <c r="E121" s="10"/>
      <c r="F121" s="10"/>
      <c r="G121" s="10"/>
      <c r="H121" s="14" t="s">
        <v>239</v>
      </c>
      <c r="I121" s="9" t="str">
        <f>IF(OR(H119="",H122=""),"",+IF(H119&gt;H122,G119,E122))</f>
        <v/>
      </c>
      <c r="J121" s="16"/>
      <c r="K121" s="10"/>
      <c r="L121" s="10"/>
      <c r="M121" s="10"/>
      <c r="N121" s="10"/>
      <c r="O121" s="10"/>
    </row>
    <row r="122" spans="4:15" ht="13" thickBot="1">
      <c r="D122">
        <v>56</v>
      </c>
      <c r="E122" s="9"/>
      <c r="F122" s="9"/>
      <c r="G122" s="9">
        <f>E122</f>
        <v>0</v>
      </c>
      <c r="H122" s="16"/>
      <c r="I122" s="10"/>
      <c r="J122" s="10"/>
      <c r="K122" s="10"/>
      <c r="L122" s="10"/>
      <c r="M122" s="10"/>
      <c r="N122" s="10"/>
      <c r="O122" s="10"/>
    </row>
    <row r="134" spans="5:5">
      <c r="E134" s="23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69"/>
  <dimension ref="D4:AG132"/>
  <sheetViews>
    <sheetView showGridLines="0" topLeftCell="A37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6.87890625" customWidth="1"/>
    <col min="16" max="16" width="4.527343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E20</f>
        <v>0</v>
      </c>
      <c r="V7" t="s">
        <v>77</v>
      </c>
      <c r="W7" s="29">
        <f>E22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E24</f>
        <v>0</v>
      </c>
      <c r="V8" t="s">
        <v>77</v>
      </c>
      <c r="W8" s="29">
        <f>E26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250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E28</f>
        <v>0</v>
      </c>
      <c r="V9" t="s">
        <v>77</v>
      </c>
      <c r="W9" s="29">
        <f>E30</f>
        <v>0</v>
      </c>
      <c r="Z9" s="34"/>
      <c r="AA9" s="40"/>
      <c r="AB9" s="40"/>
      <c r="AC9" s="38" t="s">
        <v>159</v>
      </c>
      <c r="AD9" s="48"/>
      <c r="AE9" s="53" t="e">
        <f>LOOKUP(AD9,T$5:T$78,U$5:U$61)</f>
        <v>#N/A</v>
      </c>
      <c r="AF9" s="37" t="s">
        <v>157</v>
      </c>
      <c r="AG9" s="65" t="e">
        <f>LOOKUP(AD9,T$5:T$78,W$5:W$64)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E37</f>
        <v>0</v>
      </c>
      <c r="V10" t="s">
        <v>77</v>
      </c>
      <c r="W10" s="29">
        <f>E39</f>
        <v>0</v>
      </c>
      <c r="Z10" s="34"/>
      <c r="AA10" s="40"/>
      <c r="AB10" s="40"/>
      <c r="AC10" s="38" t="s">
        <v>159</v>
      </c>
      <c r="AD10" s="48"/>
      <c r="AE10" s="53" t="e">
        <f>LOOKUP(AD10,T$5:T$78,U$5:U$61)</f>
        <v>#N/A</v>
      </c>
      <c r="AF10" s="37" t="s">
        <v>157</v>
      </c>
      <c r="AG10" s="65" t="e">
        <f>LOOKUP(AD10,T$5:T$78,W$5:W$64)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E41</f>
        <v>0</v>
      </c>
      <c r="V11" t="s">
        <v>77</v>
      </c>
      <c r="W11" s="29">
        <f>E43</f>
        <v>0</v>
      </c>
      <c r="Z11" s="34"/>
      <c r="AA11" s="40"/>
      <c r="AB11" s="40"/>
      <c r="AC11" s="38" t="s">
        <v>159</v>
      </c>
      <c r="AD11" s="48"/>
      <c r="AE11" s="53" t="e">
        <f>LOOKUP(AD11,T$5:T$78,U$5:U$61)</f>
        <v>#N/A</v>
      </c>
      <c r="AF11" s="37" t="s">
        <v>157</v>
      </c>
      <c r="AG11" s="65" t="e">
        <f>LOOKUP(AD11,T$5:T$78,W$5:W$64)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E45</f>
        <v>0</v>
      </c>
      <c r="V12" t="s">
        <v>77</v>
      </c>
      <c r="W12" s="29">
        <f>E47</f>
        <v>0</v>
      </c>
      <c r="Z12" s="34"/>
      <c r="AA12" s="40"/>
      <c r="AB12" s="40"/>
      <c r="AC12" s="38" t="s">
        <v>159</v>
      </c>
      <c r="AD12" s="48"/>
      <c r="AE12" s="53" t="e">
        <f>LOOKUP(AD12,T$5:T$78,U$5:U$61)</f>
        <v>#N/A</v>
      </c>
      <c r="AF12" s="37" t="s">
        <v>157</v>
      </c>
      <c r="AG12" s="65" t="e">
        <f>LOOKUP(AD12,T$5:T$78,W$5:W$64)</f>
        <v>#N/A</v>
      </c>
    </row>
    <row r="13" spans="4:33" ht="13" thickBot="1">
      <c r="E13" s="12"/>
      <c r="F13" s="10"/>
      <c r="G13" s="10"/>
      <c r="H13" s="10"/>
      <c r="I13" s="10"/>
      <c r="J13" s="14" t="s">
        <v>239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E49</f>
        <v>0</v>
      </c>
      <c r="V13" t="s">
        <v>77</v>
      </c>
      <c r="W13" s="29">
        <f>E51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E53</f>
        <v>0</v>
      </c>
      <c r="V14" t="s">
        <v>77</v>
      </c>
      <c r="W14" s="29">
        <f>E55</f>
        <v>0</v>
      </c>
      <c r="Z14" s="34"/>
      <c r="AA14" s="40"/>
      <c r="AB14" s="40"/>
      <c r="AC14" s="38" t="s">
        <v>159</v>
      </c>
      <c r="AD14" s="48"/>
      <c r="AE14" s="53" t="e">
        <f>LOOKUP(AD14,T$5:T$78,U$5:U$61)</f>
        <v>#N/A</v>
      </c>
      <c r="AF14" s="37" t="s">
        <v>157</v>
      </c>
      <c r="AG14" s="65" t="e">
        <f>LOOKUP(AD14,T$5:T$78,W$5:W$64)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N15" s="10"/>
      <c r="O15" s="10"/>
      <c r="T15">
        <v>11</v>
      </c>
      <c r="U15" s="28">
        <f>E57</f>
        <v>0</v>
      </c>
      <c r="V15" t="s">
        <v>77</v>
      </c>
      <c r="W15" s="29">
        <f>E59</f>
        <v>0</v>
      </c>
      <c r="Z15" s="34"/>
      <c r="AA15" s="40"/>
      <c r="AB15" s="40"/>
      <c r="AC15" s="38" t="s">
        <v>159</v>
      </c>
      <c r="AD15" s="48"/>
      <c r="AE15" s="53" t="e">
        <f>LOOKUP(AD15,T$5:T$78,U$5:U$61)</f>
        <v>#N/A</v>
      </c>
      <c r="AF15" s="37" t="s">
        <v>157</v>
      </c>
      <c r="AG15" s="65" t="e">
        <f>LOOKUP(AD15,T$5:T$78,W$5:W$64)</f>
        <v>#N/A</v>
      </c>
    </row>
    <row r="16" spans="4:33" ht="13" thickBot="1">
      <c r="D16">
        <v>5</v>
      </c>
      <c r="E16" s="9"/>
      <c r="F16" s="16"/>
      <c r="G16" s="10"/>
      <c r="H16" s="13"/>
      <c r="I16" s="10"/>
      <c r="J16" s="14"/>
      <c r="K16" s="10"/>
      <c r="L16" s="14"/>
      <c r="M16" s="10"/>
      <c r="N16" s="10"/>
      <c r="O16" s="10"/>
      <c r="T16">
        <v>12</v>
      </c>
      <c r="U16" s="28">
        <f>E67</f>
        <v>0</v>
      </c>
      <c r="V16" t="s">
        <v>77</v>
      </c>
      <c r="W16" s="29">
        <f>E69</f>
        <v>0</v>
      </c>
      <c r="Z16" s="34"/>
      <c r="AA16" s="40"/>
      <c r="AB16" s="40"/>
      <c r="AC16" s="38" t="s">
        <v>159</v>
      </c>
      <c r="AD16" s="48"/>
      <c r="AE16" s="53" t="e">
        <f>LOOKUP(AD16,T$5:T$78,U$5:U$61)</f>
        <v>#N/A</v>
      </c>
      <c r="AF16" s="37" t="s">
        <v>157</v>
      </c>
      <c r="AG16" s="65" t="e">
        <f>LOOKUP(AD16,T$5:T$78,W$5:W$64)</f>
        <v>#N/A</v>
      </c>
    </row>
    <row r="17" spans="4:33" ht="13" thickBot="1">
      <c r="E17" s="10"/>
      <c r="F17" s="10"/>
      <c r="G17" s="10"/>
      <c r="H17" s="14" t="s">
        <v>252</v>
      </c>
      <c r="I17" s="9" t="str">
        <f>IF(OR(H15="",H18=""),"",+IF(H15&gt;H18,G15,E18))</f>
        <v/>
      </c>
      <c r="J17" s="16"/>
      <c r="K17" s="10"/>
      <c r="L17" s="14"/>
      <c r="M17" s="10"/>
      <c r="N17" s="10"/>
      <c r="O17" s="10"/>
      <c r="T17">
        <v>13</v>
      </c>
      <c r="U17" s="28">
        <f>E71</f>
        <v>0</v>
      </c>
      <c r="V17" t="s">
        <v>77</v>
      </c>
      <c r="W17" s="29">
        <f>E73</f>
        <v>0</v>
      </c>
      <c r="Z17" s="34"/>
      <c r="AA17" s="40"/>
      <c r="AB17" s="40"/>
      <c r="AC17" s="38" t="s">
        <v>159</v>
      </c>
      <c r="AD17" s="48"/>
      <c r="AE17" s="53" t="e">
        <f>LOOKUP(AD17,T$5:T$78,U$5:U$61)</f>
        <v>#N/A</v>
      </c>
      <c r="AF17" s="37" t="s">
        <v>157</v>
      </c>
      <c r="AG17" s="65" t="e">
        <f>LOOKUP(AD17,T$5:T$78,W$5:W$64)</f>
        <v>#N/A</v>
      </c>
    </row>
    <row r="18" spans="4:33" ht="13" thickBot="1">
      <c r="D18">
        <v>6</v>
      </c>
      <c r="E18" s="9"/>
      <c r="F18" s="9"/>
      <c r="G18" s="9">
        <f>E18</f>
        <v>0</v>
      </c>
      <c r="H18" s="16"/>
      <c r="I18" s="10"/>
      <c r="J18" s="10"/>
      <c r="K18" s="10"/>
      <c r="L18" s="14"/>
      <c r="M18" s="10"/>
      <c r="N18" s="10"/>
      <c r="O18" s="10"/>
      <c r="T18">
        <v>14</v>
      </c>
      <c r="U18" s="28">
        <f>E75</f>
        <v>0</v>
      </c>
      <c r="V18" t="s">
        <v>77</v>
      </c>
      <c r="W18" s="29">
        <f>E77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>
      <c r="E19" s="10"/>
      <c r="F19" s="10"/>
      <c r="G19" s="10"/>
      <c r="H19" s="10"/>
      <c r="I19" s="10"/>
      <c r="J19" s="10"/>
      <c r="K19" s="10"/>
      <c r="L19" s="14"/>
      <c r="M19" s="10"/>
      <c r="N19" s="10"/>
      <c r="O19" s="10"/>
      <c r="T19">
        <v>15</v>
      </c>
      <c r="U19" s="28">
        <f>E79</f>
        <v>0</v>
      </c>
      <c r="V19" t="s">
        <v>77</v>
      </c>
      <c r="W19" s="29">
        <f>E81</f>
        <v>0</v>
      </c>
      <c r="Z19" s="34"/>
      <c r="AA19" s="40"/>
      <c r="AB19" s="40"/>
      <c r="AC19" s="38" t="s">
        <v>159</v>
      </c>
      <c r="AD19" s="48"/>
      <c r="AE19" s="53" t="e">
        <f>LOOKUP(AD19,T$5:T$78,U$5:U$61)</f>
        <v>#N/A</v>
      </c>
      <c r="AF19" s="37" t="s">
        <v>157</v>
      </c>
      <c r="AG19" s="65" t="e">
        <f>LOOKUP(AD19,T$5:T$78,W$5:W$64)</f>
        <v>#N/A</v>
      </c>
    </row>
    <row r="20" spans="4:33" ht="13" thickBot="1">
      <c r="D20">
        <v>7</v>
      </c>
      <c r="E20" s="10"/>
      <c r="F20" s="11"/>
      <c r="G20" s="10"/>
      <c r="H20" s="10"/>
      <c r="I20" s="10"/>
      <c r="J20" s="10"/>
      <c r="K20" s="10"/>
      <c r="L20" s="14" t="s">
        <v>218</v>
      </c>
      <c r="M20" s="9" t="str">
        <f>IF(OR(L13="",L26=""),"",+IF(L13&gt;L26,K13,K26))</f>
        <v/>
      </c>
      <c r="N20" s="17"/>
      <c r="O20" s="10"/>
      <c r="T20">
        <v>16</v>
      </c>
      <c r="U20" s="28">
        <f>E83</f>
        <v>0</v>
      </c>
      <c r="V20" t="s">
        <v>77</v>
      </c>
      <c r="W20" s="29">
        <f>E85</f>
        <v>0</v>
      </c>
      <c r="Z20" s="34"/>
      <c r="AA20" s="40"/>
      <c r="AB20" s="40"/>
      <c r="AC20" s="38" t="s">
        <v>159</v>
      </c>
      <c r="AD20" s="48"/>
      <c r="AE20" s="53" t="e">
        <f>LOOKUP(AD20,T$5:T$78,U$5:U$61)</f>
        <v>#N/A</v>
      </c>
      <c r="AF20" s="37" t="s">
        <v>157</v>
      </c>
      <c r="AG20" s="65" t="e">
        <f>LOOKUP(AD20,T$5:T$78,W$5:W$64)</f>
        <v>#N/A</v>
      </c>
    </row>
    <row r="21" spans="4:33" ht="13" thickBot="1">
      <c r="E21" s="12"/>
      <c r="F21" s="13" t="s">
        <v>206</v>
      </c>
      <c r="G21" s="9" t="str">
        <f>IF(OR(F20="",F22=""),"",+IF(F20&gt;F22,E20,E22))</f>
        <v/>
      </c>
      <c r="H21" s="17"/>
      <c r="I21" s="10"/>
      <c r="J21" s="10"/>
      <c r="K21" s="10"/>
      <c r="L21" s="14"/>
      <c r="M21" s="10"/>
      <c r="N21" s="14"/>
      <c r="O21" s="10"/>
      <c r="T21">
        <v>17</v>
      </c>
      <c r="U21" s="28">
        <f>E87</f>
        <v>0</v>
      </c>
      <c r="V21" t="s">
        <v>77</v>
      </c>
      <c r="W21" s="29">
        <f>E89</f>
        <v>0</v>
      </c>
      <c r="Z21" s="34"/>
      <c r="AA21" s="40"/>
      <c r="AB21" s="40"/>
      <c r="AC21" s="38" t="s">
        <v>159</v>
      </c>
      <c r="AD21" s="48"/>
      <c r="AE21" s="53" t="e">
        <f>LOOKUP(AD21,T$5:T$78,U$5:U$61)</f>
        <v>#N/A</v>
      </c>
      <c r="AF21" s="37" t="s">
        <v>157</v>
      </c>
      <c r="AG21" s="65" t="e">
        <f>LOOKUP(AD21,T$5:T$78,W$5:W$64)</f>
        <v>#N/A</v>
      </c>
    </row>
    <row r="22" spans="4:33" ht="13" thickBot="1">
      <c r="D22">
        <v>8</v>
      </c>
      <c r="E22" s="10"/>
      <c r="F22" s="16"/>
      <c r="G22" s="10"/>
      <c r="H22" s="14"/>
      <c r="I22" s="10"/>
      <c r="J22" s="10"/>
      <c r="K22" s="10"/>
      <c r="L22" s="14"/>
      <c r="M22" s="10"/>
      <c r="N22" s="14"/>
      <c r="O22" s="10"/>
      <c r="T22">
        <v>18</v>
      </c>
      <c r="U22" s="28">
        <f>E96</f>
        <v>0</v>
      </c>
      <c r="V22" t="s">
        <v>77</v>
      </c>
      <c r="W22" s="29">
        <f>E98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0"/>
      <c r="G23" s="10"/>
      <c r="H23" s="14" t="s">
        <v>254</v>
      </c>
      <c r="I23" s="9" t="str">
        <f>IF(OR(H21="",H25=""),"",+IF(H21&gt;H25,G21,G25))</f>
        <v/>
      </c>
      <c r="J23" s="17"/>
      <c r="K23" s="10"/>
      <c r="L23" s="14"/>
      <c r="M23" s="10"/>
      <c r="N23" s="14"/>
      <c r="O23" s="10"/>
      <c r="T23">
        <v>19</v>
      </c>
      <c r="U23" s="28">
        <f>E100</f>
        <v>0</v>
      </c>
      <c r="V23" t="s">
        <v>77</v>
      </c>
      <c r="W23" s="29">
        <f>E102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1"/>
      <c r="G24" s="10"/>
      <c r="H24" s="14"/>
      <c r="I24" s="10"/>
      <c r="J24" s="14"/>
      <c r="K24" s="10"/>
      <c r="L24" s="14"/>
      <c r="M24" s="10"/>
      <c r="N24" s="14"/>
      <c r="O24" s="10"/>
      <c r="T24">
        <v>20</v>
      </c>
      <c r="U24" s="28">
        <f>E104</f>
        <v>0</v>
      </c>
      <c r="V24" t="s">
        <v>77</v>
      </c>
      <c r="W24" s="29">
        <f>E106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3" t="s">
        <v>208</v>
      </c>
      <c r="G25" s="9" t="str">
        <f>IF(OR(F24="",F26=""),"",+IF(F24&gt;F26,E24,E26))</f>
        <v/>
      </c>
      <c r="H25" s="16"/>
      <c r="I25" s="10"/>
      <c r="J25" s="14"/>
      <c r="K25" s="10"/>
      <c r="L25" s="14"/>
      <c r="M25" s="10"/>
      <c r="N25" s="14"/>
      <c r="O25" s="10"/>
      <c r="T25">
        <v>21</v>
      </c>
      <c r="U25" s="28">
        <f>E108</f>
        <v>0</v>
      </c>
      <c r="V25" t="s">
        <v>77</v>
      </c>
      <c r="W25" s="29">
        <f>E110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6"/>
      <c r="G26" s="10"/>
      <c r="H26" s="10"/>
      <c r="I26" s="10"/>
      <c r="J26" s="14" t="s">
        <v>243</v>
      </c>
      <c r="K26" s="9" t="str">
        <f>IF(OR(J23="",J31=""),"",+IF(J23&gt;J31,I23,I31))</f>
        <v/>
      </c>
      <c r="L26" s="16"/>
      <c r="M26" s="10"/>
      <c r="N26" s="14"/>
      <c r="O26" s="10"/>
      <c r="T26">
        <v>22</v>
      </c>
      <c r="U26" s="28">
        <f>E112</f>
        <v>0</v>
      </c>
      <c r="V26" t="s">
        <v>77</v>
      </c>
      <c r="W26" s="29">
        <f>E114</f>
        <v>0</v>
      </c>
      <c r="Z26" s="34"/>
      <c r="AA26" s="40"/>
      <c r="AB26" s="40"/>
      <c r="AC26" s="38" t="s">
        <v>159</v>
      </c>
      <c r="AD26" s="48"/>
      <c r="AE26" s="53" t="e">
        <f>LOOKUP(AD26,T$5:T$78,U$5:U$61)</f>
        <v>#N/A</v>
      </c>
      <c r="AF26" s="37" t="s">
        <v>157</v>
      </c>
      <c r="AG26" s="65" t="e">
        <f>LOOKUP(AD26,T$5:T$78,W$5:W$64)</f>
        <v>#N/A</v>
      </c>
    </row>
    <row r="27" spans="4:33">
      <c r="E27" s="12"/>
      <c r="F27" s="10"/>
      <c r="G27" s="10"/>
      <c r="H27" s="10"/>
      <c r="I27" s="10"/>
      <c r="J27" s="14"/>
      <c r="K27" s="10"/>
      <c r="L27" s="10"/>
      <c r="M27" s="10"/>
      <c r="N27" s="14"/>
      <c r="O27" s="10"/>
      <c r="T27">
        <v>23</v>
      </c>
      <c r="U27" s="28">
        <f>E116</f>
        <v>0</v>
      </c>
      <c r="V27" t="s">
        <v>77</v>
      </c>
      <c r="W27" s="29">
        <f>E118</f>
        <v>0</v>
      </c>
      <c r="Z27" s="34"/>
      <c r="AA27" s="40"/>
      <c r="AB27" s="40"/>
      <c r="AC27" s="38" t="s">
        <v>159</v>
      </c>
      <c r="AD27" s="48"/>
      <c r="AE27" s="53" t="e">
        <f>LOOKUP(AD27,T$5:T$78,U$5:U$61)</f>
        <v>#N/A</v>
      </c>
      <c r="AF27" s="37" t="s">
        <v>157</v>
      </c>
      <c r="AG27" s="65" t="e">
        <f>LOOKUP(AD27,T$5:T$78,W$5:W$64)</f>
        <v>#N/A</v>
      </c>
    </row>
    <row r="28" spans="4:33" ht="13" thickBot="1">
      <c r="D28">
        <v>11</v>
      </c>
      <c r="E28" s="10"/>
      <c r="F28" s="11"/>
      <c r="G28" s="10"/>
      <c r="H28" s="10"/>
      <c r="I28" s="10"/>
      <c r="J28" s="14"/>
      <c r="K28" s="10"/>
      <c r="L28" s="10"/>
      <c r="M28" s="10"/>
      <c r="N28" s="14"/>
      <c r="O28" s="10"/>
      <c r="T28">
        <v>24</v>
      </c>
      <c r="U28" s="28">
        <f>E7</f>
        <v>0</v>
      </c>
      <c r="V28" t="s">
        <v>77</v>
      </c>
      <c r="W28" s="29" t="s">
        <v>78</v>
      </c>
      <c r="Z28" s="34"/>
      <c r="AA28" s="40"/>
      <c r="AB28" s="40"/>
      <c r="AC28" s="38" t="s">
        <v>159</v>
      </c>
      <c r="AD28" s="48"/>
      <c r="AE28" s="53" t="e">
        <f>LOOKUP(AD28,T$5:T$78,U$5:U$61)</f>
        <v>#N/A</v>
      </c>
      <c r="AF28" s="37" t="s">
        <v>157</v>
      </c>
      <c r="AG28" s="65" t="e">
        <f>LOOKUP(AD28,T$5:T$78,W$5:W$64)</f>
        <v>#N/A</v>
      </c>
    </row>
    <row r="29" spans="4:33" ht="13" thickBot="1">
      <c r="E29" s="12"/>
      <c r="F29" s="13" t="s">
        <v>210</v>
      </c>
      <c r="G29" s="9" t="str">
        <f>IF(OR(F28="",F30=""),"",+IF(F28&gt;F30,E28,E30))</f>
        <v/>
      </c>
      <c r="H29" s="11"/>
      <c r="I29" s="10"/>
      <c r="J29" s="14"/>
      <c r="K29" s="10"/>
      <c r="L29" s="10"/>
      <c r="M29" s="10"/>
      <c r="N29" s="14"/>
      <c r="O29" s="10"/>
      <c r="T29">
        <v>25</v>
      </c>
      <c r="U29" s="28" t="s">
        <v>160</v>
      </c>
      <c r="V29" t="s">
        <v>77</v>
      </c>
      <c r="W29" s="29">
        <f>E18</f>
        <v>0</v>
      </c>
      <c r="Z29" s="34"/>
      <c r="AA29" s="40"/>
      <c r="AB29" s="40"/>
      <c r="AC29" s="38" t="s">
        <v>159</v>
      </c>
      <c r="AD29" s="48"/>
      <c r="AE29" s="53" t="e">
        <f>LOOKUP(AD29,T$5:T$78,U$5:U$61)</f>
        <v>#N/A</v>
      </c>
      <c r="AF29" s="37" t="s">
        <v>157</v>
      </c>
      <c r="AG29" s="65" t="e">
        <f>LOOKUP(AD29,T$5:T$78,W$5:W$64)</f>
        <v>#N/A</v>
      </c>
    </row>
    <row r="30" spans="4:33" ht="13" thickBot="1">
      <c r="D30">
        <v>12</v>
      </c>
      <c r="E30" s="9"/>
      <c r="F30" s="16"/>
      <c r="G30" s="10"/>
      <c r="H30" s="13"/>
      <c r="I30" s="10"/>
      <c r="J30" s="14"/>
      <c r="K30" s="10"/>
      <c r="L30" s="10"/>
      <c r="M30" s="10"/>
      <c r="N30" s="14"/>
      <c r="O30" s="10"/>
      <c r="T30">
        <v>26</v>
      </c>
      <c r="U30" s="28" t="s">
        <v>161</v>
      </c>
      <c r="V30" t="s">
        <v>77</v>
      </c>
      <c r="W30" s="29" t="s">
        <v>81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/>
      <c r="F31" s="10"/>
      <c r="G31" s="10"/>
      <c r="H31" s="14" t="s">
        <v>256</v>
      </c>
      <c r="I31" s="9" t="str">
        <f>IF(OR(H29="",H32=""),"",+IF(H29&gt;H32,G29,E32))</f>
        <v/>
      </c>
      <c r="J31" s="16"/>
      <c r="K31" s="10"/>
      <c r="L31" s="10"/>
      <c r="M31" s="10"/>
      <c r="N31" s="14"/>
      <c r="O31" s="10"/>
      <c r="T31">
        <v>27</v>
      </c>
      <c r="U31" s="28" t="s">
        <v>162</v>
      </c>
      <c r="V31" t="s">
        <v>77</v>
      </c>
      <c r="W31" s="29">
        <f>E32</f>
        <v>0</v>
      </c>
      <c r="Z31" s="34"/>
      <c r="AA31" s="40"/>
      <c r="AB31" s="40"/>
      <c r="AC31" s="38" t="s">
        <v>159</v>
      </c>
      <c r="AD31" s="48"/>
      <c r="AE31" s="53" t="e">
        <f>LOOKUP(AD31,T$5:T$78,U$5:U$61)</f>
        <v>#N/A</v>
      </c>
      <c r="AF31" s="37" t="s">
        <v>157</v>
      </c>
      <c r="AG31" s="65" t="e">
        <f>LOOKUP(AD31,T$5:T$78,W$5:W$64)</f>
        <v>#N/A</v>
      </c>
    </row>
    <row r="32" spans="4:33" ht="13" thickBot="1">
      <c r="D32">
        <v>13</v>
      </c>
      <c r="E32" s="9"/>
      <c r="F32" s="9"/>
      <c r="G32" s="9">
        <f>E32</f>
        <v>0</v>
      </c>
      <c r="H32" s="16"/>
      <c r="I32" s="10"/>
      <c r="J32" s="10"/>
      <c r="K32" s="10"/>
      <c r="L32" s="10"/>
      <c r="M32" s="10"/>
      <c r="N32" s="14"/>
      <c r="O32" s="10"/>
      <c r="T32">
        <v>28</v>
      </c>
      <c r="U32" s="28">
        <f>E34</f>
        <v>0</v>
      </c>
      <c r="V32" t="s">
        <v>77</v>
      </c>
      <c r="W32" s="29" t="s">
        <v>163</v>
      </c>
      <c r="Z32" s="34"/>
      <c r="AA32" s="40"/>
      <c r="AB32" s="40"/>
      <c r="AC32" s="38" t="s">
        <v>159</v>
      </c>
      <c r="AD32" s="48"/>
      <c r="AE32" s="53" t="e">
        <f>LOOKUP(AD32,T$5:T$78,U$5:U$61)</f>
        <v>#N/A</v>
      </c>
      <c r="AF32" s="37" t="s">
        <v>157</v>
      </c>
      <c r="AG32" s="65" t="e">
        <f>LOOKUP(AD32,T$5:T$78,W$5:W$64)</f>
        <v>#N/A</v>
      </c>
    </row>
    <row r="33" spans="4:33" ht="13" thickBot="1">
      <c r="E33" s="10"/>
      <c r="F33" s="10"/>
      <c r="G33" s="10"/>
      <c r="H33" s="10"/>
      <c r="I33" s="10"/>
      <c r="J33" s="10"/>
      <c r="K33" s="10"/>
      <c r="L33" s="10"/>
      <c r="M33" s="10"/>
      <c r="N33" s="14" t="s">
        <v>249</v>
      </c>
      <c r="O33" s="9" t="str">
        <f>IF(OR(N20="",N48=""),"",+IF(N20&gt;N48,M20,M48))</f>
        <v/>
      </c>
      <c r="P33" s="7"/>
      <c r="T33">
        <v>29</v>
      </c>
      <c r="U33" s="28" t="s">
        <v>84</v>
      </c>
      <c r="V33" t="s">
        <v>77</v>
      </c>
      <c r="W33" s="29" t="s">
        <v>164</v>
      </c>
      <c r="Z33" s="34"/>
      <c r="AA33" s="40"/>
      <c r="AB33" s="40"/>
      <c r="AC33" s="38" t="s">
        <v>159</v>
      </c>
      <c r="AD33" s="48"/>
      <c r="AE33" s="53" t="e">
        <f>LOOKUP(AD33,T$5:T$78,U$5:U$61)</f>
        <v>#N/A</v>
      </c>
      <c r="AF33" s="37" t="s">
        <v>157</v>
      </c>
      <c r="AG33" s="65" t="e">
        <f>LOOKUP(AD33,T$5:T$78,W$5:W$64)</f>
        <v>#N/A</v>
      </c>
    </row>
    <row r="34" spans="4:33" ht="13" thickBot="1">
      <c r="D34">
        <v>14</v>
      </c>
      <c r="E34" s="10"/>
      <c r="F34" s="9"/>
      <c r="G34" s="9">
        <f>E34</f>
        <v>0</v>
      </c>
      <c r="H34" s="11"/>
      <c r="I34" s="10"/>
      <c r="J34" s="10"/>
      <c r="K34" s="10"/>
      <c r="L34" s="10"/>
      <c r="M34" s="10"/>
      <c r="N34" s="14"/>
      <c r="O34" s="10"/>
      <c r="Q34" s="8"/>
      <c r="T34">
        <v>30</v>
      </c>
      <c r="U34" s="28" t="s">
        <v>200</v>
      </c>
      <c r="V34" t="s">
        <v>77</v>
      </c>
      <c r="W34" s="29" t="s">
        <v>87</v>
      </c>
      <c r="Z34" s="34"/>
      <c r="AA34" s="40"/>
      <c r="AB34" s="40"/>
      <c r="AC34" s="38" t="s">
        <v>159</v>
      </c>
      <c r="AD34" s="48"/>
      <c r="AE34" s="53" t="e">
        <f>LOOKUP(AD34,T$5:T$78,U$5:U$61)</f>
        <v>#N/A</v>
      </c>
      <c r="AF34" s="37" t="s">
        <v>157</v>
      </c>
      <c r="AG34" s="65" t="e">
        <f>LOOKUP(AD34,T$5:T$78,W$5:W$64)</f>
        <v>#N/A</v>
      </c>
    </row>
    <row r="35" spans="4:33">
      <c r="E35" s="12"/>
      <c r="F35" s="10"/>
      <c r="G35" s="10"/>
      <c r="H35" s="13"/>
      <c r="I35" s="10"/>
      <c r="J35" s="10"/>
      <c r="K35" s="10"/>
      <c r="L35" s="10"/>
      <c r="M35" s="10"/>
      <c r="N35" s="14"/>
      <c r="O35" s="10"/>
      <c r="Q35" s="8"/>
      <c r="T35">
        <v>31</v>
      </c>
      <c r="U35" s="28" t="s">
        <v>88</v>
      </c>
      <c r="V35" t="s">
        <v>77</v>
      </c>
      <c r="W35" s="29">
        <f>E61</f>
        <v>0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E36" s="10"/>
      <c r="F36" s="10"/>
      <c r="G36" s="10"/>
      <c r="H36" s="14" t="s">
        <v>258</v>
      </c>
      <c r="I36" s="9" t="str">
        <f>IF(OR(H34="",H38=""),"",+IF(H34&gt;H38,G34,G38))</f>
        <v/>
      </c>
      <c r="J36" s="10"/>
      <c r="K36" s="10"/>
      <c r="L36" s="10"/>
      <c r="M36" s="10"/>
      <c r="N36" s="14"/>
      <c r="O36" s="10"/>
      <c r="Q36" s="8"/>
      <c r="T36">
        <v>32</v>
      </c>
      <c r="U36" s="28">
        <f>E64</f>
        <v>0</v>
      </c>
      <c r="V36" t="s">
        <v>77</v>
      </c>
      <c r="W36" s="29" t="s">
        <v>89</v>
      </c>
      <c r="Z36" s="34"/>
      <c r="AA36" s="40"/>
      <c r="AB36" s="40"/>
      <c r="AC36" s="38" t="s">
        <v>159</v>
      </c>
      <c r="AD36" s="48"/>
      <c r="AE36" s="53" t="e">
        <f>LOOKUP(AD36,T$5:T$78,U$5:U$61)</f>
        <v>#N/A</v>
      </c>
      <c r="AF36" s="37" t="s">
        <v>157</v>
      </c>
      <c r="AG36" s="65" t="e">
        <f>LOOKUP(AD36,T$5:T$78,W$5:W$64)</f>
        <v>#N/A</v>
      </c>
    </row>
    <row r="37" spans="4:33" ht="13" thickBot="1">
      <c r="D37">
        <v>15</v>
      </c>
      <c r="E37" s="10"/>
      <c r="F37" s="11"/>
      <c r="G37" s="10"/>
      <c r="H37" s="14"/>
      <c r="I37" s="12"/>
      <c r="J37" s="15"/>
      <c r="K37" s="10"/>
      <c r="L37" s="10"/>
      <c r="M37" s="10"/>
      <c r="N37" s="14"/>
      <c r="O37" s="10"/>
      <c r="Q37" s="8"/>
      <c r="T37">
        <v>33</v>
      </c>
      <c r="U37" s="28" t="s">
        <v>90</v>
      </c>
      <c r="V37" t="s">
        <v>77</v>
      </c>
      <c r="W37" s="29" t="s">
        <v>91</v>
      </c>
      <c r="Z37" s="34"/>
      <c r="AA37" s="40"/>
      <c r="AB37" s="40"/>
      <c r="AC37" s="38" t="s">
        <v>159</v>
      </c>
      <c r="AD37" s="48"/>
      <c r="AE37" s="53" t="e">
        <f>LOOKUP(AD37,T$5:T$78,U$5:U$61)</f>
        <v>#N/A</v>
      </c>
      <c r="AF37" s="37" t="s">
        <v>157</v>
      </c>
      <c r="AG37" s="65" t="e">
        <f>LOOKUP(AD37,T$5:T$78,W$5:W$64)</f>
        <v>#N/A</v>
      </c>
    </row>
    <row r="38" spans="4:33" ht="13" thickBot="1">
      <c r="E38" s="12"/>
      <c r="F38" s="13" t="s">
        <v>212</v>
      </c>
      <c r="G38" s="9" t="str">
        <f>IF(OR(F37="",F39=""),"",+IF(F37&gt;F39,E37,E39))</f>
        <v/>
      </c>
      <c r="H38" s="16"/>
      <c r="I38" s="10"/>
      <c r="J38" s="14"/>
      <c r="K38" s="10"/>
      <c r="L38" s="10"/>
      <c r="M38" s="10"/>
      <c r="N38" s="14"/>
      <c r="O38" s="10"/>
      <c r="Q38" s="8"/>
      <c r="T38">
        <v>34</v>
      </c>
      <c r="U38" s="28" t="s">
        <v>92</v>
      </c>
      <c r="V38" t="s">
        <v>77</v>
      </c>
      <c r="W38" s="29" t="s">
        <v>165</v>
      </c>
      <c r="Z38" s="34"/>
      <c r="AA38" s="40"/>
      <c r="AB38" s="40"/>
      <c r="AC38" s="38" t="s">
        <v>159</v>
      </c>
      <c r="AD38" s="48"/>
      <c r="AE38" s="53" t="e">
        <f>LOOKUP(AD38,T$5:T$78,U$5:U$61)</f>
        <v>#N/A</v>
      </c>
      <c r="AF38" s="37" t="s">
        <v>157</v>
      </c>
      <c r="AG38" s="65" t="e">
        <f>LOOKUP(AD38,T$5:T$78,W$5:W$64)</f>
        <v>#N/A</v>
      </c>
    </row>
    <row r="39" spans="4:33" ht="13" thickBot="1">
      <c r="D39">
        <v>16</v>
      </c>
      <c r="E39" s="9"/>
      <c r="F39" s="16"/>
      <c r="G39" s="10"/>
      <c r="H39" s="10"/>
      <c r="I39" s="10"/>
      <c r="J39" s="14"/>
      <c r="K39" s="10"/>
      <c r="L39" s="10"/>
      <c r="M39" s="10"/>
      <c r="N39" s="14"/>
      <c r="O39" s="10"/>
      <c r="Q39" s="8"/>
      <c r="T39">
        <v>35</v>
      </c>
      <c r="U39" s="28" t="s">
        <v>94</v>
      </c>
      <c r="V39" t="s">
        <v>77</v>
      </c>
      <c r="W39" s="29">
        <f>E91</f>
        <v>0</v>
      </c>
      <c r="Z39" s="34"/>
      <c r="AA39" s="33"/>
      <c r="AB39" s="33"/>
      <c r="AC39" s="33"/>
      <c r="AD39" s="50"/>
      <c r="AE39" s="64" t="e">
        <f>LOOKUP(AD39,T$5:T$78,U$5:U$61)</f>
        <v>#N/A</v>
      </c>
      <c r="AF39" s="33"/>
      <c r="AG39" s="59"/>
    </row>
    <row r="40" spans="4:33" ht="13" thickBot="1">
      <c r="E40" s="10"/>
      <c r="F40" s="10"/>
      <c r="G40" s="10"/>
      <c r="H40" s="10"/>
      <c r="I40" s="10"/>
      <c r="J40" s="14" t="s">
        <v>247</v>
      </c>
      <c r="K40" s="9" t="str">
        <f>IF(OR(J37="",J44=""),"",+IF(J37&gt;J44,I36,I44))</f>
        <v/>
      </c>
      <c r="L40" s="17"/>
      <c r="M40" s="10"/>
      <c r="N40" s="14"/>
      <c r="O40" s="10"/>
      <c r="Q40" s="8"/>
      <c r="T40">
        <v>36</v>
      </c>
      <c r="U40" s="28">
        <f>E93</f>
        <v>0</v>
      </c>
      <c r="V40" t="s">
        <v>77</v>
      </c>
      <c r="W40" s="29" t="s">
        <v>95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10"/>
      <c r="F41" s="11"/>
      <c r="G41" s="10"/>
      <c r="H41" s="10"/>
      <c r="I41" s="10"/>
      <c r="J41" s="14"/>
      <c r="K41" s="10"/>
      <c r="L41" s="13"/>
      <c r="M41" s="10"/>
      <c r="N41" s="14"/>
      <c r="O41" s="10"/>
      <c r="Q41" s="8"/>
      <c r="T41">
        <v>37</v>
      </c>
      <c r="U41" s="28" t="s">
        <v>96</v>
      </c>
      <c r="V41" t="s">
        <v>77</v>
      </c>
      <c r="W41" s="29" t="s">
        <v>97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2"/>
      <c r="F42" s="13" t="s">
        <v>214</v>
      </c>
      <c r="G42" s="9" t="str">
        <f>IF(OR(F41="",F43=""),"",+IF(F41&gt;F43,E41,E43))</f>
        <v/>
      </c>
      <c r="H42" s="17"/>
      <c r="I42" s="10"/>
      <c r="J42" s="14"/>
      <c r="K42" s="10"/>
      <c r="L42" s="14"/>
      <c r="M42" s="10"/>
      <c r="N42" s="14"/>
      <c r="O42" s="10"/>
      <c r="Q42" s="8"/>
      <c r="T42">
        <v>38</v>
      </c>
      <c r="U42" s="28" t="s">
        <v>98</v>
      </c>
      <c r="V42" t="s">
        <v>77</v>
      </c>
      <c r="W42" s="29" t="s">
        <v>99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10"/>
      <c r="F43" s="16"/>
      <c r="G43" s="10"/>
      <c r="H43" s="14"/>
      <c r="I43" s="10"/>
      <c r="J43" s="14"/>
      <c r="K43" s="10"/>
      <c r="L43" s="14"/>
      <c r="M43" s="10"/>
      <c r="N43" s="14"/>
      <c r="O43" s="10"/>
      <c r="Q43" s="8"/>
      <c r="T43">
        <v>39</v>
      </c>
      <c r="U43" s="28" t="s">
        <v>100</v>
      </c>
      <c r="V43" t="s">
        <v>77</v>
      </c>
      <c r="W43" s="29">
        <f>E120</f>
        <v>0</v>
      </c>
      <c r="Z43" s="34"/>
      <c r="AA43" s="40"/>
      <c r="AB43" s="40"/>
      <c r="AC43" s="38" t="s">
        <v>159</v>
      </c>
      <c r="AD43" s="48"/>
      <c r="AE43" s="53" t="e">
        <f>LOOKUP(AD43,T$5:T$78,U$5:U$61)</f>
        <v>#N/A</v>
      </c>
      <c r="AF43" s="37" t="s">
        <v>157</v>
      </c>
      <c r="AG43" s="65" t="e">
        <f>LOOKUP(AD43,T$5:T$78,W$5:W$64)</f>
        <v>#N/A</v>
      </c>
    </row>
    <row r="44" spans="4:33" ht="13" thickBot="1">
      <c r="E44" s="12"/>
      <c r="F44" s="10"/>
      <c r="G44" s="10"/>
      <c r="H44" s="14" t="s">
        <v>260</v>
      </c>
      <c r="I44" s="9" t="str">
        <f>IF(OR(H42="",H46=""),"",+IF(H42&gt;H46,G42,G46))</f>
        <v/>
      </c>
      <c r="J44" s="16"/>
      <c r="K44" s="10"/>
      <c r="L44" s="14"/>
      <c r="M44" s="10"/>
      <c r="N44" s="14"/>
      <c r="O44" s="10"/>
      <c r="Q44" s="8"/>
      <c r="T44">
        <v>40</v>
      </c>
      <c r="U44" s="28" t="s">
        <v>101</v>
      </c>
      <c r="V44" t="s">
        <v>77</v>
      </c>
      <c r="W44" s="29" t="s">
        <v>102</v>
      </c>
      <c r="Z44" s="34"/>
      <c r="AA44" s="40"/>
      <c r="AB44" s="40"/>
      <c r="AC44" s="38" t="s">
        <v>159</v>
      </c>
      <c r="AD44" s="48"/>
      <c r="AE44" s="53" t="e">
        <f>LOOKUP(AD44,T$5:T$78,U$5:U$61)</f>
        <v>#N/A</v>
      </c>
      <c r="AF44" s="37" t="s">
        <v>157</v>
      </c>
      <c r="AG44" s="65" t="e">
        <f>LOOKUP(AD44,T$5:T$78,W$5:W$64)</f>
        <v>#N/A</v>
      </c>
    </row>
    <row r="45" spans="4:33" ht="13" thickBot="1">
      <c r="D45">
        <v>19</v>
      </c>
      <c r="E45" s="10"/>
      <c r="F45" s="11"/>
      <c r="G45" s="10"/>
      <c r="H45" s="14"/>
      <c r="I45" s="10"/>
      <c r="J45" s="10"/>
      <c r="K45" s="10"/>
      <c r="L45" s="14"/>
      <c r="M45" s="10"/>
      <c r="N45" s="14"/>
      <c r="O45" s="10"/>
      <c r="Q45" s="8"/>
      <c r="T45">
        <v>41</v>
      </c>
      <c r="U45" s="28" t="s">
        <v>103</v>
      </c>
      <c r="V45" t="s">
        <v>77</v>
      </c>
      <c r="W45" s="29" t="s">
        <v>104</v>
      </c>
      <c r="Z45" s="34"/>
      <c r="AA45" s="40"/>
      <c r="AB45" s="40"/>
      <c r="AC45" s="38" t="s">
        <v>159</v>
      </c>
      <c r="AD45" s="48"/>
      <c r="AE45" s="53" t="e">
        <f>LOOKUP(AD45,T$5:T$78,U$5:U$61)</f>
        <v>#N/A</v>
      </c>
      <c r="AF45" s="37" t="s">
        <v>157</v>
      </c>
      <c r="AG45" s="65" t="e">
        <f>LOOKUP(AD45,T$5:T$78,W$5:W$64)</f>
        <v>#N/A</v>
      </c>
    </row>
    <row r="46" spans="4:33" ht="13" thickBot="1">
      <c r="E46" s="12"/>
      <c r="F46" s="13" t="s">
        <v>217</v>
      </c>
      <c r="G46" s="9" t="str">
        <f>IF(OR(F45="",F47=""),"",+IF(F45&gt;F47,E45,E47))</f>
        <v/>
      </c>
      <c r="H46" s="16"/>
      <c r="I46" s="10"/>
      <c r="J46" s="10"/>
      <c r="K46" s="10"/>
      <c r="L46" s="14"/>
      <c r="M46" s="10"/>
      <c r="N46" s="14"/>
      <c r="O46" s="10"/>
      <c r="Q46" s="8"/>
      <c r="T46">
        <v>42</v>
      </c>
      <c r="U46" s="28" t="s">
        <v>105</v>
      </c>
      <c r="V46" t="s">
        <v>77</v>
      </c>
      <c r="W46" s="29" t="s">
        <v>106</v>
      </c>
      <c r="Z46" s="34"/>
      <c r="AA46" s="40"/>
      <c r="AB46" s="40"/>
      <c r="AC46" s="38" t="s">
        <v>159</v>
      </c>
      <c r="AD46" s="48"/>
      <c r="AE46" s="53" t="e">
        <f>LOOKUP(AD46,T$5:T$78,U$5:U$61)</f>
        <v>#N/A</v>
      </c>
      <c r="AF46" s="37" t="s">
        <v>157</v>
      </c>
      <c r="AG46" s="65" t="e">
        <f>LOOKUP(AD46,T$5:T$78,W$5:W$64)</f>
        <v>#N/A</v>
      </c>
    </row>
    <row r="47" spans="4:33" ht="13" thickBot="1">
      <c r="D47">
        <v>20</v>
      </c>
      <c r="E47" s="10"/>
      <c r="F47" s="16"/>
      <c r="G47" s="10"/>
      <c r="H47" s="10"/>
      <c r="I47" s="10"/>
      <c r="J47" s="10"/>
      <c r="K47" s="10"/>
      <c r="L47" s="14"/>
      <c r="M47" s="10"/>
      <c r="N47" s="14"/>
      <c r="O47" s="10"/>
      <c r="Q47" s="8"/>
      <c r="T47">
        <v>43</v>
      </c>
      <c r="U47" s="28" t="s">
        <v>107</v>
      </c>
      <c r="V47" t="s">
        <v>77</v>
      </c>
      <c r="W47" s="29" t="s">
        <v>108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0"/>
      <c r="G48" s="10"/>
      <c r="H48" s="10"/>
      <c r="I48" s="10"/>
      <c r="J48" s="10"/>
      <c r="K48" s="10"/>
      <c r="L48" s="14" t="s">
        <v>226</v>
      </c>
      <c r="M48" s="9" t="str">
        <f>IF(OR(L40="",L55=""),"",+IF(L40&gt;L55,K40,K55))</f>
        <v/>
      </c>
      <c r="N48" s="16"/>
      <c r="O48" s="10"/>
      <c r="Q48" s="8"/>
      <c r="T48">
        <v>44</v>
      </c>
      <c r="U48" s="28" t="s">
        <v>109</v>
      </c>
      <c r="V48" t="s">
        <v>77</v>
      </c>
      <c r="W48" s="29" t="s">
        <v>110</v>
      </c>
      <c r="Z48" s="34"/>
      <c r="AA48" s="40"/>
      <c r="AB48" s="40"/>
      <c r="AC48" s="38" t="s">
        <v>159</v>
      </c>
      <c r="AD48" s="48"/>
      <c r="AE48" s="53" t="e">
        <f>LOOKUP(AD48,T$5:T$78,U$5:U$61)</f>
        <v>#N/A</v>
      </c>
      <c r="AF48" s="37" t="s">
        <v>157</v>
      </c>
      <c r="AG48" s="65" t="e">
        <f>LOOKUP(AD48,T$5:T$78,W$5:W$64)</f>
        <v>#N/A</v>
      </c>
    </row>
    <row r="49" spans="4:33" ht="13" thickBot="1">
      <c r="D49">
        <v>21</v>
      </c>
      <c r="E49" s="10"/>
      <c r="F49" s="11"/>
      <c r="G49" s="10"/>
      <c r="H49" s="10"/>
      <c r="I49" s="10"/>
      <c r="J49" s="10"/>
      <c r="K49" s="10"/>
      <c r="L49" s="14"/>
      <c r="M49" s="10"/>
      <c r="N49" s="10"/>
      <c r="O49" s="10"/>
      <c r="Q49" s="8"/>
      <c r="T49">
        <v>45</v>
      </c>
      <c r="U49" s="28" t="s">
        <v>111</v>
      </c>
      <c r="V49" t="s">
        <v>77</v>
      </c>
      <c r="W49" s="29" t="s">
        <v>112</v>
      </c>
      <c r="Z49" s="34"/>
      <c r="AA49" s="40"/>
      <c r="AB49" s="40"/>
      <c r="AC49" s="38" t="s">
        <v>159</v>
      </c>
      <c r="AD49" s="48"/>
      <c r="AE49" s="53" t="e">
        <f>LOOKUP(AD49,T$5:T$78,U$5:U$61)</f>
        <v>#N/A</v>
      </c>
      <c r="AF49" s="37" t="s">
        <v>157</v>
      </c>
      <c r="AG49" s="65" t="e">
        <f>LOOKUP(AD49,T$5:T$78,W$5:W$64)</f>
        <v>#N/A</v>
      </c>
    </row>
    <row r="50" spans="4:33" ht="13" thickBot="1">
      <c r="E50" s="12"/>
      <c r="F50" s="13" t="s">
        <v>219</v>
      </c>
      <c r="G50" s="9" t="str">
        <f>IF(OR(F49="",F51=""),"",+IF(F49&gt;F51,E49,E51))</f>
        <v/>
      </c>
      <c r="H50" s="17"/>
      <c r="I50" s="10"/>
      <c r="J50" s="10"/>
      <c r="K50" s="10"/>
      <c r="L50" s="14"/>
      <c r="M50" s="10"/>
      <c r="N50" s="10"/>
      <c r="O50" s="10"/>
      <c r="Q50" s="8"/>
      <c r="T50">
        <v>46</v>
      </c>
      <c r="U50" s="28" t="s">
        <v>113</v>
      </c>
      <c r="V50" t="s">
        <v>77</v>
      </c>
      <c r="W50" s="29" t="s">
        <v>114</v>
      </c>
      <c r="Z50" s="34"/>
      <c r="AA50" s="40"/>
      <c r="AB50" s="40"/>
      <c r="AC50" s="38" t="s">
        <v>159</v>
      </c>
      <c r="AD50" s="48"/>
      <c r="AE50" s="53" t="e">
        <f>LOOKUP(AD50,T$5:T$78,U$5:U$61)</f>
        <v>#N/A</v>
      </c>
      <c r="AF50" s="37" t="s">
        <v>157</v>
      </c>
      <c r="AG50" s="65" t="e">
        <f>LOOKUP(AD50,T$5:T$78,W$5:W$64)</f>
        <v>#N/A</v>
      </c>
    </row>
    <row r="51" spans="4:33" ht="13" thickBot="1">
      <c r="D51">
        <v>22</v>
      </c>
      <c r="E51" s="10"/>
      <c r="F51" s="16"/>
      <c r="G51" s="10"/>
      <c r="H51" s="14"/>
      <c r="I51" s="10"/>
      <c r="J51" s="10"/>
      <c r="K51" s="10"/>
      <c r="L51" s="14"/>
      <c r="M51" s="10"/>
      <c r="N51" s="10"/>
      <c r="O51" s="10"/>
      <c r="Q51" s="8"/>
      <c r="T51">
        <v>47</v>
      </c>
      <c r="U51" s="28" t="s">
        <v>115</v>
      </c>
      <c r="V51" t="s">
        <v>77</v>
      </c>
      <c r="W51" s="29" t="s">
        <v>116</v>
      </c>
      <c r="Z51" s="34"/>
      <c r="AA51" s="40"/>
      <c r="AB51" s="40"/>
      <c r="AC51" s="38" t="s">
        <v>159</v>
      </c>
      <c r="AD51" s="48"/>
      <c r="AE51" s="53" t="e">
        <f>LOOKUP(AD51,T$5:T$78,U$5:U$61)</f>
        <v>#N/A</v>
      </c>
      <c r="AF51" s="37" t="s">
        <v>157</v>
      </c>
      <c r="AG51" s="65" t="e">
        <f>LOOKUP(AD51,T$5:T$78,W$5:W$64)</f>
        <v>#N/A</v>
      </c>
    </row>
    <row r="52" spans="4:33" ht="13" thickBot="1">
      <c r="E52" s="12"/>
      <c r="F52" s="10"/>
      <c r="G52" s="10"/>
      <c r="H52" s="14" t="s">
        <v>201</v>
      </c>
      <c r="I52" s="9" t="str">
        <f>IF(OR(H50="",H54=""),"",+IF(H50&gt;H54,G50,G54))</f>
        <v/>
      </c>
      <c r="J52" s="17"/>
      <c r="K52" s="10"/>
      <c r="L52" s="14"/>
      <c r="M52" s="10"/>
      <c r="N52" s="10"/>
      <c r="O52" s="10"/>
      <c r="Q52" s="8"/>
      <c r="T52">
        <v>48</v>
      </c>
      <c r="U52" s="28" t="s">
        <v>117</v>
      </c>
      <c r="V52" t="s">
        <v>77</v>
      </c>
      <c r="W52" s="29" t="s">
        <v>118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10"/>
      <c r="F53" s="11"/>
      <c r="G53" s="10"/>
      <c r="H53" s="14"/>
      <c r="I53" s="10"/>
      <c r="J53" s="14"/>
      <c r="K53" s="10"/>
      <c r="L53" s="14"/>
      <c r="M53" s="10"/>
      <c r="N53" s="10"/>
      <c r="O53" s="10"/>
      <c r="Q53" s="8"/>
      <c r="T53">
        <v>49</v>
      </c>
      <c r="U53" s="28" t="s">
        <v>119</v>
      </c>
      <c r="V53" t="s">
        <v>77</v>
      </c>
      <c r="W53" s="29" t="s">
        <v>120</v>
      </c>
      <c r="Z53" s="34"/>
      <c r="AA53" s="40"/>
      <c r="AB53" s="40"/>
      <c r="AC53" s="38" t="s">
        <v>159</v>
      </c>
      <c r="AD53" s="48"/>
      <c r="AE53" s="53" t="e">
        <f>LOOKUP(AD53,T$5:T$78,U$5:U$61)</f>
        <v>#N/A</v>
      </c>
      <c r="AF53" s="37" t="s">
        <v>157</v>
      </c>
      <c r="AG53" s="65" t="e">
        <f>LOOKUP(AD53,T$5:T$78,W$5:W$64)</f>
        <v>#N/A</v>
      </c>
    </row>
    <row r="54" spans="4:33" ht="13" thickBot="1">
      <c r="E54" s="12"/>
      <c r="F54" s="13" t="s">
        <v>221</v>
      </c>
      <c r="G54" s="9" t="str">
        <f>IF(OR(F53="",F55=""),"",+IF(F53&gt;F55,E53,E55))</f>
        <v/>
      </c>
      <c r="H54" s="16"/>
      <c r="I54" s="10"/>
      <c r="J54" s="14"/>
      <c r="K54" s="10"/>
      <c r="L54" s="14"/>
      <c r="M54" s="10"/>
      <c r="N54" s="10"/>
      <c r="O54" s="10"/>
      <c r="Q54" s="8"/>
      <c r="T54">
        <v>50</v>
      </c>
      <c r="U54" s="28" t="s">
        <v>121</v>
      </c>
      <c r="V54" t="s">
        <v>77</v>
      </c>
      <c r="W54" s="29" t="s">
        <v>122</v>
      </c>
      <c r="Z54" s="34"/>
      <c r="AA54" s="40"/>
      <c r="AB54" s="40"/>
      <c r="AC54" s="38" t="s">
        <v>159</v>
      </c>
      <c r="AD54" s="48"/>
      <c r="AE54" s="53" t="e">
        <f>LOOKUP(AD54,T$5:T$78,U$5:U$61)</f>
        <v>#N/A</v>
      </c>
      <c r="AF54" s="37" t="s">
        <v>157</v>
      </c>
      <c r="AG54" s="65" t="e">
        <f>LOOKUP(AD54,T$5:T$78,W$5:W$64)</f>
        <v>#N/A</v>
      </c>
    </row>
    <row r="55" spans="4:33" ht="13" thickBot="1">
      <c r="D55">
        <v>24</v>
      </c>
      <c r="E55" s="10"/>
      <c r="F55" s="16"/>
      <c r="G55" s="10"/>
      <c r="H55" s="10"/>
      <c r="I55" s="10"/>
      <c r="J55" s="14" t="s">
        <v>251</v>
      </c>
      <c r="K55" s="9" t="str">
        <f>IF(OR(J52="",J60=""),"",+IF(J52&gt;J60,I52,I60))</f>
        <v/>
      </c>
      <c r="L55" s="16"/>
      <c r="M55" s="10"/>
      <c r="N55" s="10"/>
      <c r="O55" s="10"/>
      <c r="Q55" s="8"/>
      <c r="T55">
        <v>51</v>
      </c>
      <c r="U55" s="28" t="s">
        <v>123</v>
      </c>
      <c r="V55" t="s">
        <v>77</v>
      </c>
      <c r="W55" s="29" t="s">
        <v>124</v>
      </c>
      <c r="Z55" s="34"/>
      <c r="AA55" s="40"/>
      <c r="AB55" s="40"/>
      <c r="AC55" s="38" t="s">
        <v>159</v>
      </c>
      <c r="AD55" s="48"/>
      <c r="AE55" s="53" t="e">
        <f>LOOKUP(AD55,T$5:T$78,U$5:U$61)</f>
        <v>#N/A</v>
      </c>
      <c r="AF55" s="37" t="s">
        <v>157</v>
      </c>
      <c r="AG55" s="65" t="e">
        <f>LOOKUP(AD55,T$5:T$78,W$5:W$64)</f>
        <v>#N/A</v>
      </c>
    </row>
    <row r="56" spans="4:33" ht="13" thickBot="1">
      <c r="E56" s="12"/>
      <c r="F56" s="10"/>
      <c r="G56" s="10"/>
      <c r="H56" s="10"/>
      <c r="I56" s="10"/>
      <c r="J56" s="14"/>
      <c r="K56" s="10"/>
      <c r="L56" s="10"/>
      <c r="M56" s="10"/>
      <c r="N56" s="10"/>
      <c r="O56" s="10"/>
      <c r="Q56" s="8"/>
      <c r="T56">
        <v>52</v>
      </c>
      <c r="U56" s="28" t="s">
        <v>125</v>
      </c>
      <c r="V56" t="s">
        <v>77</v>
      </c>
      <c r="W56" s="29" t="s">
        <v>126</v>
      </c>
      <c r="Z56" s="42"/>
      <c r="AA56" s="43"/>
      <c r="AB56" s="43"/>
      <c r="AC56" s="43"/>
      <c r="AD56" s="61"/>
      <c r="AE56" s="62"/>
      <c r="AF56" s="63"/>
      <c r="AG56" s="60"/>
    </row>
    <row r="57" spans="4:33" ht="13.35" thickTop="1" thickBot="1">
      <c r="D57">
        <v>25</v>
      </c>
      <c r="E57" s="10"/>
      <c r="F57" s="11"/>
      <c r="G57" s="10"/>
      <c r="H57" s="10"/>
      <c r="I57" s="10"/>
      <c r="J57" s="14"/>
      <c r="K57" s="10"/>
      <c r="L57" s="10"/>
      <c r="M57" s="10"/>
      <c r="N57" s="10"/>
      <c r="O57" s="10"/>
      <c r="Q57" s="8"/>
      <c r="T57">
        <v>53</v>
      </c>
      <c r="U57" s="28" t="s">
        <v>127</v>
      </c>
      <c r="V57" t="s">
        <v>77</v>
      </c>
      <c r="W57" s="29" t="s">
        <v>130</v>
      </c>
    </row>
    <row r="58" spans="4:33" ht="13" thickBot="1">
      <c r="E58" s="12"/>
      <c r="F58" s="13" t="s">
        <v>223</v>
      </c>
      <c r="G58" s="9" t="str">
        <f>IF(OR(F57="",F59=""),"",+IF(F57&gt;F59,E57,E59))</f>
        <v/>
      </c>
      <c r="H58" s="11"/>
      <c r="I58" s="10"/>
      <c r="J58" s="14"/>
      <c r="K58" s="10"/>
      <c r="L58" s="10"/>
      <c r="M58" s="10"/>
      <c r="N58" s="10"/>
      <c r="O58" s="10"/>
      <c r="Q58" s="8"/>
      <c r="T58">
        <v>54</v>
      </c>
      <c r="U58" s="28" t="s">
        <v>128</v>
      </c>
      <c r="V58" t="s">
        <v>77</v>
      </c>
      <c r="W58" s="29" t="s">
        <v>129</v>
      </c>
    </row>
    <row r="59" spans="4:33" ht="13" thickBot="1">
      <c r="D59">
        <v>26</v>
      </c>
      <c r="E59" s="69"/>
      <c r="F59" s="16"/>
      <c r="G59" s="10"/>
      <c r="H59" s="13"/>
      <c r="I59" s="10"/>
      <c r="J59" s="14"/>
      <c r="K59" s="10"/>
      <c r="L59" s="10"/>
      <c r="M59" s="10"/>
      <c r="N59" s="10"/>
      <c r="O59" s="10"/>
      <c r="Q59" s="8"/>
      <c r="U59" s="29"/>
    </row>
    <row r="60" spans="4:33" ht="13" thickBot="1">
      <c r="E60" s="10"/>
      <c r="F60" s="10"/>
      <c r="G60" s="10"/>
      <c r="H60" s="14" t="s">
        <v>205</v>
      </c>
      <c r="I60" s="9" t="str">
        <f>IF(OR(H58="",H61=""),"",+IF(H58&gt;H61,G58,E61))</f>
        <v/>
      </c>
      <c r="J60" s="16"/>
      <c r="K60" s="10"/>
      <c r="L60" s="10"/>
      <c r="M60" s="10"/>
      <c r="N60" s="10"/>
      <c r="O60" s="10"/>
      <c r="Q60" s="8"/>
      <c r="W60" s="28"/>
    </row>
    <row r="61" spans="4:33" ht="13" thickBot="1">
      <c r="D61">
        <v>27</v>
      </c>
      <c r="E61" s="9"/>
      <c r="F61" s="9"/>
      <c r="G61" s="9">
        <f>E61</f>
        <v>0</v>
      </c>
      <c r="H61" s="16"/>
      <c r="I61" s="10"/>
      <c r="J61" s="10"/>
      <c r="K61" s="10"/>
      <c r="L61" s="10"/>
      <c r="M61" s="10"/>
      <c r="N61" s="10"/>
      <c r="O61" s="10"/>
      <c r="Q61" s="8"/>
    </row>
    <row r="62" spans="4:33">
      <c r="Q62" s="8"/>
    </row>
    <row r="63" spans="4:33" ht="13" thickBot="1">
      <c r="P63" t="s">
        <v>207</v>
      </c>
      <c r="Q63" s="27"/>
      <c r="R63" s="7"/>
      <c r="S63" s="7"/>
    </row>
    <row r="64" spans="4:33" ht="13" thickBot="1">
      <c r="D64">
        <v>28</v>
      </c>
      <c r="E64" s="10"/>
      <c r="F64" s="9"/>
      <c r="G64" s="9">
        <f>E64</f>
        <v>0</v>
      </c>
      <c r="H64" s="11"/>
      <c r="I64" s="10"/>
      <c r="J64" s="10"/>
      <c r="K64" s="10"/>
      <c r="L64" s="10"/>
      <c r="M64" s="10"/>
      <c r="N64" s="10"/>
      <c r="O64" s="10"/>
      <c r="Q64" s="8"/>
    </row>
    <row r="65" spans="4:17">
      <c r="E65" s="12"/>
      <c r="F65" s="10"/>
      <c r="G65" s="10"/>
      <c r="H65" s="13"/>
      <c r="I65" s="10"/>
      <c r="J65" s="10"/>
      <c r="K65" s="10"/>
      <c r="L65" s="10"/>
      <c r="M65" s="10"/>
      <c r="N65" s="10"/>
      <c r="O65" s="10"/>
      <c r="Q65" s="8"/>
    </row>
    <row r="66" spans="4:17" ht="13" thickBot="1">
      <c r="E66" s="10"/>
      <c r="F66" s="10"/>
      <c r="G66" s="10"/>
      <c r="H66" s="14" t="s">
        <v>209</v>
      </c>
      <c r="I66" s="9" t="str">
        <f>IF(OR(H64="",H68=""),"",+IF(H64&gt;H68,G64,G68))</f>
        <v/>
      </c>
      <c r="J66" s="10"/>
      <c r="K66" s="10"/>
      <c r="L66" s="10"/>
      <c r="M66" s="10"/>
      <c r="N66" s="10"/>
      <c r="O66" s="10"/>
      <c r="Q66" s="8"/>
    </row>
    <row r="67" spans="4:17" ht="13" thickBot="1">
      <c r="D67">
        <v>29</v>
      </c>
      <c r="E67" s="10"/>
      <c r="F67" s="11"/>
      <c r="G67" s="10"/>
      <c r="H67" s="14"/>
      <c r="I67" s="12"/>
      <c r="J67" s="15"/>
      <c r="K67" s="10"/>
      <c r="L67" s="10"/>
      <c r="M67" s="10"/>
      <c r="N67" s="10"/>
      <c r="O67" s="10"/>
      <c r="Q67" s="8"/>
    </row>
    <row r="68" spans="4:17" ht="13" thickBot="1">
      <c r="E68" s="12"/>
      <c r="F68" s="13" t="s">
        <v>225</v>
      </c>
      <c r="G68" s="9" t="str">
        <f>IF(OR(F67="",F69=""),"",+IF(F67&gt;F69,E67,E69))</f>
        <v/>
      </c>
      <c r="H68" s="16"/>
      <c r="I68" s="10"/>
      <c r="J68" s="14"/>
      <c r="K68" s="10"/>
      <c r="L68" s="10"/>
      <c r="M68" s="10"/>
      <c r="N68" s="10"/>
      <c r="O68" s="10"/>
      <c r="Q68" s="8"/>
    </row>
    <row r="69" spans="4:17" ht="13" thickBot="1">
      <c r="D69">
        <v>30</v>
      </c>
      <c r="E69" s="9"/>
      <c r="F69" s="16"/>
      <c r="G69" s="10"/>
      <c r="H69" s="10"/>
      <c r="I69" s="10"/>
      <c r="J69" s="14"/>
      <c r="K69" s="10"/>
      <c r="L69" s="10"/>
      <c r="M69" s="10"/>
      <c r="N69" s="10"/>
      <c r="O69" s="10"/>
      <c r="Q69" s="8"/>
    </row>
    <row r="70" spans="4:17" ht="13" thickBot="1">
      <c r="E70" s="10"/>
      <c r="F70" s="10"/>
      <c r="G70" s="10"/>
      <c r="H70" s="10"/>
      <c r="I70" s="10"/>
      <c r="J70" s="14" t="s">
        <v>255</v>
      </c>
      <c r="K70" s="9" t="str">
        <f>IF(OR(J67="",J74=""),"",+IF(J67&gt;J74,I66,I74))</f>
        <v/>
      </c>
      <c r="L70" s="17"/>
      <c r="M70" s="10"/>
      <c r="N70" s="10"/>
      <c r="O70" s="10"/>
      <c r="Q70" s="8"/>
    </row>
    <row r="71" spans="4:17" ht="13" thickBot="1">
      <c r="D71">
        <v>31</v>
      </c>
      <c r="E71" s="10"/>
      <c r="F71" s="11"/>
      <c r="G71" s="10"/>
      <c r="H71" s="10"/>
      <c r="I71" s="10"/>
      <c r="J71" s="14"/>
      <c r="K71" s="10"/>
      <c r="L71" s="13"/>
      <c r="M71" s="10"/>
      <c r="N71" s="10"/>
      <c r="O71" s="10"/>
      <c r="Q71" s="8"/>
    </row>
    <row r="72" spans="4:17" ht="13" thickBot="1">
      <c r="E72" s="12"/>
      <c r="F72" s="13" t="s">
        <v>227</v>
      </c>
      <c r="G72" s="9" t="str">
        <f>IF(OR(F71="",F73=""),"",+IF(F71&gt;F73,E71,E73))</f>
        <v/>
      </c>
      <c r="H72" s="17"/>
      <c r="I72" s="10"/>
      <c r="J72" s="14"/>
      <c r="K72" s="10"/>
      <c r="L72" s="14"/>
      <c r="M72" s="10"/>
      <c r="N72" s="10"/>
      <c r="O72" s="10"/>
      <c r="Q72" s="8"/>
    </row>
    <row r="73" spans="4:17" ht="13" thickBot="1">
      <c r="D73">
        <v>32</v>
      </c>
      <c r="E73" s="10"/>
      <c r="F73" s="16"/>
      <c r="G73" s="10"/>
      <c r="H73" s="14"/>
      <c r="I73" s="10"/>
      <c r="J73" s="14"/>
      <c r="K73" s="10"/>
      <c r="L73" s="14"/>
      <c r="M73" s="10"/>
      <c r="N73" s="10"/>
      <c r="O73" s="10"/>
      <c r="Q73" s="8"/>
    </row>
    <row r="74" spans="4:17" ht="13" thickBot="1">
      <c r="E74" s="12"/>
      <c r="F74" s="10"/>
      <c r="G74" s="10"/>
      <c r="H74" s="14" t="s">
        <v>213</v>
      </c>
      <c r="I74" s="9" t="str">
        <f>IF(OR(H72="",H76=""),"",+IF(H72&gt;H76,G72,G76))</f>
        <v/>
      </c>
      <c r="J74" s="16"/>
      <c r="K74" s="10"/>
      <c r="L74" s="14"/>
      <c r="M74" s="10"/>
      <c r="N74" s="10"/>
      <c r="O74" s="10"/>
      <c r="Q74" s="8"/>
    </row>
    <row r="75" spans="4:17" ht="13" thickBot="1">
      <c r="D75">
        <v>33</v>
      </c>
      <c r="E75" s="10"/>
      <c r="F75" s="11"/>
      <c r="G75" s="10"/>
      <c r="H75" s="14"/>
      <c r="I75" s="10"/>
      <c r="J75" s="10"/>
      <c r="K75" s="10"/>
      <c r="L75" s="14"/>
      <c r="M75" s="10"/>
      <c r="N75" s="10"/>
      <c r="O75" s="10"/>
      <c r="Q75" s="8"/>
    </row>
    <row r="76" spans="4:17" ht="13" thickBot="1">
      <c r="E76" s="12"/>
      <c r="F76" s="13" t="s">
        <v>229</v>
      </c>
      <c r="G76" s="9" t="str">
        <f>IF(OR(F75="",F77=""),"",+IF(F75&gt;F77,E75,E77))</f>
        <v/>
      </c>
      <c r="H76" s="16"/>
      <c r="I76" s="10"/>
      <c r="J76" s="10"/>
      <c r="K76" s="10"/>
      <c r="L76" s="14"/>
      <c r="M76" s="10"/>
      <c r="N76" s="10"/>
      <c r="O76" s="10"/>
      <c r="Q76" s="8"/>
    </row>
    <row r="77" spans="4:17" ht="13" thickBot="1">
      <c r="D77">
        <v>34</v>
      </c>
      <c r="E77" s="10"/>
      <c r="F77" s="16"/>
      <c r="G77" s="10"/>
      <c r="H77" s="10"/>
      <c r="I77" s="10"/>
      <c r="J77" s="10"/>
      <c r="K77" s="10"/>
      <c r="L77" s="14"/>
      <c r="M77" s="10"/>
      <c r="N77" s="10"/>
      <c r="O77" s="10"/>
      <c r="Q77" s="8"/>
    </row>
    <row r="78" spans="4:17" ht="13" thickBot="1">
      <c r="E78" s="12"/>
      <c r="F78" s="10"/>
      <c r="G78" s="10"/>
      <c r="H78" s="10"/>
      <c r="I78" s="10"/>
      <c r="J78" s="10"/>
      <c r="K78" s="10"/>
      <c r="L78" s="14" t="s">
        <v>233</v>
      </c>
      <c r="M78" s="9" t="str">
        <f>IF(OR(L70="",L85=""),"",+IF(L70&gt;L85,K70,K85))</f>
        <v/>
      </c>
      <c r="N78" s="17"/>
      <c r="O78" s="10"/>
      <c r="Q78" s="8"/>
    </row>
    <row r="79" spans="4:17" ht="13" thickBot="1">
      <c r="D79">
        <v>35</v>
      </c>
      <c r="E79" s="10"/>
      <c r="F79" s="11"/>
      <c r="G79" s="10"/>
      <c r="H79" s="10"/>
      <c r="I79" s="10"/>
      <c r="J79" s="10"/>
      <c r="K79" s="10"/>
      <c r="L79" s="14"/>
      <c r="M79" s="10"/>
      <c r="N79" s="14"/>
      <c r="O79" s="10"/>
      <c r="Q79" s="8"/>
    </row>
    <row r="80" spans="4:17" ht="13" thickBot="1">
      <c r="E80" s="12"/>
      <c r="F80" s="13" t="s">
        <v>232</v>
      </c>
      <c r="G80" s="9" t="str">
        <f>IF(OR(F79="",F81=""),"",+IF(F79&gt;F81,E79,E81))</f>
        <v/>
      </c>
      <c r="H80" s="17"/>
      <c r="I80" s="10"/>
      <c r="J80" s="10"/>
      <c r="K80" s="10"/>
      <c r="L80" s="14"/>
      <c r="M80" s="10"/>
      <c r="N80" s="14"/>
      <c r="O80" s="10"/>
      <c r="Q80" s="8"/>
    </row>
    <row r="81" spans="4:17" ht="13" thickBot="1">
      <c r="D81">
        <v>36</v>
      </c>
      <c r="E81" s="10"/>
      <c r="F81" s="16"/>
      <c r="G81" s="10"/>
      <c r="H81" s="14"/>
      <c r="I81" s="10"/>
      <c r="J81" s="10"/>
      <c r="K81" s="10"/>
      <c r="L81" s="14"/>
      <c r="M81" s="10"/>
      <c r="N81" s="14"/>
      <c r="O81" s="10"/>
      <c r="Q81" s="8"/>
    </row>
    <row r="82" spans="4:17" ht="13" thickBot="1">
      <c r="E82" s="12"/>
      <c r="F82" s="10"/>
      <c r="G82" s="10"/>
      <c r="H82" s="14" t="s">
        <v>216</v>
      </c>
      <c r="I82" s="9" t="str">
        <f>IF(OR(H80="",H84=""),"",+IF(H80&gt;H84,G80,G84))</f>
        <v/>
      </c>
      <c r="J82" s="17"/>
      <c r="K82" s="10"/>
      <c r="L82" s="14"/>
      <c r="M82" s="10"/>
      <c r="N82" s="14"/>
      <c r="O82" s="10"/>
      <c r="Q82" s="8"/>
    </row>
    <row r="83" spans="4:17" ht="13" thickBot="1">
      <c r="D83">
        <v>37</v>
      </c>
      <c r="E83" s="10"/>
      <c r="F83" s="11"/>
      <c r="G83" s="10"/>
      <c r="H83" s="14"/>
      <c r="I83" s="10"/>
      <c r="J83" s="14"/>
      <c r="K83" s="10"/>
      <c r="L83" s="14"/>
      <c r="M83" s="10"/>
      <c r="N83" s="14"/>
      <c r="O83" s="10"/>
      <c r="Q83" s="8"/>
    </row>
    <row r="84" spans="4:17" ht="13" thickBot="1">
      <c r="E84" s="12"/>
      <c r="F84" s="13" t="s">
        <v>234</v>
      </c>
      <c r="G84" s="9" t="str">
        <f>IF(OR(F83="",F85=""),"",+IF(F83&gt;F85,E83,E85))</f>
        <v/>
      </c>
      <c r="H84" s="16"/>
      <c r="I84" s="10"/>
      <c r="J84" s="14"/>
      <c r="K84" s="10"/>
      <c r="L84" s="14"/>
      <c r="M84" s="10"/>
      <c r="N84" s="14"/>
      <c r="O84" s="10"/>
      <c r="Q84" s="8"/>
    </row>
    <row r="85" spans="4:17" ht="13" thickBot="1">
      <c r="D85">
        <v>38</v>
      </c>
      <c r="E85" s="10"/>
      <c r="F85" s="16"/>
      <c r="G85" s="10"/>
      <c r="H85" s="10"/>
      <c r="I85" s="10"/>
      <c r="J85" s="14" t="s">
        <v>259</v>
      </c>
      <c r="K85" s="9" t="str">
        <f>IF(OR(J82="",J90=""),"",+IF(J82&gt;J90,I82,I90))</f>
        <v/>
      </c>
      <c r="L85" s="16"/>
      <c r="M85" s="10"/>
      <c r="N85" s="14"/>
      <c r="O85" s="10"/>
      <c r="Q85" s="8"/>
    </row>
    <row r="86" spans="4:17">
      <c r="E86" s="12"/>
      <c r="F86" s="10"/>
      <c r="G86" s="10"/>
      <c r="H86" s="10"/>
      <c r="I86" s="10"/>
      <c r="J86" s="14"/>
      <c r="K86" s="10"/>
      <c r="L86" s="10"/>
      <c r="M86" s="10"/>
      <c r="N86" s="14"/>
      <c r="O86" s="10"/>
      <c r="Q86" s="8"/>
    </row>
    <row r="87" spans="4:17" ht="13" thickBot="1">
      <c r="D87">
        <v>39</v>
      </c>
      <c r="E87" s="10"/>
      <c r="F87" s="11"/>
      <c r="G87" s="10"/>
      <c r="H87" s="10"/>
      <c r="I87" s="10"/>
      <c r="J87" s="14"/>
      <c r="K87" s="10"/>
      <c r="L87" s="10"/>
      <c r="M87" s="10"/>
      <c r="N87" s="14"/>
      <c r="O87" s="10"/>
      <c r="Q87" s="8"/>
    </row>
    <row r="88" spans="4:17" ht="13" thickBot="1">
      <c r="E88" s="12"/>
      <c r="F88" s="13" t="s">
        <v>236</v>
      </c>
      <c r="G88" s="9" t="str">
        <f>IF(OR(F87="",F89=""),"",+IF(F87&gt;F89,E87,E89))</f>
        <v/>
      </c>
      <c r="H88" s="11"/>
      <c r="I88" s="10"/>
      <c r="J88" s="14"/>
      <c r="K88" s="10"/>
      <c r="L88" s="10"/>
      <c r="M88" s="10"/>
      <c r="N88" s="14"/>
      <c r="O88" s="10"/>
      <c r="Q88" s="8"/>
    </row>
    <row r="89" spans="4:17" ht="13" thickBot="1">
      <c r="D89">
        <v>40</v>
      </c>
      <c r="E89" s="9"/>
      <c r="F89" s="16"/>
      <c r="G89" s="10"/>
      <c r="H89" s="13"/>
      <c r="I89" s="10"/>
      <c r="J89" s="14"/>
      <c r="K89" s="10"/>
      <c r="L89" s="10"/>
      <c r="M89" s="10"/>
      <c r="N89" s="14"/>
      <c r="O89" s="10"/>
      <c r="Q89" s="8"/>
    </row>
    <row r="90" spans="4:17" ht="13" thickBot="1">
      <c r="E90" s="10"/>
      <c r="F90" s="10"/>
      <c r="G90" s="10"/>
      <c r="H90" s="14" t="s">
        <v>220</v>
      </c>
      <c r="I90" s="9" t="str">
        <f>IF(OR(H88="",H91=""),"",+IF(H88&gt;H91,G88,E91))</f>
        <v/>
      </c>
      <c r="J90" s="16"/>
      <c r="K90" s="10"/>
      <c r="L90" s="10"/>
      <c r="M90" s="10"/>
      <c r="N90" s="14"/>
      <c r="O90" s="10"/>
      <c r="Q90" s="8"/>
    </row>
    <row r="91" spans="4:17" ht="13" thickBot="1">
      <c r="D91">
        <v>41</v>
      </c>
      <c r="E91" s="9"/>
      <c r="F91" s="9"/>
      <c r="G91" s="9">
        <f>E91</f>
        <v>0</v>
      </c>
      <c r="H91" s="16"/>
      <c r="I91" s="10"/>
      <c r="J91" s="10"/>
      <c r="K91" s="10"/>
      <c r="L91" s="10"/>
      <c r="M91" s="10"/>
      <c r="N91" s="14"/>
      <c r="O91" s="10"/>
      <c r="Q91" s="8"/>
    </row>
    <row r="92" spans="4:17" ht="13" thickBot="1">
      <c r="E92" s="10"/>
      <c r="F92" s="10"/>
      <c r="G92" s="10"/>
      <c r="H92" s="10"/>
      <c r="I92" s="10"/>
      <c r="J92" s="10"/>
      <c r="K92" s="10"/>
      <c r="L92" s="10"/>
      <c r="M92" s="10"/>
      <c r="N92" s="14" t="s">
        <v>257</v>
      </c>
      <c r="O92" s="9" t="str">
        <f>IF(OR(N78="",N107=""),"",+IF(N78&gt;N107,M78,M107))</f>
        <v/>
      </c>
      <c r="P92" s="7"/>
      <c r="Q92" s="8"/>
    </row>
    <row r="93" spans="4:17" ht="13" thickBot="1">
      <c r="D93">
        <v>42</v>
      </c>
      <c r="E93" s="10"/>
      <c r="F93" s="9"/>
      <c r="G93" s="9">
        <f>E93</f>
        <v>0</v>
      </c>
      <c r="H93" s="11"/>
      <c r="I93" s="10"/>
      <c r="J93" s="10"/>
      <c r="K93" s="10"/>
      <c r="L93" s="10"/>
      <c r="M93" s="10"/>
      <c r="N93" s="14"/>
      <c r="O93" s="10"/>
    </row>
    <row r="94" spans="4:17">
      <c r="E94" s="12"/>
      <c r="F94" s="10"/>
      <c r="G94" s="10"/>
      <c r="H94" s="13"/>
      <c r="I94" s="10"/>
      <c r="J94" s="10"/>
      <c r="K94" s="10"/>
      <c r="L94" s="10"/>
      <c r="M94" s="10"/>
      <c r="N94" s="14"/>
      <c r="O94" s="10"/>
    </row>
    <row r="95" spans="4:17" ht="13" thickBot="1">
      <c r="E95" s="10"/>
      <c r="F95" s="10"/>
      <c r="G95" s="10"/>
      <c r="H95" s="14" t="s">
        <v>224</v>
      </c>
      <c r="I95" s="9" t="str">
        <f>IF(OR(H93="",H97=""),"",+IF(H93&gt;H97,G93,G97))</f>
        <v/>
      </c>
      <c r="J95" s="10"/>
      <c r="K95" s="10"/>
      <c r="L95" s="10"/>
      <c r="M95" s="10"/>
      <c r="N95" s="14"/>
      <c r="O95" s="10"/>
    </row>
    <row r="96" spans="4:17" ht="13" thickBot="1">
      <c r="D96">
        <v>43</v>
      </c>
      <c r="E96" s="10"/>
      <c r="F96" s="11"/>
      <c r="G96" s="10"/>
      <c r="H96" s="14"/>
      <c r="I96" s="12"/>
      <c r="J96" s="15"/>
      <c r="K96" s="10"/>
      <c r="L96" s="10"/>
      <c r="M96" s="10"/>
      <c r="N96" s="14"/>
      <c r="O96" s="10"/>
    </row>
    <row r="97" spans="4:15" ht="13" thickBot="1">
      <c r="E97" s="12"/>
      <c r="F97" s="13" t="s">
        <v>238</v>
      </c>
      <c r="G97" s="9" t="str">
        <f>IF(OR(F96="",F98=""),"",+IF(F96&gt;F98,E96,E98))</f>
        <v/>
      </c>
      <c r="H97" s="16"/>
      <c r="I97" s="10"/>
      <c r="J97" s="14"/>
      <c r="K97" s="10"/>
      <c r="L97" s="10"/>
      <c r="M97" s="10"/>
      <c r="N97" s="14"/>
      <c r="O97" s="10"/>
    </row>
    <row r="98" spans="4:15" ht="13" thickBot="1">
      <c r="D98">
        <v>44</v>
      </c>
      <c r="E98" s="9"/>
      <c r="F98" s="16"/>
      <c r="G98" s="10"/>
      <c r="H98" s="10"/>
      <c r="I98" s="10"/>
      <c r="J98" s="14"/>
      <c r="K98" s="10"/>
      <c r="L98" s="10"/>
      <c r="M98" s="10"/>
      <c r="N98" s="14"/>
      <c r="O98" s="10"/>
    </row>
    <row r="99" spans="4:15" ht="13" thickBot="1">
      <c r="E99" s="10"/>
      <c r="F99" s="10"/>
      <c r="G99" s="10"/>
      <c r="H99" s="10"/>
      <c r="I99" s="10"/>
      <c r="J99" s="14" t="s">
        <v>203</v>
      </c>
      <c r="K99" s="9" t="str">
        <f>IF(OR(J96="",J103=""),"",+IF(J96&gt;J103,I95,I103))</f>
        <v/>
      </c>
      <c r="L99" s="17"/>
      <c r="M99" s="10"/>
      <c r="N99" s="14"/>
      <c r="O99" s="10"/>
    </row>
    <row r="100" spans="4:15" ht="13" thickBot="1">
      <c r="D100">
        <v>45</v>
      </c>
      <c r="E100" s="10"/>
      <c r="F100" s="11"/>
      <c r="G100" s="10"/>
      <c r="H100" s="10"/>
      <c r="I100" s="10"/>
      <c r="J100" s="14"/>
      <c r="K100" s="10"/>
      <c r="L100" s="13"/>
      <c r="M100" s="10"/>
      <c r="N100" s="14"/>
      <c r="O100" s="10"/>
    </row>
    <row r="101" spans="4:15" ht="13" thickBot="1">
      <c r="E101" s="12"/>
      <c r="F101" s="13" t="s">
        <v>240</v>
      </c>
      <c r="G101" s="9" t="str">
        <f>IF(OR(F100="",F102=""),"",+IF(F100&gt;F102,E100,E102))</f>
        <v/>
      </c>
      <c r="H101" s="17"/>
      <c r="I101" s="10"/>
      <c r="J101" s="14"/>
      <c r="K101" s="10"/>
      <c r="L101" s="14"/>
      <c r="M101" s="10"/>
      <c r="N101" s="14"/>
      <c r="O101" s="10"/>
    </row>
    <row r="102" spans="4:15" ht="13" thickBot="1">
      <c r="D102">
        <v>46</v>
      </c>
      <c r="E102" s="10"/>
      <c r="F102" s="16"/>
      <c r="G102" s="10"/>
      <c r="H102" s="14"/>
      <c r="I102" s="10"/>
      <c r="J102" s="14"/>
      <c r="K102" s="10"/>
      <c r="L102" s="14"/>
      <c r="M102" s="10"/>
      <c r="N102" s="14"/>
      <c r="O102" s="10"/>
    </row>
    <row r="103" spans="4:15" ht="13" thickBot="1">
      <c r="E103" s="12"/>
      <c r="F103" s="10"/>
      <c r="G103" s="10"/>
      <c r="H103" s="14" t="s">
        <v>228</v>
      </c>
      <c r="I103" s="9" t="str">
        <f>IF(OR(H101="",H105=""),"",+IF(H101&gt;H105,G101,G105))</f>
        <v/>
      </c>
      <c r="J103" s="16"/>
      <c r="K103" s="10"/>
      <c r="L103" s="14"/>
      <c r="M103" s="10"/>
      <c r="N103" s="14"/>
      <c r="O103" s="10"/>
    </row>
    <row r="104" spans="4:15" ht="13" thickBot="1">
      <c r="D104">
        <v>47</v>
      </c>
      <c r="E104" s="10"/>
      <c r="F104" s="11"/>
      <c r="G104" s="10"/>
      <c r="H104" s="14"/>
      <c r="I104" s="10"/>
      <c r="J104" s="10"/>
      <c r="K104" s="10"/>
      <c r="L104" s="14"/>
      <c r="M104" s="10"/>
      <c r="N104" s="14"/>
      <c r="O104" s="10"/>
    </row>
    <row r="105" spans="4:15" ht="13" thickBot="1">
      <c r="E105" s="12"/>
      <c r="F105" s="13" t="s">
        <v>242</v>
      </c>
      <c r="G105" s="9" t="str">
        <f>IF(OR(F104="",F106=""),"",+IF(F104&gt;F106,E104,E106))</f>
        <v/>
      </c>
      <c r="H105" s="16"/>
      <c r="I105" s="10"/>
      <c r="J105" s="10"/>
      <c r="K105" s="10"/>
      <c r="L105" s="14"/>
      <c r="M105" s="10"/>
      <c r="N105" s="14"/>
      <c r="O105" s="10"/>
    </row>
    <row r="106" spans="4:15" ht="13" thickBot="1">
      <c r="D106">
        <v>48</v>
      </c>
      <c r="E106" s="10"/>
      <c r="F106" s="16"/>
      <c r="G106" s="10"/>
      <c r="H106" s="10"/>
      <c r="I106" s="10"/>
      <c r="J106" s="10"/>
      <c r="K106" s="10"/>
      <c r="L106" s="14"/>
      <c r="M106" s="10"/>
      <c r="N106" s="14"/>
      <c r="O106" s="10"/>
    </row>
    <row r="107" spans="4:15" ht="13" thickBot="1">
      <c r="E107" s="12"/>
      <c r="F107" s="10"/>
      <c r="G107" s="10"/>
      <c r="H107" s="10"/>
      <c r="I107" s="10"/>
      <c r="J107" s="10"/>
      <c r="K107" s="10"/>
      <c r="L107" s="14" t="s">
        <v>241</v>
      </c>
      <c r="M107" s="9" t="str">
        <f>IF(OR(L99="",L114=""),"",+IF(L99&gt;L114,K99,K114))</f>
        <v/>
      </c>
      <c r="N107" s="16"/>
      <c r="O107" s="10"/>
    </row>
    <row r="108" spans="4:15" ht="13" thickBot="1">
      <c r="D108">
        <v>49</v>
      </c>
      <c r="E108" s="10"/>
      <c r="F108" s="11"/>
      <c r="G108" s="10"/>
      <c r="H108" s="10"/>
      <c r="I108" s="10"/>
      <c r="J108" s="10"/>
      <c r="K108" s="10"/>
      <c r="L108" s="14"/>
      <c r="M108" s="10"/>
      <c r="N108" s="10"/>
      <c r="O108" s="10"/>
    </row>
    <row r="109" spans="4:15" ht="13" thickBot="1">
      <c r="E109" s="12"/>
      <c r="F109" s="13" t="s">
        <v>244</v>
      </c>
      <c r="G109" s="9" t="str">
        <f>IF(OR(F108="",F110=""),"",+IF(F108&gt;F110,E108,E110))</f>
        <v/>
      </c>
      <c r="H109" s="17"/>
      <c r="I109" s="10"/>
      <c r="J109" s="10"/>
      <c r="K109" s="10"/>
      <c r="L109" s="14"/>
      <c r="M109" s="10"/>
      <c r="N109" s="10"/>
      <c r="O109" s="10"/>
    </row>
    <row r="110" spans="4:15" ht="13" thickBot="1">
      <c r="D110">
        <v>50</v>
      </c>
      <c r="E110" s="10"/>
      <c r="F110" s="16"/>
      <c r="G110" s="10"/>
      <c r="H110" s="14"/>
      <c r="I110" s="10"/>
      <c r="J110" s="10"/>
      <c r="K110" s="10"/>
      <c r="L110" s="14"/>
      <c r="M110" s="10"/>
      <c r="N110" s="10"/>
      <c r="O110" s="10"/>
    </row>
    <row r="111" spans="4:15" ht="13" thickBot="1">
      <c r="E111" s="12"/>
      <c r="F111" s="10"/>
      <c r="G111" s="10"/>
      <c r="H111" s="14" t="s">
        <v>231</v>
      </c>
      <c r="I111" s="9" t="str">
        <f>IF(OR(H109="",H113=""),"",+IF(H109&gt;H113,G109,G113))</f>
        <v/>
      </c>
      <c r="J111" s="17"/>
      <c r="K111" s="10"/>
      <c r="L111" s="14"/>
      <c r="M111" s="10"/>
      <c r="N111" s="10"/>
      <c r="O111" s="10"/>
    </row>
    <row r="112" spans="4:15" ht="13" thickBot="1">
      <c r="D112">
        <v>51</v>
      </c>
      <c r="E112" s="10"/>
      <c r="F112" s="11"/>
      <c r="G112" s="10"/>
      <c r="H112" s="14"/>
      <c r="I112" s="10"/>
      <c r="J112" s="14"/>
      <c r="K112" s="10"/>
      <c r="L112" s="14"/>
      <c r="M112" s="10"/>
      <c r="N112" s="10"/>
      <c r="O112" s="10"/>
    </row>
    <row r="113" spans="4:15" ht="13" thickBot="1">
      <c r="E113" s="12"/>
      <c r="F113" s="13" t="s">
        <v>246</v>
      </c>
      <c r="G113" s="9" t="str">
        <f>IF(OR(F112="",F114=""),"",+IF(F112&gt;F114,E112,E114))</f>
        <v/>
      </c>
      <c r="H113" s="16"/>
      <c r="I113" s="10"/>
      <c r="J113" s="14"/>
      <c r="K113" s="10"/>
      <c r="L113" s="14"/>
      <c r="M113" s="10"/>
      <c r="N113" s="10"/>
      <c r="O113" s="10"/>
    </row>
    <row r="114" spans="4:15" ht="13" thickBot="1">
      <c r="D114">
        <v>52</v>
      </c>
      <c r="E114" s="10"/>
      <c r="F114" s="16"/>
      <c r="G114" s="10"/>
      <c r="H114" s="10"/>
      <c r="I114" s="10"/>
      <c r="J114" s="14" t="s">
        <v>211</v>
      </c>
      <c r="K114" s="9" t="str">
        <f>IF(OR(J111="",J119=""),"",+IF(J111&gt;J119,I111,I119))</f>
        <v/>
      </c>
      <c r="L114" s="16"/>
      <c r="M114" s="10"/>
      <c r="N114" s="10"/>
      <c r="O114" s="10"/>
    </row>
    <row r="115" spans="4:15">
      <c r="E115" s="12"/>
      <c r="F115" s="10"/>
      <c r="G115" s="10"/>
      <c r="H115" s="10"/>
      <c r="I115" s="10"/>
      <c r="J115" s="14"/>
      <c r="K115" s="10"/>
      <c r="L115" s="10"/>
      <c r="M115" s="10"/>
      <c r="N115" s="10"/>
      <c r="O115" s="10"/>
    </row>
    <row r="116" spans="4:15" ht="13" thickBot="1">
      <c r="D116">
        <v>53</v>
      </c>
      <c r="E116" s="10"/>
      <c r="F116" s="11"/>
      <c r="G116" s="10"/>
      <c r="H116" s="10"/>
      <c r="I116" s="10"/>
      <c r="J116" s="14"/>
      <c r="K116" s="10"/>
      <c r="L116" s="10"/>
      <c r="M116" s="10"/>
      <c r="N116" s="10"/>
      <c r="O116" s="10"/>
    </row>
    <row r="117" spans="4:15" ht="13" thickBot="1">
      <c r="E117" s="12"/>
      <c r="F117" s="13" t="s">
        <v>248</v>
      </c>
      <c r="G117" s="9" t="str">
        <f>IF(OR(F116="",F118=""),"",+IF(F116&gt;F118,E116,E118))</f>
        <v/>
      </c>
      <c r="H117" s="11"/>
      <c r="I117" s="10"/>
      <c r="J117" s="14"/>
      <c r="K117" s="10"/>
      <c r="L117" s="10"/>
      <c r="M117" s="10"/>
      <c r="N117" s="10"/>
      <c r="O117" s="10"/>
    </row>
    <row r="118" spans="4:15" ht="13" thickBot="1">
      <c r="D118">
        <v>54</v>
      </c>
      <c r="E118" s="9"/>
      <c r="F118" s="16"/>
      <c r="G118" s="10"/>
      <c r="H118" s="13"/>
      <c r="I118" s="10"/>
      <c r="J118" s="14"/>
      <c r="K118" s="10"/>
      <c r="L118" s="10"/>
      <c r="M118" s="10"/>
      <c r="N118" s="10"/>
      <c r="O118" s="10"/>
    </row>
    <row r="119" spans="4:15" ht="13" thickBot="1">
      <c r="E119" s="10"/>
      <c r="F119" s="10"/>
      <c r="G119" s="10"/>
      <c r="H119" s="14" t="s">
        <v>235</v>
      </c>
      <c r="I119" s="9" t="str">
        <f>IF(OR(H117="",H120=""),"",+IF(H117&gt;H120,G117,E120))</f>
        <v/>
      </c>
      <c r="J119" s="16"/>
      <c r="K119" s="10"/>
      <c r="L119" s="10"/>
      <c r="M119" s="10"/>
      <c r="N119" s="10"/>
      <c r="O119" s="10"/>
    </row>
    <row r="120" spans="4:15" ht="13" thickBot="1">
      <c r="D120">
        <v>55</v>
      </c>
      <c r="E120" s="9"/>
      <c r="F120" s="9"/>
      <c r="G120" s="9">
        <f>E120</f>
        <v>0</v>
      </c>
      <c r="H120" s="16"/>
      <c r="I120" s="10"/>
      <c r="J120" s="10"/>
      <c r="K120" s="10"/>
      <c r="L120" s="10"/>
      <c r="M120" s="10"/>
      <c r="N120" s="10"/>
      <c r="O120" s="10"/>
    </row>
    <row r="132" spans="5:5">
      <c r="E132" s="23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70"/>
  <dimension ref="D4:AG118"/>
  <sheetViews>
    <sheetView showGridLines="0" topLeftCell="A25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6.87890625" customWidth="1"/>
    <col min="16" max="16" width="4.11718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E20</f>
        <v>0</v>
      </c>
      <c r="V7" t="s">
        <v>77</v>
      </c>
      <c r="W7" s="29">
        <f>E22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E24</f>
        <v>0</v>
      </c>
      <c r="V8" t="s">
        <v>77</v>
      </c>
      <c r="W8" s="29">
        <f>E26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248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E28</f>
        <v>0</v>
      </c>
      <c r="V9" t="s">
        <v>77</v>
      </c>
      <c r="W9" s="29">
        <f>E30</f>
        <v>0</v>
      </c>
      <c r="Z9" s="34"/>
      <c r="AA9" s="40"/>
      <c r="AB9" s="40"/>
      <c r="AC9" s="38" t="s">
        <v>159</v>
      </c>
      <c r="AD9" s="48"/>
      <c r="AE9" s="53" t="e">
        <f>LOOKUP(AD9,T$5:T$78,U$5:U$60)</f>
        <v>#N/A</v>
      </c>
      <c r="AF9" s="37" t="s">
        <v>157</v>
      </c>
      <c r="AG9" s="65" t="e">
        <f>LOOKUP(AD9,T$5:T$78,W$5:W$63)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E37</f>
        <v>0</v>
      </c>
      <c r="V10" t="s">
        <v>77</v>
      </c>
      <c r="W10" s="29">
        <f>E39</f>
        <v>0</v>
      </c>
      <c r="Z10" s="34"/>
      <c r="AA10" s="40"/>
      <c r="AB10" s="40"/>
      <c r="AC10" s="38" t="s">
        <v>159</v>
      </c>
      <c r="AD10" s="48"/>
      <c r="AE10" s="53" t="e">
        <f>LOOKUP(AD10,T$5:T$78,U$5:U$60)</f>
        <v>#N/A</v>
      </c>
      <c r="AF10" s="37" t="s">
        <v>157</v>
      </c>
      <c r="AG10" s="65" t="e">
        <f>LOOKUP(AD10,T$5:T$78,W$5:W$63)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E41</f>
        <v>0</v>
      </c>
      <c r="V11" t="s">
        <v>77</v>
      </c>
      <c r="W11" s="29">
        <f>E43</f>
        <v>0</v>
      </c>
      <c r="Z11" s="34"/>
      <c r="AA11" s="40"/>
      <c r="AB11" s="40"/>
      <c r="AC11" s="38" t="s">
        <v>159</v>
      </c>
      <c r="AD11" s="48"/>
      <c r="AE11" s="53" t="e">
        <f>LOOKUP(AD11,T$5:T$78,U$5:U$60)</f>
        <v>#N/A</v>
      </c>
      <c r="AF11" s="37" t="s">
        <v>157</v>
      </c>
      <c r="AG11" s="65" t="e">
        <f>LOOKUP(AD11,T$5:T$78,W$5:W$63)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E45</f>
        <v>0</v>
      </c>
      <c r="V12" t="s">
        <v>77</v>
      </c>
      <c r="W12" s="29">
        <f>E47</f>
        <v>0</v>
      </c>
      <c r="Z12" s="34"/>
      <c r="AA12" s="40"/>
      <c r="AB12" s="40"/>
      <c r="AC12" s="38" t="s">
        <v>159</v>
      </c>
      <c r="AD12" s="48"/>
      <c r="AE12" s="53" t="e">
        <f>LOOKUP(AD12,T$5:T$78,U$5:U$60)</f>
        <v>#N/A</v>
      </c>
      <c r="AF12" s="37" t="s">
        <v>157</v>
      </c>
      <c r="AG12" s="65" t="e">
        <f>LOOKUP(AD12,T$5:T$78,W$5:W$63)</f>
        <v>#N/A</v>
      </c>
    </row>
    <row r="13" spans="4:33" ht="13" thickBot="1">
      <c r="E13" s="12"/>
      <c r="F13" s="10"/>
      <c r="G13" s="10"/>
      <c r="H13" s="10"/>
      <c r="I13" s="10"/>
      <c r="J13" s="14" t="s">
        <v>235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E49</f>
        <v>0</v>
      </c>
      <c r="V13" t="s">
        <v>77</v>
      </c>
      <c r="W13" s="29">
        <f>E51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E53</f>
        <v>0</v>
      </c>
      <c r="V14" t="s">
        <v>77</v>
      </c>
      <c r="W14" s="29">
        <f>E55</f>
        <v>0</v>
      </c>
      <c r="Z14" s="34"/>
      <c r="AA14" s="40"/>
      <c r="AB14" s="40"/>
      <c r="AC14" s="38" t="s">
        <v>159</v>
      </c>
      <c r="AD14" s="48"/>
      <c r="AE14" s="53" t="e">
        <f>LOOKUP(AD14,T$5:T$78,U$5:U$60)</f>
        <v>#N/A</v>
      </c>
      <c r="AF14" s="37" t="s">
        <v>157</v>
      </c>
      <c r="AG14" s="65" t="e">
        <f>LOOKUP(AD14,T$5:T$78,W$5:W$63)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N15" s="10"/>
      <c r="O15" s="10"/>
      <c r="T15">
        <v>11</v>
      </c>
      <c r="U15" s="28">
        <f>E57</f>
        <v>0</v>
      </c>
      <c r="V15" t="s">
        <v>77</v>
      </c>
      <c r="W15" s="29">
        <f>E59</f>
        <v>0</v>
      </c>
      <c r="Z15" s="34"/>
      <c r="AA15" s="40"/>
      <c r="AB15" s="40"/>
      <c r="AC15" s="38" t="s">
        <v>159</v>
      </c>
      <c r="AD15" s="48"/>
      <c r="AE15" s="53" t="e">
        <f>LOOKUP(AD15,T$5:T$78,U$5:U$60)</f>
        <v>#N/A</v>
      </c>
      <c r="AF15" s="37" t="s">
        <v>157</v>
      </c>
      <c r="AG15" s="65" t="e">
        <f>LOOKUP(AD15,T$5:T$78,W$5:W$63)</f>
        <v>#N/A</v>
      </c>
    </row>
    <row r="16" spans="4:33" ht="13" thickBot="1">
      <c r="D16">
        <v>5</v>
      </c>
      <c r="E16" s="9"/>
      <c r="F16" s="16"/>
      <c r="G16" s="10"/>
      <c r="H16" s="13"/>
      <c r="I16" s="10"/>
      <c r="J16" s="14"/>
      <c r="K16" s="10"/>
      <c r="L16" s="14"/>
      <c r="M16" s="10"/>
      <c r="N16" s="10"/>
      <c r="O16" s="10"/>
      <c r="T16">
        <v>12</v>
      </c>
      <c r="U16" s="28">
        <f>E67</f>
        <v>0</v>
      </c>
      <c r="V16" t="s">
        <v>77</v>
      </c>
      <c r="W16" s="29">
        <f>E69</f>
        <v>0</v>
      </c>
      <c r="Z16" s="34"/>
      <c r="AA16" s="40"/>
      <c r="AB16" s="40"/>
      <c r="AC16" s="38" t="s">
        <v>159</v>
      </c>
      <c r="AD16" s="48"/>
      <c r="AE16" s="53" t="e">
        <f>LOOKUP(AD16,T$5:T$78,U$5:U$60)</f>
        <v>#N/A</v>
      </c>
      <c r="AF16" s="37" t="s">
        <v>157</v>
      </c>
      <c r="AG16" s="65" t="e">
        <f>LOOKUP(AD16,T$5:T$78,W$5:W$63)</f>
        <v>#N/A</v>
      </c>
    </row>
    <row r="17" spans="4:33" ht="13" thickBot="1">
      <c r="E17" s="24"/>
      <c r="F17" s="10"/>
      <c r="G17" s="10"/>
      <c r="H17" s="14" t="s">
        <v>250</v>
      </c>
      <c r="I17" s="9" t="str">
        <f>IF(OR(H15="",H18=""),"",+IF(H15&gt;H18,G15,E18))</f>
        <v/>
      </c>
      <c r="J17" s="16"/>
      <c r="K17" s="10"/>
      <c r="L17" s="14"/>
      <c r="M17" s="10"/>
      <c r="N17" s="10"/>
      <c r="O17" s="10"/>
      <c r="T17">
        <v>13</v>
      </c>
      <c r="U17" s="28">
        <f>E71</f>
        <v>0</v>
      </c>
      <c r="V17" t="s">
        <v>77</v>
      </c>
      <c r="W17" s="29">
        <f>E73</f>
        <v>0</v>
      </c>
      <c r="Z17" s="34"/>
      <c r="AA17" s="40"/>
      <c r="AB17" s="40"/>
      <c r="AC17" s="38" t="s">
        <v>159</v>
      </c>
      <c r="AD17" s="48"/>
      <c r="AE17" s="53" t="e">
        <f>LOOKUP(AD17,T$5:T$78,U$5:U$60)</f>
        <v>#N/A</v>
      </c>
      <c r="AF17" s="37" t="s">
        <v>157</v>
      </c>
      <c r="AG17" s="65" t="e">
        <f>LOOKUP(AD17,T$5:T$78,W$5:W$63)</f>
        <v>#N/A</v>
      </c>
    </row>
    <row r="18" spans="4:33" ht="13" thickBot="1">
      <c r="D18">
        <v>6</v>
      </c>
      <c r="E18" s="9"/>
      <c r="F18" s="9"/>
      <c r="G18" s="9">
        <f>E18</f>
        <v>0</v>
      </c>
      <c r="H18" s="16"/>
      <c r="I18" s="10"/>
      <c r="J18" s="10"/>
      <c r="K18" s="10"/>
      <c r="L18" s="14"/>
      <c r="M18" s="10"/>
      <c r="N18" s="10"/>
      <c r="O18" s="10"/>
      <c r="T18">
        <v>14</v>
      </c>
      <c r="U18" s="28">
        <f>E77</f>
        <v>0</v>
      </c>
      <c r="V18" t="s">
        <v>77</v>
      </c>
      <c r="W18" s="29">
        <f>E79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>
      <c r="E19" s="10"/>
      <c r="F19" s="10"/>
      <c r="G19" s="10"/>
      <c r="H19" s="10"/>
      <c r="I19" s="10"/>
      <c r="J19" s="10"/>
      <c r="K19" s="10"/>
      <c r="L19" s="14"/>
      <c r="M19" s="10"/>
      <c r="N19" s="10"/>
      <c r="O19" s="10"/>
      <c r="T19">
        <v>15</v>
      </c>
      <c r="U19" s="28">
        <f>E81</f>
        <v>0</v>
      </c>
      <c r="V19" t="s">
        <v>77</v>
      </c>
      <c r="W19" s="29">
        <f>E83</f>
        <v>0</v>
      </c>
      <c r="Z19" s="34"/>
      <c r="AA19" s="40"/>
      <c r="AB19" s="40"/>
      <c r="AC19" s="38" t="s">
        <v>159</v>
      </c>
      <c r="AD19" s="48"/>
      <c r="AE19" s="53" t="e">
        <f>LOOKUP(AD19,T$5:T$78,U$5:U$60)</f>
        <v>#N/A</v>
      </c>
      <c r="AF19" s="37" t="s">
        <v>157</v>
      </c>
      <c r="AG19" s="65" t="e">
        <f>LOOKUP(AD19,T$5:T$78,W$5:W$63)</f>
        <v>#N/A</v>
      </c>
    </row>
    <row r="20" spans="4:33" ht="13" thickBot="1">
      <c r="D20">
        <v>7</v>
      </c>
      <c r="E20" s="10"/>
      <c r="F20" s="11"/>
      <c r="G20" s="10"/>
      <c r="H20" s="10"/>
      <c r="I20" s="10"/>
      <c r="J20" s="10"/>
      <c r="K20" s="10"/>
      <c r="L20" s="14" t="s">
        <v>211</v>
      </c>
      <c r="M20" s="9" t="str">
        <f>IF(OR(L13="",L26=""),"",+IF(L13&gt;L26,K13,K26))</f>
        <v/>
      </c>
      <c r="N20" s="17"/>
      <c r="O20" s="10"/>
      <c r="T20">
        <v>16</v>
      </c>
      <c r="U20" s="28">
        <f>E85</f>
        <v>0</v>
      </c>
      <c r="V20" t="s">
        <v>77</v>
      </c>
      <c r="W20" s="29">
        <f>E87</f>
        <v>0</v>
      </c>
      <c r="Z20" s="34"/>
      <c r="AA20" s="40"/>
      <c r="AB20" s="40"/>
      <c r="AC20" s="38" t="s">
        <v>159</v>
      </c>
      <c r="AD20" s="48"/>
      <c r="AE20" s="53" t="e">
        <f>LOOKUP(AD20,T$5:T$78,U$5:U$60)</f>
        <v>#N/A</v>
      </c>
      <c r="AF20" s="37" t="s">
        <v>157</v>
      </c>
      <c r="AG20" s="65" t="e">
        <f>LOOKUP(AD20,T$5:T$78,W$5:W$63)</f>
        <v>#N/A</v>
      </c>
    </row>
    <row r="21" spans="4:33" ht="13" thickBot="1">
      <c r="E21" s="12"/>
      <c r="F21" s="13" t="s">
        <v>206</v>
      </c>
      <c r="G21" s="9" t="str">
        <f>IF(OR(F20="",F22=""),"",+IF(F20&gt;F22,E20,E22))</f>
        <v/>
      </c>
      <c r="H21" s="17"/>
      <c r="I21" s="10"/>
      <c r="J21" s="10"/>
      <c r="K21" s="10"/>
      <c r="L21" s="14"/>
      <c r="M21" s="10"/>
      <c r="N21" s="14"/>
      <c r="O21" s="10"/>
      <c r="T21">
        <v>17</v>
      </c>
      <c r="U21" s="28">
        <f>E94</f>
        <v>0</v>
      </c>
      <c r="V21" t="s">
        <v>77</v>
      </c>
      <c r="W21" s="29">
        <f>E96</f>
        <v>0</v>
      </c>
      <c r="Z21" s="34"/>
      <c r="AA21" s="40"/>
      <c r="AB21" s="40"/>
      <c r="AC21" s="38" t="s">
        <v>159</v>
      </c>
      <c r="AD21" s="48"/>
      <c r="AE21" s="53" t="e">
        <f>LOOKUP(AD21,T$5:T$78,U$5:U$60)</f>
        <v>#N/A</v>
      </c>
      <c r="AF21" s="37" t="s">
        <v>157</v>
      </c>
      <c r="AG21" s="65" t="e">
        <f>LOOKUP(AD21,T$5:T$78,W$5:W$63)</f>
        <v>#N/A</v>
      </c>
    </row>
    <row r="22" spans="4:33" ht="13" thickBot="1">
      <c r="D22">
        <v>8</v>
      </c>
      <c r="E22" s="10"/>
      <c r="F22" s="16"/>
      <c r="G22" s="10"/>
      <c r="H22" s="14"/>
      <c r="I22" s="10"/>
      <c r="J22" s="10"/>
      <c r="K22" s="10"/>
      <c r="L22" s="14"/>
      <c r="M22" s="10"/>
      <c r="N22" s="14"/>
      <c r="O22" s="10"/>
      <c r="T22">
        <v>18</v>
      </c>
      <c r="U22" s="28">
        <f>E98</f>
        <v>0</v>
      </c>
      <c r="V22" t="s">
        <v>77</v>
      </c>
      <c r="W22" s="29">
        <f>E100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0"/>
      <c r="G23" s="10"/>
      <c r="H23" s="14" t="s">
        <v>252</v>
      </c>
      <c r="I23" s="9" t="str">
        <f>IF(OR(H21="",H25=""),"",+IF(H21&gt;H25,G21,G25))</f>
        <v/>
      </c>
      <c r="J23" s="17"/>
      <c r="K23" s="10"/>
      <c r="L23" s="14"/>
      <c r="M23" s="10"/>
      <c r="N23" s="14"/>
      <c r="O23" s="10"/>
      <c r="T23">
        <v>19</v>
      </c>
      <c r="U23" s="28">
        <f>E102</f>
        <v>0</v>
      </c>
      <c r="V23" t="s">
        <v>77</v>
      </c>
      <c r="W23" s="29">
        <f>E104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1"/>
      <c r="G24" s="10"/>
      <c r="H24" s="14"/>
      <c r="I24" s="10"/>
      <c r="J24" s="14"/>
      <c r="K24" s="10"/>
      <c r="L24" s="14"/>
      <c r="M24" s="10"/>
      <c r="N24" s="14"/>
      <c r="O24" s="10"/>
      <c r="T24">
        <v>20</v>
      </c>
      <c r="U24" s="28">
        <f>E106</f>
        <v>0</v>
      </c>
      <c r="V24" t="s">
        <v>77</v>
      </c>
      <c r="W24" s="29">
        <f>E108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3" t="s">
        <v>208</v>
      </c>
      <c r="G25" s="9" t="str">
        <f>IF(OR(F24="",F26=""),"",+IF(F24&gt;F26,E24,E26))</f>
        <v/>
      </c>
      <c r="H25" s="16"/>
      <c r="I25" s="10"/>
      <c r="J25" s="14"/>
      <c r="K25" s="10"/>
      <c r="L25" s="14"/>
      <c r="M25" s="10"/>
      <c r="N25" s="14"/>
      <c r="O25" s="10"/>
      <c r="T25">
        <v>21</v>
      </c>
      <c r="U25" s="28">
        <f>E110</f>
        <v>0</v>
      </c>
      <c r="V25" t="s">
        <v>77</v>
      </c>
      <c r="W25" s="29">
        <f>E112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6"/>
      <c r="G26" s="10"/>
      <c r="H26" s="10"/>
      <c r="I26" s="10"/>
      <c r="J26" s="14" t="s">
        <v>239</v>
      </c>
      <c r="K26" s="9" t="str">
        <f>IF(OR(J23="",J31=""),"",+IF(J23&gt;J31,I23,I31))</f>
        <v/>
      </c>
      <c r="L26" s="16"/>
      <c r="M26" s="10"/>
      <c r="N26" s="14"/>
      <c r="O26" s="10"/>
      <c r="T26">
        <v>22</v>
      </c>
      <c r="U26" s="28">
        <f>E114</f>
        <v>0</v>
      </c>
      <c r="V26" t="s">
        <v>77</v>
      </c>
      <c r="W26" s="29">
        <f>E116</f>
        <v>0</v>
      </c>
      <c r="Z26" s="34"/>
      <c r="AA26" s="40"/>
      <c r="AB26" s="40"/>
      <c r="AC26" s="38" t="s">
        <v>159</v>
      </c>
      <c r="AD26" s="48"/>
      <c r="AE26" s="53" t="e">
        <f>LOOKUP(AD26,T$5:T$78,U$5:U$60)</f>
        <v>#N/A</v>
      </c>
      <c r="AF26" s="37" t="s">
        <v>157</v>
      </c>
      <c r="AG26" s="65" t="e">
        <f>LOOKUP(AD26,T$5:T$78,W$5:W$63)</f>
        <v>#N/A</v>
      </c>
    </row>
    <row r="27" spans="4:33">
      <c r="E27" s="12"/>
      <c r="F27" s="10"/>
      <c r="G27" s="10"/>
      <c r="H27" s="10"/>
      <c r="I27" s="10"/>
      <c r="J27" s="14"/>
      <c r="K27" s="10"/>
      <c r="L27" s="10"/>
      <c r="M27" s="10"/>
      <c r="N27" s="14"/>
      <c r="O27" s="10"/>
      <c r="T27">
        <v>23</v>
      </c>
      <c r="U27" s="28">
        <f>E7</f>
        <v>0</v>
      </c>
      <c r="V27" t="s">
        <v>77</v>
      </c>
      <c r="W27" s="29" t="s">
        <v>78</v>
      </c>
      <c r="Z27" s="34"/>
      <c r="AA27" s="40"/>
      <c r="AB27" s="40"/>
      <c r="AC27" s="38" t="s">
        <v>159</v>
      </c>
      <c r="AD27" s="48"/>
      <c r="AE27" s="53" t="e">
        <f>LOOKUP(AD27,T$5:T$78,U$5:U$60)</f>
        <v>#N/A</v>
      </c>
      <c r="AF27" s="37" t="s">
        <v>157</v>
      </c>
      <c r="AG27" s="65" t="e">
        <f>LOOKUP(AD27,T$5:T$78,W$5:W$63)</f>
        <v>#N/A</v>
      </c>
    </row>
    <row r="28" spans="4:33" ht="13" thickBot="1">
      <c r="D28">
        <v>11</v>
      </c>
      <c r="E28" s="10"/>
      <c r="F28" s="11"/>
      <c r="G28" s="10"/>
      <c r="H28" s="10"/>
      <c r="I28" s="10"/>
      <c r="J28" s="14"/>
      <c r="K28" s="10"/>
      <c r="L28" s="10"/>
      <c r="M28" s="10"/>
      <c r="N28" s="14"/>
      <c r="O28" s="10"/>
      <c r="T28">
        <v>24</v>
      </c>
      <c r="U28" s="28" t="s">
        <v>160</v>
      </c>
      <c r="V28" t="s">
        <v>77</v>
      </c>
      <c r="W28" s="29">
        <f>E18</f>
        <v>0</v>
      </c>
      <c r="Z28" s="34"/>
      <c r="AA28" s="40"/>
      <c r="AB28" s="40"/>
      <c r="AC28" s="38" t="s">
        <v>159</v>
      </c>
      <c r="AD28" s="48"/>
      <c r="AE28" s="53" t="e">
        <f>LOOKUP(AD28,T$5:T$78,U$5:U$60)</f>
        <v>#N/A</v>
      </c>
      <c r="AF28" s="37" t="s">
        <v>157</v>
      </c>
      <c r="AG28" s="65" t="e">
        <f>LOOKUP(AD28,T$5:T$78,W$5:W$63)</f>
        <v>#N/A</v>
      </c>
    </row>
    <row r="29" spans="4:33" ht="13" thickBot="1">
      <c r="E29" s="12"/>
      <c r="F29" s="13" t="s">
        <v>210</v>
      </c>
      <c r="G29" s="9" t="str">
        <f>IF(OR(F28="",F30=""),"",+IF(F28&gt;F30,E28,E30))</f>
        <v/>
      </c>
      <c r="H29" s="11"/>
      <c r="I29" s="10"/>
      <c r="J29" s="14"/>
      <c r="K29" s="10"/>
      <c r="L29" s="10"/>
      <c r="M29" s="10"/>
      <c r="N29" s="14"/>
      <c r="O29" s="10"/>
      <c r="T29">
        <v>25</v>
      </c>
      <c r="U29" s="28" t="s">
        <v>161</v>
      </c>
      <c r="V29" t="s">
        <v>77</v>
      </c>
      <c r="W29" s="29" t="s">
        <v>81</v>
      </c>
      <c r="Z29" s="34"/>
      <c r="AA29" s="40"/>
      <c r="AB29" s="40"/>
      <c r="AC29" s="38" t="s">
        <v>159</v>
      </c>
      <c r="AD29" s="48"/>
      <c r="AE29" s="53" t="e">
        <f>LOOKUP(AD29,T$5:T$78,U$5:U$60)</f>
        <v>#N/A</v>
      </c>
      <c r="AF29" s="37" t="s">
        <v>157</v>
      </c>
      <c r="AG29" s="65" t="e">
        <f>LOOKUP(AD29,T$5:T$78,W$5:W$63)</f>
        <v>#N/A</v>
      </c>
    </row>
    <row r="30" spans="4:33" ht="13" thickBot="1">
      <c r="D30">
        <v>12</v>
      </c>
      <c r="E30" s="9"/>
      <c r="F30" s="16"/>
      <c r="G30" s="10"/>
      <c r="H30" s="13"/>
      <c r="I30" s="10"/>
      <c r="J30" s="14"/>
      <c r="K30" s="10"/>
      <c r="L30" s="10"/>
      <c r="M30" s="10"/>
      <c r="N30" s="14"/>
      <c r="O30" s="10"/>
      <c r="T30">
        <v>26</v>
      </c>
      <c r="U30" s="28" t="s">
        <v>162</v>
      </c>
      <c r="V30" t="s">
        <v>77</v>
      </c>
      <c r="W30" s="29">
        <f>E32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/>
      <c r="F31" s="10"/>
      <c r="G31" s="10"/>
      <c r="H31" s="14" t="s">
        <v>254</v>
      </c>
      <c r="I31" s="9" t="str">
        <f>IF(OR(H29="",H32=""),"",+IF(H29&gt;H32,G29,E32))</f>
        <v/>
      </c>
      <c r="J31" s="16"/>
      <c r="K31" s="10"/>
      <c r="L31" s="10"/>
      <c r="M31" s="10"/>
      <c r="N31" s="14"/>
      <c r="O31" s="10"/>
      <c r="T31">
        <v>27</v>
      </c>
      <c r="U31" s="28">
        <f>E34</f>
        <v>0</v>
      </c>
      <c r="V31" t="s">
        <v>77</v>
      </c>
      <c r="W31" s="29" t="s">
        <v>163</v>
      </c>
      <c r="Z31" s="34"/>
      <c r="AA31" s="40"/>
      <c r="AB31" s="40"/>
      <c r="AC31" s="38" t="s">
        <v>159</v>
      </c>
      <c r="AD31" s="48"/>
      <c r="AE31" s="53" t="e">
        <f>LOOKUP(AD31,T$5:T$78,U$5:U$60)</f>
        <v>#N/A</v>
      </c>
      <c r="AF31" s="37" t="s">
        <v>157</v>
      </c>
      <c r="AG31" s="65" t="e">
        <f>LOOKUP(AD31,T$5:T$78,W$5:W$63)</f>
        <v>#N/A</v>
      </c>
    </row>
    <row r="32" spans="4:33" ht="13" thickBot="1">
      <c r="D32">
        <v>13</v>
      </c>
      <c r="E32" s="9"/>
      <c r="F32" s="9"/>
      <c r="G32" s="9">
        <f>E32</f>
        <v>0</v>
      </c>
      <c r="H32" s="16"/>
      <c r="I32" s="10"/>
      <c r="J32" s="10"/>
      <c r="K32" s="10"/>
      <c r="L32" s="10"/>
      <c r="M32" s="10"/>
      <c r="N32" s="14"/>
      <c r="O32" s="10"/>
      <c r="T32">
        <v>28</v>
      </c>
      <c r="U32" s="28" t="s">
        <v>84</v>
      </c>
      <c r="V32" t="s">
        <v>77</v>
      </c>
      <c r="W32" s="29" t="s">
        <v>164</v>
      </c>
      <c r="Z32" s="34"/>
      <c r="AA32" s="40"/>
      <c r="AB32" s="40"/>
      <c r="AC32" s="38" t="s">
        <v>159</v>
      </c>
      <c r="AD32" s="48"/>
      <c r="AE32" s="53" t="e">
        <f>LOOKUP(AD32,T$5:T$78,U$5:U$60)</f>
        <v>#N/A</v>
      </c>
      <c r="AF32" s="37" t="s">
        <v>157</v>
      </c>
      <c r="AG32" s="65" t="e">
        <f>LOOKUP(AD32,T$5:T$78,W$5:W$63)</f>
        <v>#N/A</v>
      </c>
    </row>
    <row r="33" spans="4:33" ht="13" thickBot="1">
      <c r="E33" s="10"/>
      <c r="F33" s="10"/>
      <c r="G33" s="10"/>
      <c r="H33" s="10"/>
      <c r="I33" s="10"/>
      <c r="J33" s="10"/>
      <c r="K33" s="10"/>
      <c r="L33" s="10"/>
      <c r="M33" s="10"/>
      <c r="N33" s="14" t="s">
        <v>241</v>
      </c>
      <c r="O33" s="9" t="str">
        <f>IF(OR(N20="",N48=""),"",+IF(N20&gt;N48,M20,M48))</f>
        <v/>
      </c>
      <c r="P33" s="7"/>
      <c r="T33">
        <v>29</v>
      </c>
      <c r="U33" s="28" t="s">
        <v>200</v>
      </c>
      <c r="V33" t="s">
        <v>77</v>
      </c>
      <c r="W33" s="29" t="s">
        <v>87</v>
      </c>
      <c r="Z33" s="34"/>
      <c r="AA33" s="40"/>
      <c r="AB33" s="40"/>
      <c r="AC33" s="38" t="s">
        <v>159</v>
      </c>
      <c r="AD33" s="48"/>
      <c r="AE33" s="53" t="e">
        <f>LOOKUP(AD33,T$5:T$78,U$5:U$60)</f>
        <v>#N/A</v>
      </c>
      <c r="AF33" s="37" t="s">
        <v>157</v>
      </c>
      <c r="AG33" s="65" t="e">
        <f>LOOKUP(AD33,T$5:T$78,W$5:W$63)</f>
        <v>#N/A</v>
      </c>
    </row>
    <row r="34" spans="4:33" ht="13" thickBot="1">
      <c r="D34">
        <v>14</v>
      </c>
      <c r="E34" s="10"/>
      <c r="F34" s="9"/>
      <c r="G34" s="9">
        <f>E34</f>
        <v>0</v>
      </c>
      <c r="H34" s="11"/>
      <c r="I34" s="10"/>
      <c r="J34" s="10"/>
      <c r="K34" s="10"/>
      <c r="L34" s="10"/>
      <c r="M34" s="10"/>
      <c r="N34" s="14"/>
      <c r="O34" s="10"/>
      <c r="Q34" s="8"/>
      <c r="T34">
        <v>30</v>
      </c>
      <c r="U34" s="28" t="s">
        <v>88</v>
      </c>
      <c r="V34" t="s">
        <v>77</v>
      </c>
      <c r="W34" s="29">
        <f>E61</f>
        <v>0</v>
      </c>
      <c r="Z34" s="34"/>
      <c r="AA34" s="40"/>
      <c r="AB34" s="40"/>
      <c r="AC34" s="38" t="s">
        <v>159</v>
      </c>
      <c r="AD34" s="48"/>
      <c r="AE34" s="53" t="e">
        <f>LOOKUP(AD34,T$5:T$78,U$5:U$60)</f>
        <v>#N/A</v>
      </c>
      <c r="AF34" s="37" t="s">
        <v>157</v>
      </c>
      <c r="AG34" s="65" t="e">
        <f>LOOKUP(AD34,T$5:T$78,W$5:W$63)</f>
        <v>#N/A</v>
      </c>
    </row>
    <row r="35" spans="4:33">
      <c r="E35" s="12"/>
      <c r="F35" s="10"/>
      <c r="G35" s="10"/>
      <c r="H35" s="13"/>
      <c r="I35" s="10"/>
      <c r="J35" s="10"/>
      <c r="K35" s="10"/>
      <c r="L35" s="10"/>
      <c r="M35" s="10"/>
      <c r="N35" s="14"/>
      <c r="O35" s="10"/>
      <c r="Q35" s="8"/>
      <c r="T35">
        <v>31</v>
      </c>
      <c r="U35" s="28">
        <f>E64</f>
        <v>0</v>
      </c>
      <c r="V35" t="s">
        <v>77</v>
      </c>
      <c r="W35" s="29" t="s">
        <v>89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E36" s="10"/>
      <c r="F36" s="10"/>
      <c r="G36" s="10"/>
      <c r="H36" s="14" t="s">
        <v>256</v>
      </c>
      <c r="I36" s="9" t="str">
        <f>IF(OR(H34="",H38=""),"",+IF(H34&gt;H38,G34,G38))</f>
        <v/>
      </c>
      <c r="J36" s="10"/>
      <c r="K36" s="10"/>
      <c r="L36" s="10"/>
      <c r="M36" s="10"/>
      <c r="N36" s="14"/>
      <c r="O36" s="10"/>
      <c r="Q36" s="8"/>
      <c r="T36">
        <v>32</v>
      </c>
      <c r="U36" s="28" t="s">
        <v>90</v>
      </c>
      <c r="V36" t="s">
        <v>77</v>
      </c>
      <c r="W36" s="29">
        <f>E75</f>
        <v>0</v>
      </c>
      <c r="Z36" s="34"/>
      <c r="AA36" s="40"/>
      <c r="AB36" s="40"/>
      <c r="AC36" s="38" t="s">
        <v>159</v>
      </c>
      <c r="AD36" s="48"/>
      <c r="AE36" s="53" t="e">
        <f>LOOKUP(AD36,T$5:T$78,U$5:U$60)</f>
        <v>#N/A</v>
      </c>
      <c r="AF36" s="37" t="s">
        <v>157</v>
      </c>
      <c r="AG36" s="65" t="e">
        <f>LOOKUP(AD36,T$5:T$78,W$5:W$63)</f>
        <v>#N/A</v>
      </c>
    </row>
    <row r="37" spans="4:33" ht="13" thickBot="1">
      <c r="D37">
        <v>15</v>
      </c>
      <c r="E37" s="10"/>
      <c r="F37" s="11"/>
      <c r="G37" s="10"/>
      <c r="H37" s="14"/>
      <c r="I37" s="12"/>
      <c r="J37" s="15"/>
      <c r="K37" s="10"/>
      <c r="L37" s="10"/>
      <c r="M37" s="10"/>
      <c r="N37" s="14"/>
      <c r="O37" s="10"/>
      <c r="Q37" s="8"/>
      <c r="T37">
        <v>33</v>
      </c>
      <c r="U37" s="28" t="s">
        <v>91</v>
      </c>
      <c r="V37" t="s">
        <v>77</v>
      </c>
      <c r="W37" s="29" t="s">
        <v>92</v>
      </c>
      <c r="Z37" s="34"/>
      <c r="AA37" s="40"/>
      <c r="AB37" s="40"/>
      <c r="AC37" s="38" t="s">
        <v>159</v>
      </c>
      <c r="AD37" s="48"/>
      <c r="AE37" s="53" t="e">
        <f>LOOKUP(AD37,T$5:T$78,U$5:U$60)</f>
        <v>#N/A</v>
      </c>
      <c r="AF37" s="37" t="s">
        <v>157</v>
      </c>
      <c r="AG37" s="65" t="e">
        <f>LOOKUP(AD37,T$5:T$78,W$5:W$63)</f>
        <v>#N/A</v>
      </c>
    </row>
    <row r="38" spans="4:33" ht="13" thickBot="1">
      <c r="E38" s="12"/>
      <c r="F38" s="13" t="s">
        <v>212</v>
      </c>
      <c r="G38" s="9" t="str">
        <f>IF(OR(F37="",F39=""),"",+IF(F37&gt;F39,E37,E39))</f>
        <v/>
      </c>
      <c r="H38" s="16"/>
      <c r="I38" s="10"/>
      <c r="J38" s="14"/>
      <c r="K38" s="10"/>
      <c r="L38" s="10"/>
      <c r="M38" s="10"/>
      <c r="N38" s="14"/>
      <c r="O38" s="10"/>
      <c r="Q38" s="8"/>
      <c r="T38">
        <v>34</v>
      </c>
      <c r="U38" s="28" t="s">
        <v>165</v>
      </c>
      <c r="V38" t="s">
        <v>77</v>
      </c>
      <c r="W38" s="29">
        <f>E89</f>
        <v>0</v>
      </c>
      <c r="Z38" s="34"/>
      <c r="AA38" s="40"/>
      <c r="AB38" s="40"/>
      <c r="AC38" s="38" t="s">
        <v>159</v>
      </c>
      <c r="AD38" s="48"/>
      <c r="AE38" s="53" t="e">
        <f>LOOKUP(AD38,T$5:T$78,U$5:U$60)</f>
        <v>#N/A</v>
      </c>
      <c r="AF38" s="37" t="s">
        <v>157</v>
      </c>
      <c r="AG38" s="65" t="e">
        <f>LOOKUP(AD38,T$5:T$78,W$5:W$63)</f>
        <v>#N/A</v>
      </c>
    </row>
    <row r="39" spans="4:33" ht="13" thickBot="1">
      <c r="D39">
        <v>16</v>
      </c>
      <c r="E39" s="9"/>
      <c r="F39" s="16"/>
      <c r="G39" s="10"/>
      <c r="H39" s="10"/>
      <c r="I39" s="10"/>
      <c r="J39" s="14"/>
      <c r="K39" s="10"/>
      <c r="L39" s="10"/>
      <c r="M39" s="10"/>
      <c r="N39" s="14"/>
      <c r="O39" s="10"/>
      <c r="Q39" s="8"/>
      <c r="T39">
        <v>35</v>
      </c>
      <c r="U39" s="28">
        <f>E91</f>
        <v>0</v>
      </c>
      <c r="V39" t="s">
        <v>77</v>
      </c>
      <c r="W39" s="29" t="s">
        <v>94</v>
      </c>
      <c r="Z39" s="34"/>
      <c r="AA39" s="33"/>
      <c r="AB39" s="33"/>
      <c r="AC39" s="33"/>
      <c r="AD39" s="50"/>
      <c r="AE39" s="64" t="e">
        <f>LOOKUP(AD39,T$5:T$78,U$5:U$60)</f>
        <v>#N/A</v>
      </c>
      <c r="AF39" s="33"/>
      <c r="AG39" s="59"/>
    </row>
    <row r="40" spans="4:33" ht="13" thickBot="1">
      <c r="E40" s="10"/>
      <c r="F40" s="10"/>
      <c r="G40" s="10"/>
      <c r="H40" s="10"/>
      <c r="I40" s="10"/>
      <c r="J40" s="14" t="s">
        <v>243</v>
      </c>
      <c r="K40" s="9" t="str">
        <f>IF(OR(J37="",J44=""),"",+IF(J37&gt;J44,I36,I44))</f>
        <v/>
      </c>
      <c r="L40" s="17"/>
      <c r="M40" s="10"/>
      <c r="N40" s="14"/>
      <c r="O40" s="10"/>
      <c r="Q40" s="8"/>
      <c r="T40">
        <v>36</v>
      </c>
      <c r="U40" s="28" t="s">
        <v>95</v>
      </c>
      <c r="V40" t="s">
        <v>77</v>
      </c>
      <c r="W40" s="29" t="s">
        <v>96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10"/>
      <c r="F41" s="11"/>
      <c r="G41" s="10"/>
      <c r="H41" s="10"/>
      <c r="I41" s="10"/>
      <c r="J41" s="14"/>
      <c r="K41" s="10"/>
      <c r="L41" s="13"/>
      <c r="M41" s="10"/>
      <c r="N41" s="14"/>
      <c r="O41" s="10"/>
      <c r="Q41" s="8"/>
      <c r="T41">
        <v>37</v>
      </c>
      <c r="U41" s="28" t="s">
        <v>97</v>
      </c>
      <c r="V41" t="s">
        <v>77</v>
      </c>
      <c r="W41" s="29" t="s">
        <v>98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2"/>
      <c r="F42" s="13" t="s">
        <v>214</v>
      </c>
      <c r="G42" s="9" t="str">
        <f>IF(OR(F41="",F43=""),"",+IF(F41&gt;F43,E41,E43))</f>
        <v/>
      </c>
      <c r="H42" s="17"/>
      <c r="I42" s="10"/>
      <c r="J42" s="14"/>
      <c r="K42" s="10"/>
      <c r="L42" s="14"/>
      <c r="M42" s="10"/>
      <c r="N42" s="14"/>
      <c r="O42" s="10"/>
      <c r="Q42" s="8"/>
      <c r="T42">
        <v>38</v>
      </c>
      <c r="U42" s="28" t="s">
        <v>99</v>
      </c>
      <c r="V42" t="s">
        <v>77</v>
      </c>
      <c r="W42" s="29">
        <f>E118</f>
        <v>0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10"/>
      <c r="F43" s="16"/>
      <c r="G43" s="10"/>
      <c r="H43" s="14"/>
      <c r="I43" s="10"/>
      <c r="J43" s="14"/>
      <c r="K43" s="10"/>
      <c r="L43" s="14"/>
      <c r="M43" s="10"/>
      <c r="N43" s="14"/>
      <c r="O43" s="10"/>
      <c r="Q43" s="8"/>
      <c r="T43">
        <v>39</v>
      </c>
      <c r="U43" s="28" t="s">
        <v>100</v>
      </c>
      <c r="V43" t="s">
        <v>77</v>
      </c>
      <c r="W43" s="29" t="s">
        <v>101</v>
      </c>
      <c r="Z43" s="34"/>
      <c r="AA43" s="40"/>
      <c r="AB43" s="40"/>
      <c r="AC43" s="38" t="s">
        <v>159</v>
      </c>
      <c r="AD43" s="48"/>
      <c r="AE43" s="53" t="e">
        <f>LOOKUP(AD43,T$5:T$78,U$5:U$60)</f>
        <v>#N/A</v>
      </c>
      <c r="AF43" s="37" t="s">
        <v>157</v>
      </c>
      <c r="AG43" s="65" t="e">
        <f>LOOKUP(AD43,T$5:T$78,W$5:W$63)</f>
        <v>#N/A</v>
      </c>
    </row>
    <row r="44" spans="4:33" ht="13" thickBot="1">
      <c r="E44" s="12"/>
      <c r="F44" s="10"/>
      <c r="G44" s="10"/>
      <c r="H44" s="14" t="s">
        <v>258</v>
      </c>
      <c r="I44" s="9" t="str">
        <f>IF(OR(H42="",H46=""),"",+IF(H42&gt;H46,G42,G46))</f>
        <v/>
      </c>
      <c r="J44" s="16"/>
      <c r="K44" s="10"/>
      <c r="L44" s="14"/>
      <c r="M44" s="10"/>
      <c r="N44" s="14"/>
      <c r="O44" s="10"/>
      <c r="Q44" s="8"/>
      <c r="T44">
        <v>40</v>
      </c>
      <c r="U44" s="28" t="s">
        <v>102</v>
      </c>
      <c r="V44" t="s">
        <v>77</v>
      </c>
      <c r="W44" s="29" t="s">
        <v>103</v>
      </c>
      <c r="Z44" s="34"/>
      <c r="AA44" s="40"/>
      <c r="AB44" s="40"/>
      <c r="AC44" s="38" t="s">
        <v>159</v>
      </c>
      <c r="AD44" s="48"/>
      <c r="AE44" s="53" t="e">
        <f>LOOKUP(AD44,T$5:T$78,U$5:U$60)</f>
        <v>#N/A</v>
      </c>
      <c r="AF44" s="37" t="s">
        <v>157</v>
      </c>
      <c r="AG44" s="65" t="e">
        <f>LOOKUP(AD44,T$5:T$78,W$5:W$63)</f>
        <v>#N/A</v>
      </c>
    </row>
    <row r="45" spans="4:33" ht="13" thickBot="1">
      <c r="D45">
        <v>19</v>
      </c>
      <c r="E45" s="10"/>
      <c r="F45" s="11"/>
      <c r="G45" s="10"/>
      <c r="H45" s="14"/>
      <c r="I45" s="10"/>
      <c r="J45" s="10"/>
      <c r="K45" s="10"/>
      <c r="L45" s="14"/>
      <c r="M45" s="10"/>
      <c r="N45" s="14"/>
      <c r="O45" s="10"/>
      <c r="Q45" s="8"/>
      <c r="T45">
        <v>41</v>
      </c>
      <c r="U45" s="28" t="s">
        <v>104</v>
      </c>
      <c r="V45" t="s">
        <v>77</v>
      </c>
      <c r="W45" s="29" t="s">
        <v>105</v>
      </c>
      <c r="Z45" s="34"/>
      <c r="AA45" s="40"/>
      <c r="AB45" s="40"/>
      <c r="AC45" s="38" t="s">
        <v>159</v>
      </c>
      <c r="AD45" s="48"/>
      <c r="AE45" s="53" t="e">
        <f>LOOKUP(AD45,T$5:T$78,U$5:U$60)</f>
        <v>#N/A</v>
      </c>
      <c r="AF45" s="37" t="s">
        <v>157</v>
      </c>
      <c r="AG45" s="65" t="e">
        <f>LOOKUP(AD45,T$5:T$78,W$5:W$63)</f>
        <v>#N/A</v>
      </c>
    </row>
    <row r="46" spans="4:33" ht="13" thickBot="1">
      <c r="E46" s="12"/>
      <c r="F46" s="13" t="s">
        <v>217</v>
      </c>
      <c r="G46" s="9" t="str">
        <f>IF(OR(F45="",F47=""),"",+IF(F45&gt;F47,E45,E47))</f>
        <v/>
      </c>
      <c r="H46" s="16"/>
      <c r="I46" s="10"/>
      <c r="J46" s="10"/>
      <c r="K46" s="10"/>
      <c r="L46" s="14"/>
      <c r="M46" s="10"/>
      <c r="N46" s="14"/>
      <c r="O46" s="10"/>
      <c r="Q46" s="8"/>
      <c r="T46">
        <v>42</v>
      </c>
      <c r="U46" s="28" t="s">
        <v>106</v>
      </c>
      <c r="V46" t="s">
        <v>77</v>
      </c>
      <c r="W46" s="29" t="s">
        <v>107</v>
      </c>
      <c r="Z46" s="34"/>
      <c r="AA46" s="40"/>
      <c r="AB46" s="40"/>
      <c r="AC46" s="38" t="s">
        <v>159</v>
      </c>
      <c r="AD46" s="48"/>
      <c r="AE46" s="53" t="e">
        <f>LOOKUP(AD46,T$5:T$78,U$5:U$60)</f>
        <v>#N/A</v>
      </c>
      <c r="AF46" s="37" t="s">
        <v>157</v>
      </c>
      <c r="AG46" s="65" t="e">
        <f>LOOKUP(AD46,T$5:T$78,W$5:W$63)</f>
        <v>#N/A</v>
      </c>
    </row>
    <row r="47" spans="4:33" ht="13" thickBot="1">
      <c r="D47">
        <v>20</v>
      </c>
      <c r="E47" s="10"/>
      <c r="F47" s="16"/>
      <c r="G47" s="10"/>
      <c r="H47" s="10"/>
      <c r="I47" s="10"/>
      <c r="J47" s="10"/>
      <c r="K47" s="10"/>
      <c r="L47" s="14"/>
      <c r="M47" s="10"/>
      <c r="N47" s="14"/>
      <c r="O47" s="10"/>
      <c r="Q47" s="8"/>
      <c r="T47">
        <v>43</v>
      </c>
      <c r="U47" s="28" t="s">
        <v>108</v>
      </c>
      <c r="V47" t="s">
        <v>77</v>
      </c>
      <c r="W47" s="29" t="s">
        <v>109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0"/>
      <c r="G48" s="10"/>
      <c r="H48" s="10"/>
      <c r="I48" s="10"/>
      <c r="J48" s="10"/>
      <c r="K48" s="10"/>
      <c r="L48" s="14" t="s">
        <v>218</v>
      </c>
      <c r="M48" s="9" t="str">
        <f>IF(OR(L40="",L55=""),"",+IF(L40&gt;L55,K40,K55))</f>
        <v/>
      </c>
      <c r="N48" s="16"/>
      <c r="O48" s="10"/>
      <c r="Q48" s="8"/>
      <c r="T48">
        <v>44</v>
      </c>
      <c r="U48" s="28" t="s">
        <v>110</v>
      </c>
      <c r="V48" t="s">
        <v>77</v>
      </c>
      <c r="W48" s="29" t="s">
        <v>111</v>
      </c>
      <c r="Z48" s="34"/>
      <c r="AA48" s="40"/>
      <c r="AB48" s="40"/>
      <c r="AC48" s="38" t="s">
        <v>159</v>
      </c>
      <c r="AD48" s="48"/>
      <c r="AE48" s="53" t="e">
        <f>LOOKUP(AD48,T$5:T$78,U$5:U$60)</f>
        <v>#N/A</v>
      </c>
      <c r="AF48" s="37" t="s">
        <v>157</v>
      </c>
      <c r="AG48" s="65" t="e">
        <f>LOOKUP(AD48,T$5:T$78,W$5:W$63)</f>
        <v>#N/A</v>
      </c>
    </row>
    <row r="49" spans="4:33" ht="13" thickBot="1">
      <c r="D49">
        <v>21</v>
      </c>
      <c r="E49" s="10"/>
      <c r="F49" s="11"/>
      <c r="G49" s="10"/>
      <c r="H49" s="10"/>
      <c r="I49" s="10"/>
      <c r="J49" s="10"/>
      <c r="K49" s="10"/>
      <c r="L49" s="14"/>
      <c r="M49" s="10"/>
      <c r="N49" s="10"/>
      <c r="O49" s="10"/>
      <c r="Q49" s="8"/>
      <c r="T49">
        <v>45</v>
      </c>
      <c r="U49" s="28" t="s">
        <v>112</v>
      </c>
      <c r="V49" t="s">
        <v>77</v>
      </c>
      <c r="W49" s="29" t="s">
        <v>113</v>
      </c>
      <c r="Z49" s="34"/>
      <c r="AA49" s="40"/>
      <c r="AB49" s="40"/>
      <c r="AC49" s="38" t="s">
        <v>159</v>
      </c>
      <c r="AD49" s="48"/>
      <c r="AE49" s="53" t="e">
        <f>LOOKUP(AD49,T$5:T$78,U$5:U$60)</f>
        <v>#N/A</v>
      </c>
      <c r="AF49" s="37" t="s">
        <v>157</v>
      </c>
      <c r="AG49" s="65" t="e">
        <f>LOOKUP(AD49,T$5:T$78,W$5:W$63)</f>
        <v>#N/A</v>
      </c>
    </row>
    <row r="50" spans="4:33" ht="13" thickBot="1">
      <c r="E50" s="12"/>
      <c r="F50" s="13" t="s">
        <v>219</v>
      </c>
      <c r="G50" s="9" t="str">
        <f>IF(OR(F49="",F51=""),"",+IF(F49&gt;F51,E49,E51))</f>
        <v/>
      </c>
      <c r="H50" s="17"/>
      <c r="I50" s="10"/>
      <c r="J50" s="10"/>
      <c r="K50" s="10"/>
      <c r="L50" s="14"/>
      <c r="M50" s="10"/>
      <c r="N50" s="10"/>
      <c r="O50" s="10"/>
      <c r="Q50" s="8"/>
      <c r="T50">
        <v>46</v>
      </c>
      <c r="U50" s="28" t="s">
        <v>114</v>
      </c>
      <c r="V50" t="s">
        <v>77</v>
      </c>
      <c r="W50" s="29" t="s">
        <v>115</v>
      </c>
      <c r="Z50" s="34"/>
      <c r="AA50" s="40"/>
      <c r="AB50" s="40"/>
      <c r="AC50" s="38" t="s">
        <v>159</v>
      </c>
      <c r="AD50" s="48"/>
      <c r="AE50" s="53" t="e">
        <f>LOOKUP(AD50,T$5:T$78,U$5:U$60)</f>
        <v>#N/A</v>
      </c>
      <c r="AF50" s="37" t="s">
        <v>157</v>
      </c>
      <c r="AG50" s="65" t="e">
        <f>LOOKUP(AD50,T$5:T$78,W$5:W$63)</f>
        <v>#N/A</v>
      </c>
    </row>
    <row r="51" spans="4:33" ht="13" thickBot="1">
      <c r="D51">
        <v>22</v>
      </c>
      <c r="E51" s="10"/>
      <c r="F51" s="16"/>
      <c r="G51" s="10"/>
      <c r="H51" s="14"/>
      <c r="I51" s="10"/>
      <c r="J51" s="10"/>
      <c r="K51" s="10"/>
      <c r="L51" s="14"/>
      <c r="M51" s="10"/>
      <c r="N51" s="10"/>
      <c r="O51" s="10"/>
      <c r="Q51" s="8"/>
      <c r="T51">
        <v>47</v>
      </c>
      <c r="U51" s="28" t="s">
        <v>116</v>
      </c>
      <c r="V51" t="s">
        <v>77</v>
      </c>
      <c r="W51" s="29" t="s">
        <v>117</v>
      </c>
      <c r="Z51" s="34"/>
      <c r="AA51" s="40"/>
      <c r="AB51" s="40"/>
      <c r="AC51" s="38" t="s">
        <v>159</v>
      </c>
      <c r="AD51" s="48"/>
      <c r="AE51" s="53" t="e">
        <f>LOOKUP(AD51,T$5:T$78,U$5:U$60)</f>
        <v>#N/A</v>
      </c>
      <c r="AF51" s="37" t="s">
        <v>157</v>
      </c>
      <c r="AG51" s="65" t="e">
        <f>LOOKUP(AD51,T$5:T$78,W$5:W$63)</f>
        <v>#N/A</v>
      </c>
    </row>
    <row r="52" spans="4:33" ht="13" thickBot="1">
      <c r="E52" s="12"/>
      <c r="F52" s="10"/>
      <c r="G52" s="10"/>
      <c r="H52" s="14" t="s">
        <v>260</v>
      </c>
      <c r="I52" s="9" t="str">
        <f>IF(OR(H50="",H54=""),"",+IF(H50&gt;H54,G50,G54))</f>
        <v/>
      </c>
      <c r="J52" s="17"/>
      <c r="K52" s="10"/>
      <c r="L52" s="14"/>
      <c r="M52" s="10"/>
      <c r="N52" s="10"/>
      <c r="O52" s="10"/>
      <c r="Q52" s="8"/>
      <c r="T52">
        <v>48</v>
      </c>
      <c r="U52" s="28" t="s">
        <v>118</v>
      </c>
      <c r="V52" t="s">
        <v>77</v>
      </c>
      <c r="W52" s="29" t="s">
        <v>119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10"/>
      <c r="F53" s="11"/>
      <c r="G53" s="10"/>
      <c r="H53" s="14"/>
      <c r="I53" s="10"/>
      <c r="J53" s="14"/>
      <c r="K53" s="10"/>
      <c r="L53" s="14"/>
      <c r="M53" s="10"/>
      <c r="N53" s="10"/>
      <c r="O53" s="10"/>
      <c r="Q53" s="8"/>
      <c r="T53">
        <v>49</v>
      </c>
      <c r="U53" s="28" t="s">
        <v>120</v>
      </c>
      <c r="V53" t="s">
        <v>77</v>
      </c>
      <c r="W53" s="29" t="s">
        <v>121</v>
      </c>
      <c r="Z53" s="34"/>
      <c r="AA53" s="40"/>
      <c r="AB53" s="40"/>
      <c r="AC53" s="38" t="s">
        <v>159</v>
      </c>
      <c r="AD53" s="48"/>
      <c r="AE53" s="53" t="e">
        <f>LOOKUP(AD53,T$5:T$78,U$5:U$60)</f>
        <v>#N/A</v>
      </c>
      <c r="AF53" s="37" t="s">
        <v>157</v>
      </c>
      <c r="AG53" s="65" t="e">
        <f>LOOKUP(AD53,T$5:T$78,W$5:W$63)</f>
        <v>#N/A</v>
      </c>
    </row>
    <row r="54" spans="4:33" ht="13" thickBot="1">
      <c r="E54" s="12"/>
      <c r="F54" s="13" t="s">
        <v>221</v>
      </c>
      <c r="G54" s="9" t="str">
        <f>IF(OR(F53="",F55=""),"",+IF(F53&gt;F55,E53,E55))</f>
        <v/>
      </c>
      <c r="H54" s="16"/>
      <c r="I54" s="10"/>
      <c r="J54" s="14"/>
      <c r="K54" s="10"/>
      <c r="L54" s="14"/>
      <c r="M54" s="10"/>
      <c r="N54" s="10"/>
      <c r="O54" s="10"/>
      <c r="Q54" s="8"/>
      <c r="T54">
        <v>50</v>
      </c>
      <c r="U54" s="28" t="s">
        <v>122</v>
      </c>
      <c r="V54" t="s">
        <v>77</v>
      </c>
      <c r="W54" s="29" t="s">
        <v>123</v>
      </c>
      <c r="Z54" s="34"/>
      <c r="AA54" s="40"/>
      <c r="AB54" s="40"/>
      <c r="AC54" s="38" t="s">
        <v>159</v>
      </c>
      <c r="AD54" s="48"/>
      <c r="AE54" s="53" t="e">
        <f>LOOKUP(AD54,T$5:T$78,U$5:U$60)</f>
        <v>#N/A</v>
      </c>
      <c r="AF54" s="37" t="s">
        <v>157</v>
      </c>
      <c r="AG54" s="65" t="e">
        <f>LOOKUP(AD54,T$5:T$78,W$5:W$63)</f>
        <v>#N/A</v>
      </c>
    </row>
    <row r="55" spans="4:33" ht="13" thickBot="1">
      <c r="D55">
        <v>24</v>
      </c>
      <c r="E55" s="10"/>
      <c r="F55" s="16"/>
      <c r="G55" s="10"/>
      <c r="H55" s="10"/>
      <c r="I55" s="10"/>
      <c r="J55" s="14" t="s">
        <v>247</v>
      </c>
      <c r="K55" s="9" t="str">
        <f>IF(OR(J52="",J60=""),"",+IF(J52&gt;J60,I52,I60))</f>
        <v/>
      </c>
      <c r="L55" s="16"/>
      <c r="M55" s="10"/>
      <c r="N55" s="10"/>
      <c r="O55" s="10"/>
      <c r="Q55" s="8"/>
      <c r="T55">
        <v>51</v>
      </c>
      <c r="U55" s="28" t="s">
        <v>124</v>
      </c>
      <c r="V55" t="s">
        <v>77</v>
      </c>
      <c r="W55" s="29" t="s">
        <v>125</v>
      </c>
      <c r="Z55" s="34"/>
      <c r="AA55" s="40"/>
      <c r="AB55" s="40"/>
      <c r="AC55" s="38" t="s">
        <v>159</v>
      </c>
      <c r="AD55" s="48"/>
      <c r="AE55" s="53" t="e">
        <f>LOOKUP(AD55,T$5:T$78,U$5:U$60)</f>
        <v>#N/A</v>
      </c>
      <c r="AF55" s="37" t="s">
        <v>157</v>
      </c>
      <c r="AG55" s="65" t="e">
        <f>LOOKUP(AD55,T$5:T$78,W$5:W$63)</f>
        <v>#N/A</v>
      </c>
    </row>
    <row r="56" spans="4:33" ht="13" thickBot="1">
      <c r="E56" s="12"/>
      <c r="F56" s="10"/>
      <c r="G56" s="10"/>
      <c r="H56" s="10"/>
      <c r="I56" s="10"/>
      <c r="J56" s="14"/>
      <c r="K56" s="10"/>
      <c r="L56" s="10"/>
      <c r="M56" s="10"/>
      <c r="N56" s="10"/>
      <c r="O56" s="10"/>
      <c r="Q56" s="8"/>
      <c r="T56">
        <v>52</v>
      </c>
      <c r="U56" s="28" t="s">
        <v>126</v>
      </c>
      <c r="V56" t="s">
        <v>77</v>
      </c>
      <c r="W56" s="29" t="s">
        <v>127</v>
      </c>
      <c r="Z56" s="42"/>
      <c r="AA56" s="43"/>
      <c r="AB56" s="43"/>
      <c r="AC56" s="43"/>
      <c r="AD56" s="61"/>
      <c r="AE56" s="62"/>
      <c r="AF56" s="63"/>
      <c r="AG56" s="60"/>
    </row>
    <row r="57" spans="4:33" ht="13.35" thickTop="1" thickBot="1">
      <c r="D57">
        <v>25</v>
      </c>
      <c r="E57" s="10"/>
      <c r="F57" s="11"/>
      <c r="G57" s="10"/>
      <c r="H57" s="10"/>
      <c r="I57" s="10"/>
      <c r="J57" s="14"/>
      <c r="K57" s="10"/>
      <c r="L57" s="10"/>
      <c r="M57" s="10"/>
      <c r="N57" s="10"/>
      <c r="O57" s="10"/>
      <c r="Q57" s="8"/>
      <c r="T57">
        <v>53</v>
      </c>
      <c r="U57" s="28" t="s">
        <v>130</v>
      </c>
      <c r="V57" t="s">
        <v>77</v>
      </c>
      <c r="W57" s="29" t="s">
        <v>128</v>
      </c>
    </row>
    <row r="58" spans="4:33" ht="13" thickBot="1">
      <c r="E58" s="12"/>
      <c r="F58" s="13" t="s">
        <v>223</v>
      </c>
      <c r="G58" s="9" t="str">
        <f>IF(OR(F57="",F59=""),"",+IF(F57&gt;F59,E57,E59))</f>
        <v/>
      </c>
      <c r="H58" s="11"/>
      <c r="I58" s="10"/>
      <c r="J58" s="14"/>
      <c r="K58" s="10"/>
      <c r="L58" s="10"/>
      <c r="M58" s="10"/>
      <c r="N58" s="10"/>
      <c r="O58" s="10"/>
      <c r="Q58" s="8"/>
      <c r="U58" s="29"/>
    </row>
    <row r="59" spans="4:33" ht="13" thickBot="1">
      <c r="D59">
        <v>26</v>
      </c>
      <c r="E59" s="69"/>
      <c r="F59" s="16"/>
      <c r="G59" s="10"/>
      <c r="H59" s="13"/>
      <c r="I59" s="10"/>
      <c r="J59" s="14"/>
      <c r="K59" s="10"/>
      <c r="L59" s="10"/>
      <c r="M59" s="10"/>
      <c r="N59" s="10"/>
      <c r="O59" s="10"/>
      <c r="Q59" s="8"/>
      <c r="W59" s="28"/>
    </row>
    <row r="60" spans="4:33" ht="13" thickBot="1">
      <c r="E60" s="10"/>
      <c r="F60" s="10"/>
      <c r="G60" s="10"/>
      <c r="H60" s="14" t="s">
        <v>201</v>
      </c>
      <c r="I60" s="9" t="str">
        <f>IF(OR(H58="",H61=""),"",+IF(H58&gt;H61,G58,E61))</f>
        <v/>
      </c>
      <c r="J60" s="16"/>
      <c r="K60" s="10"/>
      <c r="L60" s="10"/>
      <c r="M60" s="10"/>
      <c r="N60" s="10"/>
      <c r="O60" s="10"/>
      <c r="Q60" s="8"/>
    </row>
    <row r="61" spans="4:33" ht="13" thickBot="1">
      <c r="D61">
        <v>27</v>
      </c>
      <c r="E61" s="9"/>
      <c r="F61" s="9"/>
      <c r="G61" s="9">
        <f>E61</f>
        <v>0</v>
      </c>
      <c r="H61" s="16"/>
      <c r="I61" s="10"/>
      <c r="J61" s="10"/>
      <c r="K61" s="10"/>
      <c r="L61" s="10"/>
      <c r="M61" s="10"/>
      <c r="N61" s="10"/>
      <c r="O61" s="10"/>
      <c r="Q61" s="8"/>
    </row>
    <row r="62" spans="4:33">
      <c r="Q62" s="8"/>
    </row>
    <row r="63" spans="4:33" ht="13" thickBot="1">
      <c r="P63" t="s">
        <v>257</v>
      </c>
      <c r="Q63" s="27"/>
      <c r="R63" s="7"/>
      <c r="S63" s="7"/>
    </row>
    <row r="64" spans="4:33" ht="13" thickBot="1">
      <c r="D64">
        <v>28</v>
      </c>
      <c r="E64" s="10"/>
      <c r="F64" s="9"/>
      <c r="G64" s="9">
        <f>E64</f>
        <v>0</v>
      </c>
      <c r="H64" s="11"/>
      <c r="I64" s="10"/>
      <c r="J64" s="10"/>
      <c r="K64" s="10"/>
      <c r="L64" s="10"/>
      <c r="M64" s="10"/>
      <c r="N64" s="10"/>
      <c r="O64" s="10"/>
      <c r="Q64" s="8"/>
    </row>
    <row r="65" spans="4:17">
      <c r="E65" s="12"/>
      <c r="F65" s="10"/>
      <c r="G65" s="10"/>
      <c r="H65" s="13"/>
      <c r="I65" s="10"/>
      <c r="J65" s="10"/>
      <c r="K65" s="10"/>
      <c r="L65" s="10"/>
      <c r="M65" s="10"/>
      <c r="N65" s="10"/>
      <c r="O65" s="10"/>
      <c r="Q65" s="8"/>
    </row>
    <row r="66" spans="4:17" ht="13" thickBot="1">
      <c r="E66" s="10"/>
      <c r="F66" s="10"/>
      <c r="G66" s="10"/>
      <c r="H66" s="14" t="s">
        <v>205</v>
      </c>
      <c r="I66" s="9" t="str">
        <f>IF(OR(H64="",H68=""),"",+IF(H64&gt;H68,G64,G68))</f>
        <v/>
      </c>
      <c r="J66" s="11"/>
      <c r="K66" s="10"/>
      <c r="L66" s="10"/>
      <c r="M66" s="10"/>
      <c r="N66" s="10"/>
      <c r="O66" s="10"/>
      <c r="Q66" s="8"/>
    </row>
    <row r="67" spans="4:17" ht="13" thickBot="1">
      <c r="D67">
        <v>29</v>
      </c>
      <c r="E67" s="10"/>
      <c r="F67" s="11"/>
      <c r="G67" s="10"/>
      <c r="H67" s="14"/>
      <c r="I67" s="10"/>
      <c r="J67" s="13"/>
      <c r="K67" s="10"/>
      <c r="L67" s="10"/>
      <c r="M67" s="10"/>
      <c r="N67" s="10"/>
      <c r="O67" s="10"/>
      <c r="Q67" s="8"/>
    </row>
    <row r="68" spans="4:17" ht="13" thickBot="1">
      <c r="E68" s="12"/>
      <c r="F68" s="13" t="s">
        <v>225</v>
      </c>
      <c r="G68" s="9" t="str">
        <f>IF(OR(F67="",F69=""),"",+IF(F67&gt;F69,E67,E69))</f>
        <v/>
      </c>
      <c r="H68" s="16"/>
      <c r="I68" s="10"/>
      <c r="J68" s="14"/>
      <c r="K68" s="10"/>
      <c r="L68" s="10"/>
      <c r="M68" s="10"/>
      <c r="N68" s="10"/>
      <c r="O68" s="10"/>
      <c r="Q68" s="8"/>
    </row>
    <row r="69" spans="4:17" ht="13" thickBot="1">
      <c r="D69">
        <v>30</v>
      </c>
      <c r="E69" s="10"/>
      <c r="F69" s="16"/>
      <c r="G69" s="10"/>
      <c r="H69" s="10"/>
      <c r="I69" s="10"/>
      <c r="J69" s="14"/>
      <c r="K69" s="10"/>
      <c r="L69" s="10"/>
      <c r="M69" s="10"/>
      <c r="N69" s="10"/>
      <c r="O69" s="10"/>
      <c r="Q69" s="8"/>
    </row>
    <row r="70" spans="4:17" ht="13" thickBot="1">
      <c r="E70" s="12"/>
      <c r="F70" s="10"/>
      <c r="G70" s="10"/>
      <c r="H70" s="10"/>
      <c r="I70" s="10"/>
      <c r="J70" s="14" t="s">
        <v>251</v>
      </c>
      <c r="K70" s="9" t="str">
        <f>IF(OR(J66="",J74=""),"",+IF(J66&gt;J74,I66,I74))</f>
        <v/>
      </c>
      <c r="L70" s="17"/>
      <c r="M70" s="10"/>
      <c r="N70" s="10"/>
      <c r="O70" s="10"/>
      <c r="Q70" s="8"/>
    </row>
    <row r="71" spans="4:17" ht="13" thickBot="1">
      <c r="D71">
        <v>31</v>
      </c>
      <c r="E71" s="10"/>
      <c r="F71" s="11"/>
      <c r="G71" s="10"/>
      <c r="H71" s="10"/>
      <c r="I71" s="10"/>
      <c r="J71" s="14"/>
      <c r="K71" s="10"/>
      <c r="L71" s="13"/>
      <c r="M71" s="10"/>
      <c r="N71" s="10"/>
      <c r="O71" s="10"/>
      <c r="Q71" s="8"/>
    </row>
    <row r="72" spans="4:17" ht="13" thickBot="1">
      <c r="E72" s="12"/>
      <c r="F72" s="13" t="s">
        <v>227</v>
      </c>
      <c r="G72" s="9" t="str">
        <f>IF(OR(F71="",F73=""),"",+IF(F71&gt;F73,E71,E73))</f>
        <v/>
      </c>
      <c r="H72" s="11"/>
      <c r="I72" s="10"/>
      <c r="J72" s="14"/>
      <c r="K72" s="10"/>
      <c r="L72" s="14"/>
      <c r="M72" s="10"/>
      <c r="N72" s="10"/>
      <c r="O72" s="10"/>
      <c r="Q72" s="8"/>
    </row>
    <row r="73" spans="4:17" ht="13" thickBot="1">
      <c r="D73">
        <v>32</v>
      </c>
      <c r="E73" s="9"/>
      <c r="F73" s="16"/>
      <c r="G73" s="10"/>
      <c r="H73" s="13"/>
      <c r="I73" s="10"/>
      <c r="J73" s="14"/>
      <c r="K73" s="10"/>
      <c r="L73" s="14"/>
      <c r="M73" s="10"/>
      <c r="N73" s="10"/>
      <c r="O73" s="10"/>
      <c r="Q73" s="8"/>
    </row>
    <row r="74" spans="4:17" ht="13" thickBot="1">
      <c r="E74" s="10"/>
      <c r="F74" s="10"/>
      <c r="G74" s="10"/>
      <c r="H74" s="14" t="s">
        <v>209</v>
      </c>
      <c r="I74" s="9" t="str">
        <f>IF(OR(H72="",H75=""),"",+IF(H72&gt;H75,G72,E75))</f>
        <v/>
      </c>
      <c r="J74" s="16"/>
      <c r="K74" s="10"/>
      <c r="L74" s="14"/>
      <c r="M74" s="10"/>
      <c r="N74" s="10"/>
      <c r="O74" s="10"/>
      <c r="Q74" s="8"/>
    </row>
    <row r="75" spans="4:17" ht="13" thickBot="1">
      <c r="D75">
        <v>33</v>
      </c>
      <c r="E75" s="9"/>
      <c r="F75" s="9"/>
      <c r="G75" s="9">
        <f>E75</f>
        <v>0</v>
      </c>
      <c r="H75" s="16"/>
      <c r="I75" s="10"/>
      <c r="J75" s="10"/>
      <c r="K75" s="10"/>
      <c r="L75" s="14"/>
      <c r="M75" s="10"/>
      <c r="N75" s="10"/>
      <c r="O75" s="10"/>
      <c r="Q75" s="8"/>
    </row>
    <row r="76" spans="4:17">
      <c r="E76" s="10"/>
      <c r="F76" s="10"/>
      <c r="G76" s="10"/>
      <c r="H76" s="10"/>
      <c r="I76" s="10"/>
      <c r="J76" s="10"/>
      <c r="K76" s="10"/>
      <c r="L76" s="14"/>
      <c r="M76" s="10"/>
      <c r="N76" s="10"/>
      <c r="O76" s="10"/>
      <c r="Q76" s="8"/>
    </row>
    <row r="77" spans="4:17" ht="13" thickBot="1">
      <c r="D77">
        <v>34</v>
      </c>
      <c r="E77" s="10"/>
      <c r="F77" s="11"/>
      <c r="G77" s="10"/>
      <c r="H77" s="10"/>
      <c r="I77" s="10"/>
      <c r="J77" s="10"/>
      <c r="K77" s="10"/>
      <c r="L77" s="14" t="s">
        <v>226</v>
      </c>
      <c r="M77" s="9" t="str">
        <f>IF(OR(L70="",L83=""),"",+IF(L70&gt;L83,K70,K83))</f>
        <v/>
      </c>
      <c r="N77" s="17"/>
      <c r="O77" s="10"/>
      <c r="Q77" s="8"/>
    </row>
    <row r="78" spans="4:17" ht="13" thickBot="1">
      <c r="E78" s="12"/>
      <c r="F78" s="13" t="s">
        <v>229</v>
      </c>
      <c r="G78" s="9" t="str">
        <f>IF(OR(F77="",F79=""),"",+IF(F77&gt;F79,E77,E79))</f>
        <v/>
      </c>
      <c r="H78" s="17"/>
      <c r="I78" s="10"/>
      <c r="J78" s="10"/>
      <c r="K78" s="10"/>
      <c r="L78" s="14"/>
      <c r="M78" s="10"/>
      <c r="N78" s="14"/>
      <c r="O78" s="10"/>
      <c r="Q78" s="8"/>
    </row>
    <row r="79" spans="4:17" ht="13" thickBot="1">
      <c r="D79">
        <v>35</v>
      </c>
      <c r="E79" s="10"/>
      <c r="F79" s="16"/>
      <c r="G79" s="10"/>
      <c r="H79" s="14"/>
      <c r="I79" s="10"/>
      <c r="J79" s="10"/>
      <c r="K79" s="10"/>
      <c r="L79" s="14"/>
      <c r="M79" s="10"/>
      <c r="N79" s="14"/>
      <c r="O79" s="10"/>
      <c r="Q79" s="8"/>
    </row>
    <row r="80" spans="4:17" ht="13" thickBot="1">
      <c r="E80" s="12"/>
      <c r="F80" s="10"/>
      <c r="G80" s="10"/>
      <c r="H80" s="14" t="s">
        <v>213</v>
      </c>
      <c r="I80" s="9" t="str">
        <f>IF(OR(H78="",H82=""),"",+IF(H78&gt;H82,G78,G82))</f>
        <v/>
      </c>
      <c r="J80" s="17"/>
      <c r="K80" s="10"/>
      <c r="L80" s="14"/>
      <c r="M80" s="10"/>
      <c r="N80" s="14"/>
      <c r="O80" s="10"/>
      <c r="Q80" s="8"/>
    </row>
    <row r="81" spans="4:17" ht="13" thickBot="1">
      <c r="D81">
        <v>36</v>
      </c>
      <c r="E81" s="10"/>
      <c r="F81" s="11"/>
      <c r="G81" s="10"/>
      <c r="H81" s="14"/>
      <c r="I81" s="10"/>
      <c r="J81" s="14"/>
      <c r="K81" s="10"/>
      <c r="L81" s="14"/>
      <c r="M81" s="10"/>
      <c r="N81" s="14"/>
      <c r="O81" s="10"/>
      <c r="Q81" s="8"/>
    </row>
    <row r="82" spans="4:17" ht="13" thickBot="1">
      <c r="E82" s="12"/>
      <c r="F82" s="13" t="s">
        <v>232</v>
      </c>
      <c r="G82" s="9" t="str">
        <f>IF(OR(F81="",F83=""),"",+IF(F81&gt;F83,E81,E83))</f>
        <v/>
      </c>
      <c r="H82" s="16"/>
      <c r="I82" s="10"/>
      <c r="J82" s="14"/>
      <c r="K82" s="10"/>
      <c r="L82" s="14"/>
      <c r="M82" s="10"/>
      <c r="N82" s="14"/>
      <c r="O82" s="10"/>
      <c r="Q82" s="8"/>
    </row>
    <row r="83" spans="4:17" ht="13" thickBot="1">
      <c r="D83">
        <v>37</v>
      </c>
      <c r="E83" s="10"/>
      <c r="F83" s="16"/>
      <c r="G83" s="10"/>
      <c r="H83" s="10"/>
      <c r="I83" s="10"/>
      <c r="J83" s="14" t="s">
        <v>255</v>
      </c>
      <c r="K83" s="9" t="str">
        <f>IF(OR(J80="",J88=""),"",+IF(J80&gt;J88,I80,I88))</f>
        <v/>
      </c>
      <c r="L83" s="16"/>
      <c r="M83" s="10"/>
      <c r="N83" s="14"/>
      <c r="O83" s="10"/>
      <c r="Q83" s="8"/>
    </row>
    <row r="84" spans="4:17">
      <c r="E84" s="12"/>
      <c r="F84" s="10"/>
      <c r="G84" s="10"/>
      <c r="H84" s="10"/>
      <c r="I84" s="10"/>
      <c r="J84" s="14"/>
      <c r="K84" s="10"/>
      <c r="L84" s="10"/>
      <c r="M84" s="10"/>
      <c r="N84" s="14"/>
      <c r="O84" s="10"/>
      <c r="Q84" s="8"/>
    </row>
    <row r="85" spans="4:17" ht="13" thickBot="1">
      <c r="D85">
        <v>38</v>
      </c>
      <c r="E85" s="10"/>
      <c r="F85" s="11"/>
      <c r="G85" s="10"/>
      <c r="H85" s="10"/>
      <c r="I85" s="10"/>
      <c r="J85" s="14"/>
      <c r="K85" s="10"/>
      <c r="L85" s="10"/>
      <c r="M85" s="10"/>
      <c r="N85" s="14"/>
      <c r="O85" s="10"/>
      <c r="Q85" s="8"/>
    </row>
    <row r="86" spans="4:17" ht="13" thickBot="1">
      <c r="E86" s="12"/>
      <c r="F86" s="13" t="s">
        <v>234</v>
      </c>
      <c r="G86" s="9" t="str">
        <f>IF(OR(F85="",F87=""),"",+IF(F85&gt;F87,E85,E87))</f>
        <v/>
      </c>
      <c r="H86" s="11"/>
      <c r="I86" s="10"/>
      <c r="J86" s="14"/>
      <c r="K86" s="10"/>
      <c r="L86" s="10"/>
      <c r="M86" s="10"/>
      <c r="N86" s="14"/>
      <c r="O86" s="10"/>
      <c r="Q86" s="8"/>
    </row>
    <row r="87" spans="4:17" ht="13" thickBot="1">
      <c r="D87">
        <v>39</v>
      </c>
      <c r="E87" s="9"/>
      <c r="F87" s="16"/>
      <c r="G87" s="10"/>
      <c r="H87" s="13"/>
      <c r="I87" s="10"/>
      <c r="J87" s="14"/>
      <c r="K87" s="10"/>
      <c r="L87" s="10"/>
      <c r="M87" s="10"/>
      <c r="N87" s="14"/>
      <c r="O87" s="10"/>
      <c r="Q87" s="8"/>
    </row>
    <row r="88" spans="4:17" ht="13" thickBot="1">
      <c r="E88" s="10"/>
      <c r="F88" s="10"/>
      <c r="G88" s="10"/>
      <c r="H88" s="14" t="s">
        <v>216</v>
      </c>
      <c r="I88" s="9" t="str">
        <f>IF(OR(H86="",H89=""),"",+IF(H86&gt;H89,G86,E89))</f>
        <v/>
      </c>
      <c r="J88" s="16"/>
      <c r="K88" s="10"/>
      <c r="L88" s="10"/>
      <c r="M88" s="10"/>
      <c r="N88" s="14"/>
      <c r="O88" s="10"/>
      <c r="Q88" s="8"/>
    </row>
    <row r="89" spans="4:17" ht="13" thickBot="1">
      <c r="D89">
        <v>40</v>
      </c>
      <c r="E89" s="9"/>
      <c r="F89" s="9"/>
      <c r="G89" s="9">
        <f>E89</f>
        <v>0</v>
      </c>
      <c r="H89" s="16"/>
      <c r="I89" s="10"/>
      <c r="J89" s="10"/>
      <c r="K89" s="10"/>
      <c r="L89" s="10"/>
      <c r="M89" s="10"/>
      <c r="N89" s="14"/>
      <c r="O89" s="10"/>
      <c r="Q89" s="8"/>
    </row>
    <row r="90" spans="4:17" ht="13" thickBot="1">
      <c r="E90" s="10"/>
      <c r="F90" s="10"/>
      <c r="G90" s="10"/>
      <c r="H90" s="10"/>
      <c r="I90" s="10"/>
      <c r="J90" s="10"/>
      <c r="K90" s="10"/>
      <c r="L90" s="10"/>
      <c r="M90" s="10"/>
      <c r="N90" s="14" t="s">
        <v>249</v>
      </c>
      <c r="O90" s="9" t="str">
        <f>IF(OR(N77="",N105=""),"",+IF(N77&gt;N105,M77,M105))</f>
        <v/>
      </c>
      <c r="P90" s="7"/>
      <c r="Q90" s="8"/>
    </row>
    <row r="91" spans="4:17" ht="13" thickBot="1">
      <c r="D91">
        <v>41</v>
      </c>
      <c r="E91" s="10"/>
      <c r="F91" s="9"/>
      <c r="G91" s="9">
        <f>E91</f>
        <v>0</v>
      </c>
      <c r="H91" s="11"/>
      <c r="I91" s="10"/>
      <c r="J91" s="10"/>
      <c r="K91" s="10"/>
      <c r="L91" s="10"/>
      <c r="M91" s="10"/>
      <c r="N91" s="14"/>
      <c r="O91" s="10"/>
    </row>
    <row r="92" spans="4:17">
      <c r="E92" s="12"/>
      <c r="F92" s="10"/>
      <c r="G92" s="10"/>
      <c r="H92" s="13"/>
      <c r="I92" s="10"/>
      <c r="J92" s="10"/>
      <c r="K92" s="10"/>
      <c r="L92" s="10"/>
      <c r="M92" s="10"/>
      <c r="N92" s="14"/>
      <c r="O92" s="10"/>
    </row>
    <row r="93" spans="4:17" ht="13" thickBot="1">
      <c r="E93" s="10"/>
      <c r="F93" s="10"/>
      <c r="G93" s="10"/>
      <c r="H93" s="14" t="s">
        <v>220</v>
      </c>
      <c r="I93" s="9" t="str">
        <f>IF(OR(H91="",H95=""),"",+IF(H91&gt;H95,G91,G95))</f>
        <v/>
      </c>
      <c r="J93" s="10"/>
      <c r="K93" s="10"/>
      <c r="L93" s="10"/>
      <c r="M93" s="10"/>
      <c r="N93" s="14"/>
      <c r="O93" s="10"/>
    </row>
    <row r="94" spans="4:17" ht="13" thickBot="1">
      <c r="D94">
        <v>42</v>
      </c>
      <c r="E94" s="10"/>
      <c r="F94" s="11"/>
      <c r="G94" s="10"/>
      <c r="H94" s="14"/>
      <c r="I94" s="12"/>
      <c r="J94" s="15"/>
      <c r="K94" s="10"/>
      <c r="L94" s="10"/>
      <c r="M94" s="10"/>
      <c r="N94" s="14"/>
      <c r="O94" s="10"/>
    </row>
    <row r="95" spans="4:17" ht="13" thickBot="1">
      <c r="E95" s="12"/>
      <c r="F95" s="13" t="s">
        <v>236</v>
      </c>
      <c r="G95" s="9" t="str">
        <f>IF(OR(F94="",F96=""),"",+IF(F94&gt;F96,E94,E96))</f>
        <v/>
      </c>
      <c r="H95" s="16"/>
      <c r="I95" s="10"/>
      <c r="J95" s="14"/>
      <c r="K95" s="10"/>
      <c r="L95" s="10"/>
      <c r="M95" s="10"/>
      <c r="N95" s="14"/>
      <c r="O95" s="10"/>
    </row>
    <row r="96" spans="4:17" ht="13" thickBot="1">
      <c r="D96">
        <v>43</v>
      </c>
      <c r="E96" s="9"/>
      <c r="F96" s="16"/>
      <c r="G96" s="10"/>
      <c r="H96" s="10"/>
      <c r="I96" s="10"/>
      <c r="J96" s="14"/>
      <c r="K96" s="10"/>
      <c r="L96" s="10"/>
      <c r="M96" s="10"/>
      <c r="N96" s="14"/>
      <c r="O96" s="10"/>
    </row>
    <row r="97" spans="4:15" ht="13" thickBot="1">
      <c r="E97" s="10"/>
      <c r="F97" s="10"/>
      <c r="G97" s="10"/>
      <c r="H97" s="10"/>
      <c r="I97" s="10"/>
      <c r="J97" s="14" t="s">
        <v>259</v>
      </c>
      <c r="K97" s="9" t="str">
        <f>IF(OR(J94="",J101=""),"",+IF(J94&gt;J101,I93,I101))</f>
        <v/>
      </c>
      <c r="L97" s="17"/>
      <c r="M97" s="10"/>
      <c r="N97" s="14"/>
      <c r="O97" s="10"/>
    </row>
    <row r="98" spans="4:15" ht="13" thickBot="1">
      <c r="D98">
        <v>44</v>
      </c>
      <c r="E98" s="10"/>
      <c r="F98" s="11"/>
      <c r="G98" s="10"/>
      <c r="H98" s="10"/>
      <c r="I98" s="10"/>
      <c r="J98" s="14"/>
      <c r="K98" s="10"/>
      <c r="L98" s="13"/>
      <c r="M98" s="10"/>
      <c r="N98" s="14"/>
      <c r="O98" s="10"/>
    </row>
    <row r="99" spans="4:15" ht="13" thickBot="1">
      <c r="E99" s="12"/>
      <c r="F99" s="13" t="s">
        <v>238</v>
      </c>
      <c r="G99" s="9" t="str">
        <f>IF(OR(F98="",F100=""),"",+IF(F98&gt;F100,E98,E100))</f>
        <v/>
      </c>
      <c r="H99" s="17"/>
      <c r="I99" s="10"/>
      <c r="J99" s="14"/>
      <c r="K99" s="10"/>
      <c r="L99" s="14"/>
      <c r="M99" s="10"/>
      <c r="N99" s="14"/>
      <c r="O99" s="10"/>
    </row>
    <row r="100" spans="4:15" ht="13" thickBot="1">
      <c r="D100">
        <v>45</v>
      </c>
      <c r="E100" s="10"/>
      <c r="F100" s="16"/>
      <c r="G100" s="10"/>
      <c r="H100" s="14"/>
      <c r="I100" s="10"/>
      <c r="J100" s="14"/>
      <c r="K100" s="10"/>
      <c r="L100" s="14"/>
      <c r="M100" s="10"/>
      <c r="N100" s="14"/>
      <c r="O100" s="10"/>
    </row>
    <row r="101" spans="4:15" ht="13" thickBot="1">
      <c r="E101" s="12"/>
      <c r="F101" s="10"/>
      <c r="G101" s="10"/>
      <c r="H101" s="14" t="s">
        <v>224</v>
      </c>
      <c r="I101" s="9" t="str">
        <f>IF(OR(H99="",H103=""),"",+IF(H99&gt;H103,G99,G103))</f>
        <v/>
      </c>
      <c r="J101" s="16"/>
      <c r="K101" s="10"/>
      <c r="L101" s="14"/>
      <c r="M101" s="10"/>
      <c r="N101" s="14"/>
      <c r="O101" s="10"/>
    </row>
    <row r="102" spans="4:15" ht="13" thickBot="1">
      <c r="D102">
        <v>46</v>
      </c>
      <c r="E102" s="10"/>
      <c r="F102" s="11"/>
      <c r="G102" s="10"/>
      <c r="H102" s="14"/>
      <c r="I102" s="10"/>
      <c r="J102" s="10"/>
      <c r="K102" s="10"/>
      <c r="L102" s="14"/>
      <c r="M102" s="10"/>
      <c r="N102" s="14"/>
      <c r="O102" s="10"/>
    </row>
    <row r="103" spans="4:15" ht="13" thickBot="1">
      <c r="E103" s="12"/>
      <c r="F103" s="13" t="s">
        <v>240</v>
      </c>
      <c r="G103" s="9" t="str">
        <f>IF(OR(F102="",F104=""),"",+IF(F102&gt;F104,E102,E104))</f>
        <v/>
      </c>
      <c r="H103" s="16"/>
      <c r="I103" s="10"/>
      <c r="J103" s="10"/>
      <c r="K103" s="10"/>
      <c r="L103" s="14"/>
      <c r="M103" s="10"/>
      <c r="N103" s="14"/>
      <c r="O103" s="10"/>
    </row>
    <row r="104" spans="4:15" ht="13" thickBot="1">
      <c r="D104">
        <v>47</v>
      </c>
      <c r="E104" s="10"/>
      <c r="F104" s="16"/>
      <c r="G104" s="10"/>
      <c r="H104" s="10"/>
      <c r="I104" s="10"/>
      <c r="J104" s="10"/>
      <c r="K104" s="10"/>
      <c r="L104" s="14"/>
      <c r="M104" s="10"/>
      <c r="N104" s="14"/>
      <c r="O104" s="10"/>
    </row>
    <row r="105" spans="4:15" ht="13" thickBot="1">
      <c r="E105" s="12"/>
      <c r="F105" s="10"/>
      <c r="G105" s="10"/>
      <c r="H105" s="10"/>
      <c r="I105" s="10"/>
      <c r="J105" s="10"/>
      <c r="K105" s="10"/>
      <c r="L105" s="14" t="s">
        <v>233</v>
      </c>
      <c r="M105" s="9" t="str">
        <f>IF(OR(L97="",L112=""),"",+IF(L97&gt;L112,K97,K112))</f>
        <v/>
      </c>
      <c r="N105" s="16"/>
      <c r="O105" s="10"/>
    </row>
    <row r="106" spans="4:15" ht="13" thickBot="1">
      <c r="D106">
        <v>48</v>
      </c>
      <c r="E106" s="10"/>
      <c r="F106" s="11"/>
      <c r="G106" s="10"/>
      <c r="H106" s="10"/>
      <c r="I106" s="10"/>
      <c r="J106" s="10"/>
      <c r="K106" s="10"/>
      <c r="L106" s="14"/>
      <c r="M106" s="10"/>
      <c r="N106" s="10"/>
      <c r="O106" s="10"/>
    </row>
    <row r="107" spans="4:15" ht="13" thickBot="1">
      <c r="E107" s="12"/>
      <c r="F107" s="13" t="s">
        <v>242</v>
      </c>
      <c r="G107" s="9" t="str">
        <f>IF(OR(F106="",F108=""),"",+IF(F106&gt;F108,E106,E108))</f>
        <v/>
      </c>
      <c r="H107" s="17"/>
      <c r="I107" s="10"/>
      <c r="J107" s="10"/>
      <c r="K107" s="10"/>
      <c r="L107" s="14"/>
      <c r="M107" s="10"/>
      <c r="N107" s="10"/>
      <c r="O107" s="10"/>
    </row>
    <row r="108" spans="4:15" ht="13" thickBot="1">
      <c r="D108">
        <v>49</v>
      </c>
      <c r="E108" s="10"/>
      <c r="F108" s="16"/>
      <c r="G108" s="10"/>
      <c r="H108" s="14"/>
      <c r="I108" s="10"/>
      <c r="J108" s="10"/>
      <c r="K108" s="10"/>
      <c r="L108" s="14"/>
      <c r="M108" s="10"/>
      <c r="N108" s="10"/>
      <c r="O108" s="10"/>
    </row>
    <row r="109" spans="4:15" ht="13" thickBot="1">
      <c r="E109" s="12"/>
      <c r="F109" s="10"/>
      <c r="G109" s="10"/>
      <c r="H109" s="14" t="s">
        <v>228</v>
      </c>
      <c r="I109" s="9" t="str">
        <f>IF(OR(H107="",H111=""),"",+IF(H107&gt;H111,G107,G111))</f>
        <v/>
      </c>
      <c r="J109" s="17"/>
      <c r="K109" s="10"/>
      <c r="L109" s="14"/>
      <c r="M109" s="10"/>
      <c r="N109" s="10"/>
      <c r="O109" s="10"/>
    </row>
    <row r="110" spans="4:15" ht="13" thickBot="1">
      <c r="D110">
        <v>50</v>
      </c>
      <c r="E110" s="10"/>
      <c r="F110" s="11"/>
      <c r="G110" s="10"/>
      <c r="H110" s="14"/>
      <c r="I110" s="10"/>
      <c r="J110" s="14"/>
      <c r="K110" s="10"/>
      <c r="L110" s="14"/>
      <c r="M110" s="10"/>
      <c r="N110" s="10"/>
      <c r="O110" s="10"/>
    </row>
    <row r="111" spans="4:15" ht="13" thickBot="1">
      <c r="E111" s="12"/>
      <c r="F111" s="13" t="s">
        <v>244</v>
      </c>
      <c r="G111" s="9" t="str">
        <f>IF(OR(F110="",F112=""),"",+IF(F110&gt;F112,E110,E112))</f>
        <v/>
      </c>
      <c r="H111" s="16"/>
      <c r="I111" s="10"/>
      <c r="J111" s="14"/>
      <c r="K111" s="10"/>
      <c r="L111" s="14"/>
      <c r="M111" s="10"/>
      <c r="N111" s="10"/>
      <c r="O111" s="10"/>
    </row>
    <row r="112" spans="4:15" ht="13" thickBot="1">
      <c r="D112">
        <v>51</v>
      </c>
      <c r="E112" s="10"/>
      <c r="F112" s="16"/>
      <c r="G112" s="10"/>
      <c r="H112" s="10"/>
      <c r="I112" s="10"/>
      <c r="J112" s="14" t="s">
        <v>203</v>
      </c>
      <c r="K112" s="9" t="str">
        <f>IF(OR(J109="",J117=""),"",+IF(J109&gt;J117,I109,I117))</f>
        <v/>
      </c>
      <c r="L112" s="16"/>
      <c r="M112" s="10"/>
      <c r="N112" s="10"/>
      <c r="O112" s="10"/>
    </row>
    <row r="113" spans="4:15">
      <c r="E113" s="12"/>
      <c r="F113" s="10"/>
      <c r="G113" s="10"/>
      <c r="H113" s="10"/>
      <c r="I113" s="10"/>
      <c r="J113" s="14"/>
      <c r="K113" s="10"/>
      <c r="L113" s="10"/>
      <c r="M113" s="10"/>
      <c r="N113" s="10"/>
      <c r="O113" s="10"/>
    </row>
    <row r="114" spans="4:15" ht="13" thickBot="1">
      <c r="D114">
        <v>52</v>
      </c>
      <c r="E114" s="10"/>
      <c r="F114" s="11"/>
      <c r="G114" s="10"/>
      <c r="H114" s="10"/>
      <c r="I114" s="10"/>
      <c r="J114" s="14"/>
      <c r="K114" s="10"/>
      <c r="L114" s="10"/>
      <c r="M114" s="10"/>
      <c r="N114" s="10"/>
      <c r="O114" s="10"/>
    </row>
    <row r="115" spans="4:15" ht="13" thickBot="1">
      <c r="E115" s="12"/>
      <c r="F115" s="13" t="s">
        <v>246</v>
      </c>
      <c r="G115" s="9" t="str">
        <f>IF(OR(F114="",F116=""),"",+IF(F114&gt;F116,E114,E116))</f>
        <v/>
      </c>
      <c r="H115" s="11"/>
      <c r="I115" s="10"/>
      <c r="J115" s="14"/>
      <c r="K115" s="10"/>
      <c r="L115" s="10"/>
      <c r="M115" s="10"/>
      <c r="N115" s="10"/>
      <c r="O115" s="10"/>
    </row>
    <row r="116" spans="4:15" ht="13" thickBot="1">
      <c r="D116">
        <v>53</v>
      </c>
      <c r="E116" s="9"/>
      <c r="F116" s="16"/>
      <c r="G116" s="10"/>
      <c r="H116" s="13"/>
      <c r="I116" s="10"/>
      <c r="J116" s="14"/>
      <c r="K116" s="10"/>
      <c r="L116" s="10"/>
      <c r="M116" s="10"/>
      <c r="N116" s="10"/>
      <c r="O116" s="10"/>
    </row>
    <row r="117" spans="4:15" ht="13" thickBot="1">
      <c r="E117" s="10"/>
      <c r="F117" s="10"/>
      <c r="G117" s="10"/>
      <c r="H117" s="14" t="s">
        <v>231</v>
      </c>
      <c r="I117" s="9" t="str">
        <f>IF(OR(H115="",H118=""),"",+IF(H115&gt;H118,G115,E118))</f>
        <v/>
      </c>
      <c r="J117" s="16"/>
      <c r="K117" s="10"/>
      <c r="L117" s="10"/>
      <c r="M117" s="10"/>
      <c r="N117" s="10"/>
      <c r="O117" s="10"/>
    </row>
    <row r="118" spans="4:15" ht="13" thickBot="1">
      <c r="D118">
        <v>54</v>
      </c>
      <c r="E118" s="9"/>
      <c r="F118" s="9"/>
      <c r="G118" s="9">
        <f>E118</f>
        <v>0</v>
      </c>
      <c r="H118" s="16"/>
      <c r="I118" s="10"/>
      <c r="J118" s="10"/>
      <c r="K118" s="10"/>
      <c r="L118" s="10"/>
      <c r="M118" s="10"/>
      <c r="N118" s="10"/>
      <c r="O118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71"/>
  <dimension ref="D4:AG116"/>
  <sheetViews>
    <sheetView showGridLines="0" topLeftCell="A68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8" customWidth="1"/>
    <col min="16" max="16" width="4.64453125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E20</f>
        <v>0</v>
      </c>
      <c r="V7" t="s">
        <v>77</v>
      </c>
      <c r="W7" s="29">
        <f>E22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E24</f>
        <v>0</v>
      </c>
      <c r="V8" t="s">
        <v>77</v>
      </c>
      <c r="W8" s="29">
        <f>E26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246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E28</f>
        <v>0</v>
      </c>
      <c r="V9" t="s">
        <v>77</v>
      </c>
      <c r="W9" s="29">
        <f>E30</f>
        <v>0</v>
      </c>
      <c r="Z9" s="34"/>
      <c r="AA9" s="40"/>
      <c r="AB9" s="40"/>
      <c r="AC9" s="38" t="s">
        <v>159</v>
      </c>
      <c r="AD9" s="48"/>
      <c r="AE9" s="53" t="e">
        <f>LOOKUP(AD9,T$5:T$78,U$5:U$59)</f>
        <v>#N/A</v>
      </c>
      <c r="AF9" s="37" t="s">
        <v>157</v>
      </c>
      <c r="AG9" s="65" t="e">
        <f>LOOKUP(AD9,T$5:T$78,W$5:W$62)</f>
        <v>#N/A</v>
      </c>
    </row>
    <row r="10" spans="4:33" ht="13" thickBot="1">
      <c r="D10">
        <v>2</v>
      </c>
      <c r="E10" s="24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E37</f>
        <v>0</v>
      </c>
      <c r="V10" t="s">
        <v>77</v>
      </c>
      <c r="W10" s="29">
        <f>E39</f>
        <v>0</v>
      </c>
      <c r="Z10" s="34"/>
      <c r="AA10" s="40"/>
      <c r="AB10" s="40"/>
      <c r="AC10" s="38" t="s">
        <v>159</v>
      </c>
      <c r="AD10" s="48"/>
      <c r="AE10" s="53" t="e">
        <f>LOOKUP(AD10,T$5:T$78,U$5:U$59)</f>
        <v>#N/A</v>
      </c>
      <c r="AF10" s="37" t="s">
        <v>157</v>
      </c>
      <c r="AG10" s="65" t="e">
        <f>LOOKUP(AD10,T$5:T$78,W$5:W$62)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E41</f>
        <v>0</v>
      </c>
      <c r="V11" t="s">
        <v>77</v>
      </c>
      <c r="W11" s="29">
        <f>E43</f>
        <v>0</v>
      </c>
      <c r="Z11" s="34"/>
      <c r="AA11" s="40"/>
      <c r="AB11" s="40"/>
      <c r="AC11" s="38" t="s">
        <v>159</v>
      </c>
      <c r="AD11" s="48"/>
      <c r="AE11" s="53" t="e">
        <f>LOOKUP(AD11,T$5:T$78,U$5:U$59)</f>
        <v>#N/A</v>
      </c>
      <c r="AF11" s="37" t="s">
        <v>157</v>
      </c>
      <c r="AG11" s="65" t="e">
        <f>LOOKUP(AD11,T$5:T$78,W$5:W$62)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E45</f>
        <v>0</v>
      </c>
      <c r="V12" t="s">
        <v>77</v>
      </c>
      <c r="W12" s="29">
        <f>E47</f>
        <v>0</v>
      </c>
      <c r="Z12" s="34"/>
      <c r="AA12" s="40"/>
      <c r="AB12" s="40"/>
      <c r="AC12" s="38" t="s">
        <v>159</v>
      </c>
      <c r="AD12" s="48"/>
      <c r="AE12" s="53" t="e">
        <f>LOOKUP(AD12,T$5:T$78,U$5:U$59)</f>
        <v>#N/A</v>
      </c>
      <c r="AF12" s="37" t="s">
        <v>157</v>
      </c>
      <c r="AG12" s="65" t="e">
        <f>LOOKUP(AD12,T$5:T$78,W$5:W$62)</f>
        <v>#N/A</v>
      </c>
    </row>
    <row r="13" spans="4:33" ht="13" thickBot="1">
      <c r="E13" s="12"/>
      <c r="F13" s="10"/>
      <c r="G13" s="10"/>
      <c r="H13" s="10"/>
      <c r="I13" s="10"/>
      <c r="J13" s="14" t="s">
        <v>231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E49</f>
        <v>0</v>
      </c>
      <c r="V13" t="s">
        <v>77</v>
      </c>
      <c r="W13" s="29">
        <f>E51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E53</f>
        <v>0</v>
      </c>
      <c r="V14" t="s">
        <v>77</v>
      </c>
      <c r="W14" s="29">
        <f>E55</f>
        <v>0</v>
      </c>
      <c r="Z14" s="34"/>
      <c r="AA14" s="40"/>
      <c r="AB14" s="40"/>
      <c r="AC14" s="38" t="s">
        <v>159</v>
      </c>
      <c r="AD14" s="48"/>
      <c r="AE14" s="53" t="e">
        <f>LOOKUP(AD14,T$5:T$78,U$5:U$59)</f>
        <v>#N/A</v>
      </c>
      <c r="AF14" s="37" t="s">
        <v>157</v>
      </c>
      <c r="AG14" s="65" t="e">
        <f>LOOKUP(AD14,T$5:T$78,W$5:W$62)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N15" s="10"/>
      <c r="O15" s="10"/>
      <c r="T15">
        <v>11</v>
      </c>
      <c r="U15" s="28">
        <f>E57</f>
        <v>0</v>
      </c>
      <c r="V15" t="s">
        <v>77</v>
      </c>
      <c r="W15" s="29">
        <f>E59</f>
        <v>0</v>
      </c>
      <c r="Z15" s="34"/>
      <c r="AA15" s="40"/>
      <c r="AB15" s="40"/>
      <c r="AC15" s="38" t="s">
        <v>159</v>
      </c>
      <c r="AD15" s="48"/>
      <c r="AE15" s="53" t="e">
        <f>LOOKUP(AD15,T$5:T$78,U$5:U$59)</f>
        <v>#N/A</v>
      </c>
      <c r="AF15" s="37" t="s">
        <v>157</v>
      </c>
      <c r="AG15" s="65" t="e">
        <f>LOOKUP(AD15,T$5:T$78,W$5:W$62)</f>
        <v>#N/A</v>
      </c>
    </row>
    <row r="16" spans="4:33" ht="13" thickBot="1">
      <c r="D16">
        <v>5</v>
      </c>
      <c r="E16" s="9"/>
      <c r="F16" s="16"/>
      <c r="G16" s="10"/>
      <c r="H16" s="13"/>
      <c r="I16" s="10"/>
      <c r="J16" s="14"/>
      <c r="K16" s="10"/>
      <c r="L16" s="14"/>
      <c r="M16" s="10"/>
      <c r="N16" s="10"/>
      <c r="O16" s="10"/>
      <c r="T16">
        <v>12</v>
      </c>
      <c r="U16" s="28">
        <f>E67</f>
        <v>0</v>
      </c>
      <c r="V16" t="s">
        <v>77</v>
      </c>
      <c r="W16" s="29">
        <f>E69</f>
        <v>0</v>
      </c>
      <c r="Z16" s="34"/>
      <c r="AA16" s="40"/>
      <c r="AB16" s="40"/>
      <c r="AC16" s="38" t="s">
        <v>159</v>
      </c>
      <c r="AD16" s="48"/>
      <c r="AE16" s="53" t="e">
        <f>LOOKUP(AD16,T$5:T$78,U$5:U$59)</f>
        <v>#N/A</v>
      </c>
      <c r="AF16" s="37" t="s">
        <v>157</v>
      </c>
      <c r="AG16" s="65" t="e">
        <f>LOOKUP(AD16,T$5:T$78,W$5:W$62)</f>
        <v>#N/A</v>
      </c>
    </row>
    <row r="17" spans="4:33" ht="13" thickBot="1">
      <c r="E17" s="10"/>
      <c r="F17" s="10"/>
      <c r="G17" s="10"/>
      <c r="H17" s="14" t="s">
        <v>248</v>
      </c>
      <c r="I17" s="9" t="str">
        <f>IF(OR(H15="",H18=""),"",+IF(H15&gt;H18,G15,E18))</f>
        <v/>
      </c>
      <c r="J17" s="16"/>
      <c r="K17" s="10"/>
      <c r="L17" s="14"/>
      <c r="M17" s="10"/>
      <c r="N17" s="10"/>
      <c r="O17" s="10"/>
      <c r="T17">
        <v>13</v>
      </c>
      <c r="U17" s="28">
        <f>E71</f>
        <v>0</v>
      </c>
      <c r="V17" t="s">
        <v>77</v>
      </c>
      <c r="W17" s="29">
        <f>E73</f>
        <v>0</v>
      </c>
      <c r="Z17" s="34"/>
      <c r="AA17" s="40"/>
      <c r="AB17" s="40"/>
      <c r="AC17" s="38" t="s">
        <v>159</v>
      </c>
      <c r="AD17" s="48"/>
      <c r="AE17" s="53" t="e">
        <f>LOOKUP(AD17,T$5:T$78,U$5:U$59)</f>
        <v>#N/A</v>
      </c>
      <c r="AF17" s="37" t="s">
        <v>157</v>
      </c>
      <c r="AG17" s="65" t="e">
        <f>LOOKUP(AD17,T$5:T$78,W$5:W$62)</f>
        <v>#N/A</v>
      </c>
    </row>
    <row r="18" spans="4:33" ht="13" thickBot="1">
      <c r="D18">
        <v>6</v>
      </c>
      <c r="E18" s="9"/>
      <c r="F18" s="9"/>
      <c r="G18" s="9">
        <f>E18</f>
        <v>0</v>
      </c>
      <c r="H18" s="16"/>
      <c r="I18" s="10"/>
      <c r="J18" s="10"/>
      <c r="K18" s="10"/>
      <c r="L18" s="14"/>
      <c r="M18" s="10"/>
      <c r="N18" s="10"/>
      <c r="O18" s="10"/>
      <c r="T18">
        <v>14</v>
      </c>
      <c r="U18" s="28">
        <f>E77</f>
        <v>0</v>
      </c>
      <c r="V18" t="s">
        <v>77</v>
      </c>
      <c r="W18" s="29">
        <f>E79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>
      <c r="E19" s="10"/>
      <c r="F19" s="10"/>
      <c r="G19" s="10"/>
      <c r="H19" s="10"/>
      <c r="I19" s="10"/>
      <c r="J19" s="10"/>
      <c r="K19" s="10"/>
      <c r="L19" s="14"/>
      <c r="M19" s="10"/>
      <c r="N19" s="10"/>
      <c r="O19" s="10"/>
      <c r="T19">
        <v>15</v>
      </c>
      <c r="U19" s="28">
        <f>E81</f>
        <v>0</v>
      </c>
      <c r="V19" t="s">
        <v>77</v>
      </c>
      <c r="W19" s="29">
        <f>E83</f>
        <v>0</v>
      </c>
      <c r="Z19" s="34"/>
      <c r="AA19" s="40"/>
      <c r="AB19" s="40"/>
      <c r="AC19" s="38" t="s">
        <v>159</v>
      </c>
      <c r="AD19" s="48"/>
      <c r="AE19" s="53" t="e">
        <f>LOOKUP(AD19,T$5:T$78,U$5:U$59)</f>
        <v>#N/A</v>
      </c>
      <c r="AF19" s="37" t="s">
        <v>157</v>
      </c>
      <c r="AG19" s="65" t="e">
        <f>LOOKUP(AD19,T$5:T$78,W$5:W$62)</f>
        <v>#N/A</v>
      </c>
    </row>
    <row r="20" spans="4:33" ht="13" thickBot="1">
      <c r="D20">
        <v>7</v>
      </c>
      <c r="E20" s="10"/>
      <c r="F20" s="11"/>
      <c r="G20" s="10"/>
      <c r="H20" s="10"/>
      <c r="I20" s="10"/>
      <c r="J20" s="10"/>
      <c r="K20" s="10"/>
      <c r="L20" s="14" t="s">
        <v>203</v>
      </c>
      <c r="M20" s="9" t="str">
        <f>IF(OR(L13="",L26=""),"",+IF(L13&gt;L26,K13,K26))</f>
        <v/>
      </c>
      <c r="N20" s="17"/>
      <c r="O20" s="10"/>
      <c r="T20">
        <v>16</v>
      </c>
      <c r="U20" s="28">
        <f>E85</f>
        <v>0</v>
      </c>
      <c r="V20" t="s">
        <v>77</v>
      </c>
      <c r="W20" s="29">
        <f>E87</f>
        <v>0</v>
      </c>
      <c r="Z20" s="34"/>
      <c r="AA20" s="40"/>
      <c r="AB20" s="40"/>
      <c r="AC20" s="38" t="s">
        <v>159</v>
      </c>
      <c r="AD20" s="48"/>
      <c r="AE20" s="53" t="e">
        <f>LOOKUP(AD20,T$5:T$78,U$5:U$59)</f>
        <v>#N/A</v>
      </c>
      <c r="AF20" s="37" t="s">
        <v>157</v>
      </c>
      <c r="AG20" s="65" t="e">
        <f>LOOKUP(AD20,T$5:T$78,W$5:W$62)</f>
        <v>#N/A</v>
      </c>
    </row>
    <row r="21" spans="4:33" ht="13" thickBot="1">
      <c r="E21" s="12"/>
      <c r="F21" s="13" t="s">
        <v>206</v>
      </c>
      <c r="G21" s="9" t="str">
        <f>IF(OR(F20="",F22=""),"",+IF(F20&gt;F22,E20,E22))</f>
        <v/>
      </c>
      <c r="H21" s="17"/>
      <c r="I21" s="10"/>
      <c r="J21" s="10"/>
      <c r="K21" s="10"/>
      <c r="L21" s="14"/>
      <c r="M21" s="10"/>
      <c r="N21" s="14"/>
      <c r="O21" s="10"/>
      <c r="T21">
        <v>17</v>
      </c>
      <c r="U21" s="28">
        <f>E94</f>
        <v>0</v>
      </c>
      <c r="V21" t="s">
        <v>77</v>
      </c>
      <c r="W21" s="29">
        <f>E96</f>
        <v>0</v>
      </c>
      <c r="Z21" s="34"/>
      <c r="AA21" s="40"/>
      <c r="AB21" s="40"/>
      <c r="AC21" s="38" t="s">
        <v>159</v>
      </c>
      <c r="AD21" s="48"/>
      <c r="AE21" s="53" t="e">
        <f>LOOKUP(AD21,T$5:T$78,U$5:U$59)</f>
        <v>#N/A</v>
      </c>
      <c r="AF21" s="37" t="s">
        <v>157</v>
      </c>
      <c r="AG21" s="65" t="e">
        <f>LOOKUP(AD21,T$5:T$78,W$5:W$62)</f>
        <v>#N/A</v>
      </c>
    </row>
    <row r="22" spans="4:33" ht="13" thickBot="1">
      <c r="D22">
        <v>8</v>
      </c>
      <c r="E22" s="10"/>
      <c r="F22" s="16"/>
      <c r="G22" s="10"/>
      <c r="H22" s="14"/>
      <c r="I22" s="10"/>
      <c r="J22" s="10"/>
      <c r="K22" s="10"/>
      <c r="L22" s="14"/>
      <c r="M22" s="10"/>
      <c r="N22" s="14"/>
      <c r="O22" s="10"/>
      <c r="T22">
        <v>18</v>
      </c>
      <c r="U22" s="28">
        <f>E98</f>
        <v>0</v>
      </c>
      <c r="V22" t="s">
        <v>77</v>
      </c>
      <c r="W22" s="29">
        <f>E100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0"/>
      <c r="G23" s="10"/>
      <c r="H23" s="14" t="s">
        <v>250</v>
      </c>
      <c r="I23" s="9" t="str">
        <f>IF(OR(H21="",H25=""),"",+IF(H21&gt;H25,G21,G25))</f>
        <v/>
      </c>
      <c r="J23" s="17"/>
      <c r="K23" s="10"/>
      <c r="L23" s="14"/>
      <c r="M23" s="10"/>
      <c r="N23" s="14"/>
      <c r="O23" s="10"/>
      <c r="T23">
        <v>19</v>
      </c>
      <c r="U23" s="28">
        <f>E104</f>
        <v>0</v>
      </c>
      <c r="V23" t="s">
        <v>77</v>
      </c>
      <c r="W23" s="29">
        <f>E106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1"/>
      <c r="G24" s="10"/>
      <c r="H24" s="14"/>
      <c r="I24" s="10"/>
      <c r="J24" s="14"/>
      <c r="K24" s="10"/>
      <c r="L24" s="14"/>
      <c r="M24" s="10"/>
      <c r="N24" s="14"/>
      <c r="O24" s="10"/>
      <c r="T24">
        <v>20</v>
      </c>
      <c r="U24" s="28">
        <f>E108</f>
        <v>0</v>
      </c>
      <c r="V24" t="s">
        <v>77</v>
      </c>
      <c r="W24" s="29">
        <f>E110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3" t="s">
        <v>208</v>
      </c>
      <c r="G25" s="9" t="str">
        <f>IF(OR(F24="",F26=""),"",+IF(F24&gt;F26,E24,E26))</f>
        <v/>
      </c>
      <c r="H25" s="16"/>
      <c r="I25" s="10"/>
      <c r="J25" s="14"/>
      <c r="K25" s="10"/>
      <c r="L25" s="14"/>
      <c r="M25" s="10"/>
      <c r="N25" s="14"/>
      <c r="O25" s="10"/>
      <c r="T25">
        <v>21</v>
      </c>
      <c r="U25" s="28">
        <f>E112</f>
        <v>0</v>
      </c>
      <c r="V25" t="s">
        <v>77</v>
      </c>
      <c r="W25" s="29">
        <f>E114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6"/>
      <c r="G26" s="10"/>
      <c r="H26" s="10"/>
      <c r="I26" s="10"/>
      <c r="J26" s="14" t="s">
        <v>235</v>
      </c>
      <c r="K26" s="9" t="str">
        <f>IF(OR(J23="",J31=""),"",+IF(J23&gt;J31,I23,I31))</f>
        <v/>
      </c>
      <c r="L26" s="16"/>
      <c r="M26" s="10"/>
      <c r="N26" s="14"/>
      <c r="O26" s="10"/>
      <c r="T26">
        <v>22</v>
      </c>
      <c r="U26" s="28">
        <f>E7</f>
        <v>0</v>
      </c>
      <c r="V26" t="s">
        <v>77</v>
      </c>
      <c r="W26" s="29" t="s">
        <v>78</v>
      </c>
      <c r="Z26" s="34"/>
      <c r="AA26" s="40"/>
      <c r="AB26" s="40"/>
      <c r="AC26" s="38" t="s">
        <v>159</v>
      </c>
      <c r="AD26" s="48"/>
      <c r="AE26" s="53" t="e">
        <f>LOOKUP(AD26,T$5:T$78,U$5:U$59)</f>
        <v>#N/A</v>
      </c>
      <c r="AF26" s="37" t="s">
        <v>157</v>
      </c>
      <c r="AG26" s="65" t="e">
        <f>LOOKUP(AD26,T$5:T$78,W$5:W$62)</f>
        <v>#N/A</v>
      </c>
    </row>
    <row r="27" spans="4:33">
      <c r="E27" s="12"/>
      <c r="F27" s="10"/>
      <c r="G27" s="10"/>
      <c r="H27" s="10"/>
      <c r="I27" s="10"/>
      <c r="J27" s="14"/>
      <c r="K27" s="10"/>
      <c r="L27" s="10"/>
      <c r="M27" s="10"/>
      <c r="N27" s="14"/>
      <c r="O27" s="10"/>
      <c r="T27">
        <v>23</v>
      </c>
      <c r="U27" s="28" t="s">
        <v>160</v>
      </c>
      <c r="V27" t="s">
        <v>77</v>
      </c>
      <c r="W27" s="29">
        <f>E18</f>
        <v>0</v>
      </c>
      <c r="Z27" s="34"/>
      <c r="AA27" s="40"/>
      <c r="AB27" s="40"/>
      <c r="AC27" s="38" t="s">
        <v>159</v>
      </c>
      <c r="AD27" s="48"/>
      <c r="AE27" s="53" t="e">
        <f>LOOKUP(AD27,T$5:T$78,U$5:U$59)</f>
        <v>#N/A</v>
      </c>
      <c r="AF27" s="37" t="s">
        <v>157</v>
      </c>
      <c r="AG27" s="65" t="e">
        <f>LOOKUP(AD27,T$5:T$78,W$5:W$62)</f>
        <v>#N/A</v>
      </c>
    </row>
    <row r="28" spans="4:33" ht="13" thickBot="1">
      <c r="D28">
        <v>11</v>
      </c>
      <c r="E28" s="10"/>
      <c r="F28" s="11"/>
      <c r="G28" s="10"/>
      <c r="H28" s="10"/>
      <c r="I28" s="10"/>
      <c r="J28" s="14"/>
      <c r="K28" s="10"/>
      <c r="L28" s="10"/>
      <c r="M28" s="10"/>
      <c r="N28" s="14"/>
      <c r="O28" s="10"/>
      <c r="T28">
        <v>24</v>
      </c>
      <c r="U28" s="28" t="s">
        <v>161</v>
      </c>
      <c r="V28" t="s">
        <v>77</v>
      </c>
      <c r="W28" s="29" t="s">
        <v>81</v>
      </c>
      <c r="Z28" s="34"/>
      <c r="AA28" s="40"/>
      <c r="AB28" s="40"/>
      <c r="AC28" s="38" t="s">
        <v>159</v>
      </c>
      <c r="AD28" s="48"/>
      <c r="AE28" s="53" t="e">
        <f>LOOKUP(AD28,T$5:T$78,U$5:U$59)</f>
        <v>#N/A</v>
      </c>
      <c r="AF28" s="37" t="s">
        <v>157</v>
      </c>
      <c r="AG28" s="65" t="e">
        <f>LOOKUP(AD28,T$5:T$78,W$5:W$62)</f>
        <v>#N/A</v>
      </c>
    </row>
    <row r="29" spans="4:33" ht="13" thickBot="1">
      <c r="E29" s="12"/>
      <c r="F29" s="13" t="s">
        <v>210</v>
      </c>
      <c r="G29" s="9" t="str">
        <f>IF(OR(F28="",F30=""),"",+IF(F28&gt;F30,E28,E30))</f>
        <v/>
      </c>
      <c r="H29" s="11"/>
      <c r="I29" s="10"/>
      <c r="J29" s="14"/>
      <c r="K29" s="10"/>
      <c r="L29" s="10"/>
      <c r="M29" s="10"/>
      <c r="N29" s="14"/>
      <c r="O29" s="10"/>
      <c r="T29">
        <v>25</v>
      </c>
      <c r="U29" s="28" t="s">
        <v>162</v>
      </c>
      <c r="V29" t="s">
        <v>77</v>
      </c>
      <c r="W29" s="29">
        <f>E32</f>
        <v>0</v>
      </c>
      <c r="Z29" s="34"/>
      <c r="AA29" s="40"/>
      <c r="AB29" s="40"/>
      <c r="AC29" s="38" t="s">
        <v>159</v>
      </c>
      <c r="AD29" s="48"/>
      <c r="AE29" s="53" t="e">
        <f>LOOKUP(AD29,T$5:T$78,U$5:U$59)</f>
        <v>#N/A</v>
      </c>
      <c r="AF29" s="37" t="s">
        <v>157</v>
      </c>
      <c r="AG29" s="65" t="e">
        <f>LOOKUP(AD29,T$5:T$78,W$5:W$62)</f>
        <v>#N/A</v>
      </c>
    </row>
    <row r="30" spans="4:33" ht="13" thickBot="1">
      <c r="D30">
        <v>12</v>
      </c>
      <c r="E30" s="9"/>
      <c r="F30" s="16"/>
      <c r="G30" s="10"/>
      <c r="H30" s="13"/>
      <c r="I30" s="10"/>
      <c r="J30" s="14"/>
      <c r="K30" s="10"/>
      <c r="L30" s="10"/>
      <c r="M30" s="10"/>
      <c r="N30" s="14"/>
      <c r="O30" s="10"/>
      <c r="T30">
        <v>26</v>
      </c>
      <c r="U30" s="28">
        <f>E34</f>
        <v>0</v>
      </c>
      <c r="V30" t="s">
        <v>77</v>
      </c>
      <c r="W30" s="29" t="s">
        <v>163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/>
      <c r="F31" s="10"/>
      <c r="G31" s="10"/>
      <c r="H31" s="14" t="s">
        <v>252</v>
      </c>
      <c r="I31" s="9" t="str">
        <f>IF(OR(H29="",H32=""),"",+IF(H29&gt;H32,G29,E32))</f>
        <v/>
      </c>
      <c r="J31" s="16"/>
      <c r="K31" s="10"/>
      <c r="L31" s="10"/>
      <c r="M31" s="10"/>
      <c r="N31" s="14"/>
      <c r="O31" s="10"/>
      <c r="T31">
        <v>27</v>
      </c>
      <c r="U31" s="28" t="s">
        <v>84</v>
      </c>
      <c r="V31" t="s">
        <v>77</v>
      </c>
      <c r="W31" s="29" t="s">
        <v>164</v>
      </c>
      <c r="Z31" s="34"/>
      <c r="AA31" s="40"/>
      <c r="AB31" s="40"/>
      <c r="AC31" s="38" t="s">
        <v>159</v>
      </c>
      <c r="AD31" s="48"/>
      <c r="AE31" s="53" t="e">
        <f>LOOKUP(AD31,T$5:T$78,U$5:U$59)</f>
        <v>#N/A</v>
      </c>
      <c r="AF31" s="37" t="s">
        <v>157</v>
      </c>
      <c r="AG31" s="65" t="e">
        <f>LOOKUP(AD31,T$5:T$78,W$5:W$62)</f>
        <v>#N/A</v>
      </c>
    </row>
    <row r="32" spans="4:33" ht="13" thickBot="1">
      <c r="D32">
        <v>13</v>
      </c>
      <c r="E32" s="9"/>
      <c r="F32" s="9"/>
      <c r="G32" s="9">
        <f>E32</f>
        <v>0</v>
      </c>
      <c r="H32" s="16"/>
      <c r="I32" s="10"/>
      <c r="J32" s="10"/>
      <c r="K32" s="10"/>
      <c r="L32" s="10"/>
      <c r="M32" s="10"/>
      <c r="N32" s="14"/>
      <c r="O32" s="10"/>
      <c r="T32">
        <v>28</v>
      </c>
      <c r="U32" s="28" t="s">
        <v>200</v>
      </c>
      <c r="V32" t="s">
        <v>77</v>
      </c>
      <c r="W32" s="29" t="s">
        <v>87</v>
      </c>
      <c r="Z32" s="34"/>
      <c r="AA32" s="40"/>
      <c r="AB32" s="40"/>
      <c r="AC32" s="38" t="s">
        <v>159</v>
      </c>
      <c r="AD32" s="48"/>
      <c r="AE32" s="53" t="e">
        <f>LOOKUP(AD32,T$5:T$78,U$5:U$59)</f>
        <v>#N/A</v>
      </c>
      <c r="AF32" s="37" t="s">
        <v>157</v>
      </c>
      <c r="AG32" s="65" t="e">
        <f>LOOKUP(AD32,T$5:T$78,W$5:W$62)</f>
        <v>#N/A</v>
      </c>
    </row>
    <row r="33" spans="4:33" ht="13" thickBot="1">
      <c r="E33" s="10"/>
      <c r="F33" s="10"/>
      <c r="G33" s="10"/>
      <c r="H33" s="10"/>
      <c r="I33" s="10"/>
      <c r="J33" s="10"/>
      <c r="K33" s="10"/>
      <c r="L33" s="10"/>
      <c r="M33" s="10"/>
      <c r="N33" s="14" t="s">
        <v>233</v>
      </c>
      <c r="O33" s="9" t="str">
        <f>IF(OR(N20="",N48=""),"",+IF(N20&gt;N48,M20,M48))</f>
        <v/>
      </c>
      <c r="P33" s="7"/>
      <c r="T33">
        <v>29</v>
      </c>
      <c r="U33" s="28" t="s">
        <v>88</v>
      </c>
      <c r="V33" t="s">
        <v>77</v>
      </c>
      <c r="W33" s="29">
        <f>E61</f>
        <v>0</v>
      </c>
      <c r="Z33" s="34"/>
      <c r="AA33" s="40"/>
      <c r="AB33" s="40"/>
      <c r="AC33" s="38" t="s">
        <v>159</v>
      </c>
      <c r="AD33" s="48"/>
      <c r="AE33" s="53" t="e">
        <f>LOOKUP(AD33,T$5:T$78,U$5:U$59)</f>
        <v>#N/A</v>
      </c>
      <c r="AF33" s="37" t="s">
        <v>157</v>
      </c>
      <c r="AG33" s="65" t="e">
        <f>LOOKUP(AD33,T$5:T$78,W$5:W$62)</f>
        <v>#N/A</v>
      </c>
    </row>
    <row r="34" spans="4:33" ht="13" thickBot="1">
      <c r="D34">
        <v>14</v>
      </c>
      <c r="E34" s="10"/>
      <c r="F34" s="9"/>
      <c r="G34" s="9">
        <f>E34</f>
        <v>0</v>
      </c>
      <c r="H34" s="11"/>
      <c r="I34" s="10"/>
      <c r="J34" s="10"/>
      <c r="K34" s="10"/>
      <c r="L34" s="10"/>
      <c r="M34" s="10"/>
      <c r="N34" s="14"/>
      <c r="O34" s="10"/>
      <c r="Q34" s="8"/>
      <c r="T34">
        <v>30</v>
      </c>
      <c r="U34" s="28">
        <f>E64</f>
        <v>0</v>
      </c>
      <c r="V34" t="s">
        <v>77</v>
      </c>
      <c r="W34" s="29" t="s">
        <v>89</v>
      </c>
      <c r="Z34" s="34"/>
      <c r="AA34" s="40"/>
      <c r="AB34" s="40"/>
      <c r="AC34" s="38" t="s">
        <v>159</v>
      </c>
      <c r="AD34" s="48"/>
      <c r="AE34" s="53" t="e">
        <f>LOOKUP(AD34,T$5:T$78,U$5:U$59)</f>
        <v>#N/A</v>
      </c>
      <c r="AF34" s="37" t="s">
        <v>157</v>
      </c>
      <c r="AG34" s="65" t="e">
        <f>LOOKUP(AD34,T$5:T$78,W$5:W$62)</f>
        <v>#N/A</v>
      </c>
    </row>
    <row r="35" spans="4:33">
      <c r="E35" s="12"/>
      <c r="F35" s="10"/>
      <c r="G35" s="10"/>
      <c r="H35" s="13"/>
      <c r="I35" s="10"/>
      <c r="J35" s="10"/>
      <c r="K35" s="10"/>
      <c r="L35" s="10"/>
      <c r="M35" s="10"/>
      <c r="N35" s="14"/>
      <c r="O35" s="10"/>
      <c r="Q35" s="8"/>
      <c r="T35">
        <v>31</v>
      </c>
      <c r="U35" s="28" t="s">
        <v>90</v>
      </c>
      <c r="V35" t="s">
        <v>77</v>
      </c>
      <c r="W35" s="29">
        <f>E75</f>
        <v>0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E36" s="10"/>
      <c r="F36" s="10"/>
      <c r="G36" s="10"/>
      <c r="H36" s="14" t="s">
        <v>254</v>
      </c>
      <c r="I36" s="9" t="str">
        <f>IF(OR(H34="",H38=""),"",+IF(H34&gt;H38,G34,G38))</f>
        <v/>
      </c>
      <c r="J36" s="10"/>
      <c r="K36" s="10"/>
      <c r="L36" s="10"/>
      <c r="M36" s="10"/>
      <c r="N36" s="14"/>
      <c r="O36" s="10"/>
      <c r="Q36" s="8"/>
      <c r="T36">
        <v>32</v>
      </c>
      <c r="U36" s="28" t="s">
        <v>91</v>
      </c>
      <c r="V36" t="s">
        <v>77</v>
      </c>
      <c r="W36" s="29" t="s">
        <v>92</v>
      </c>
      <c r="Z36" s="34"/>
      <c r="AA36" s="40"/>
      <c r="AB36" s="40"/>
      <c r="AC36" s="38" t="s">
        <v>159</v>
      </c>
      <c r="AD36" s="48"/>
      <c r="AE36" s="53" t="e">
        <f>LOOKUP(AD36,T$5:T$78,U$5:U$59)</f>
        <v>#N/A</v>
      </c>
      <c r="AF36" s="37" t="s">
        <v>157</v>
      </c>
      <c r="AG36" s="65" t="e">
        <f>LOOKUP(AD36,T$5:T$78,W$5:W$62)</f>
        <v>#N/A</v>
      </c>
    </row>
    <row r="37" spans="4:33" ht="13" thickBot="1">
      <c r="D37">
        <v>15</v>
      </c>
      <c r="E37" s="10"/>
      <c r="F37" s="11"/>
      <c r="G37" s="10"/>
      <c r="H37" s="14"/>
      <c r="I37" s="12"/>
      <c r="J37" s="15"/>
      <c r="K37" s="10"/>
      <c r="L37" s="10"/>
      <c r="M37" s="10"/>
      <c r="N37" s="14"/>
      <c r="O37" s="10"/>
      <c r="Q37" s="8"/>
      <c r="T37">
        <v>33</v>
      </c>
      <c r="U37" s="28" t="s">
        <v>165</v>
      </c>
      <c r="V37" t="s">
        <v>77</v>
      </c>
      <c r="W37" s="29">
        <f>E89</f>
        <v>0</v>
      </c>
      <c r="Z37" s="34"/>
      <c r="AA37" s="40"/>
      <c r="AB37" s="40"/>
      <c r="AC37" s="38" t="s">
        <v>159</v>
      </c>
      <c r="AD37" s="48"/>
      <c r="AE37" s="53" t="e">
        <f>LOOKUP(AD37,T$5:T$78,U$5:U$59)</f>
        <v>#N/A</v>
      </c>
      <c r="AF37" s="37" t="s">
        <v>157</v>
      </c>
      <c r="AG37" s="65" t="e">
        <f>LOOKUP(AD37,T$5:T$78,W$5:W$62)</f>
        <v>#N/A</v>
      </c>
    </row>
    <row r="38" spans="4:33" ht="13" thickBot="1">
      <c r="E38" s="12"/>
      <c r="F38" s="13" t="s">
        <v>212</v>
      </c>
      <c r="G38" s="9" t="str">
        <f>IF(OR(F37="",F39=""),"",+IF(F37&gt;F39,E37,E39))</f>
        <v/>
      </c>
      <c r="H38" s="16"/>
      <c r="I38" s="10"/>
      <c r="J38" s="14"/>
      <c r="K38" s="10"/>
      <c r="L38" s="10"/>
      <c r="M38" s="10"/>
      <c r="N38" s="14"/>
      <c r="O38" s="10"/>
      <c r="Q38" s="8"/>
      <c r="T38">
        <v>34</v>
      </c>
      <c r="U38" s="28">
        <f>E91</f>
        <v>0</v>
      </c>
      <c r="V38" t="s">
        <v>77</v>
      </c>
      <c r="W38" s="29" t="s">
        <v>94</v>
      </c>
      <c r="Z38" s="34"/>
      <c r="AA38" s="40"/>
      <c r="AB38" s="40"/>
      <c r="AC38" s="38" t="s">
        <v>159</v>
      </c>
      <c r="AD38" s="48"/>
      <c r="AE38" s="53" t="e">
        <f>LOOKUP(AD38,T$5:T$78,U$5:U$59)</f>
        <v>#N/A</v>
      </c>
      <c r="AF38" s="37" t="s">
        <v>157</v>
      </c>
      <c r="AG38" s="65" t="e">
        <f>LOOKUP(AD38,T$5:T$78,W$5:W$62)</f>
        <v>#N/A</v>
      </c>
    </row>
    <row r="39" spans="4:33" ht="13" thickBot="1">
      <c r="D39">
        <v>16</v>
      </c>
      <c r="E39" s="9"/>
      <c r="F39" s="16"/>
      <c r="G39" s="10"/>
      <c r="H39" s="10"/>
      <c r="I39" s="10"/>
      <c r="J39" s="14"/>
      <c r="K39" s="10"/>
      <c r="L39" s="10"/>
      <c r="M39" s="10"/>
      <c r="N39" s="14"/>
      <c r="O39" s="10"/>
      <c r="Q39" s="8"/>
      <c r="T39">
        <v>35</v>
      </c>
      <c r="U39" s="28" t="s">
        <v>95</v>
      </c>
      <c r="V39" t="s">
        <v>77</v>
      </c>
      <c r="W39" s="29">
        <f>E102</f>
        <v>0</v>
      </c>
      <c r="Z39" s="34"/>
      <c r="AA39" s="33"/>
      <c r="AB39" s="33"/>
      <c r="AC39" s="33"/>
      <c r="AD39" s="50"/>
      <c r="AE39" s="64" t="e">
        <f>LOOKUP(AD39,T$5:T$78,U$5:U$59)</f>
        <v>#N/A</v>
      </c>
      <c r="AF39" s="33"/>
      <c r="AG39" s="59"/>
    </row>
    <row r="40" spans="4:33" ht="13" thickBot="1">
      <c r="E40" s="10"/>
      <c r="F40" s="10"/>
      <c r="G40" s="10"/>
      <c r="H40" s="10"/>
      <c r="I40" s="10"/>
      <c r="J40" s="14" t="s">
        <v>239</v>
      </c>
      <c r="K40" s="9" t="str">
        <f>IF(OR(J37="",J44=""),"",+IF(J37&gt;J44,I36,I44))</f>
        <v/>
      </c>
      <c r="L40" s="17"/>
      <c r="M40" s="10"/>
      <c r="N40" s="14"/>
      <c r="O40" s="10"/>
      <c r="Q40" s="8"/>
      <c r="T40">
        <v>36</v>
      </c>
      <c r="U40" s="28" t="s">
        <v>96</v>
      </c>
      <c r="V40" t="s">
        <v>77</v>
      </c>
      <c r="W40" s="29" t="s">
        <v>97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10"/>
      <c r="F41" s="11"/>
      <c r="G41" s="10"/>
      <c r="H41" s="10"/>
      <c r="I41" s="10"/>
      <c r="J41" s="14"/>
      <c r="K41" s="10"/>
      <c r="L41" s="13"/>
      <c r="M41" s="10"/>
      <c r="N41" s="14"/>
      <c r="O41" s="10"/>
      <c r="Q41" s="8"/>
      <c r="R41" s="29"/>
      <c r="T41">
        <v>37</v>
      </c>
      <c r="U41" s="28" t="s">
        <v>98</v>
      </c>
      <c r="V41" t="s">
        <v>77</v>
      </c>
      <c r="W41" s="29">
        <f>E116</f>
        <v>0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2"/>
      <c r="F42" s="13" t="s">
        <v>214</v>
      </c>
      <c r="G42" s="9" t="str">
        <f>IF(OR(F41="",F43=""),"",+IF(F41&gt;F43,E41,E43))</f>
        <v/>
      </c>
      <c r="H42" s="17"/>
      <c r="I42" s="10"/>
      <c r="J42" s="14"/>
      <c r="K42" s="10"/>
      <c r="L42" s="14"/>
      <c r="M42" s="10"/>
      <c r="N42" s="14"/>
      <c r="O42" s="10"/>
      <c r="Q42" s="8"/>
      <c r="R42" s="29"/>
      <c r="T42">
        <v>38</v>
      </c>
      <c r="U42" s="28" t="s">
        <v>99</v>
      </c>
      <c r="V42" t="s">
        <v>77</v>
      </c>
      <c r="W42" s="29" t="s">
        <v>100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10"/>
      <c r="F43" s="16"/>
      <c r="G43" s="10"/>
      <c r="H43" s="14"/>
      <c r="I43" s="10"/>
      <c r="J43" s="14"/>
      <c r="K43" s="10"/>
      <c r="L43" s="14"/>
      <c r="M43" s="10"/>
      <c r="N43" s="14"/>
      <c r="O43" s="10"/>
      <c r="Q43" s="8"/>
      <c r="R43" s="29"/>
      <c r="T43">
        <v>39</v>
      </c>
      <c r="U43" s="28" t="s">
        <v>101</v>
      </c>
      <c r="V43" t="s">
        <v>77</v>
      </c>
      <c r="W43" s="29" t="s">
        <v>102</v>
      </c>
      <c r="Z43" s="34"/>
      <c r="AA43" s="40"/>
      <c r="AB43" s="40"/>
      <c r="AC43" s="38" t="s">
        <v>159</v>
      </c>
      <c r="AD43" s="48"/>
      <c r="AE43" s="53" t="e">
        <f>LOOKUP(AD43,T$5:T$78,U$5:U$59)</f>
        <v>#N/A</v>
      </c>
      <c r="AF43" s="37" t="s">
        <v>157</v>
      </c>
      <c r="AG43" s="65" t="e">
        <f>LOOKUP(AD43,T$5:T$78,W$5:W$62)</f>
        <v>#N/A</v>
      </c>
    </row>
    <row r="44" spans="4:33" ht="13" thickBot="1">
      <c r="E44" s="12"/>
      <c r="F44" s="10"/>
      <c r="G44" s="10"/>
      <c r="H44" s="14" t="s">
        <v>256</v>
      </c>
      <c r="I44" s="9" t="str">
        <f>IF(OR(H42="",H46=""),"",+IF(H42&gt;H46,G42,G46))</f>
        <v/>
      </c>
      <c r="J44" s="16"/>
      <c r="K44" s="10"/>
      <c r="L44" s="14"/>
      <c r="M44" s="10"/>
      <c r="N44" s="14"/>
      <c r="O44" s="10"/>
      <c r="Q44" s="8"/>
      <c r="R44" s="29"/>
      <c r="T44">
        <v>40</v>
      </c>
      <c r="U44" s="28" t="s">
        <v>103</v>
      </c>
      <c r="V44" t="s">
        <v>77</v>
      </c>
      <c r="W44" s="29" t="s">
        <v>104</v>
      </c>
      <c r="Z44" s="34"/>
      <c r="AA44" s="40"/>
      <c r="AB44" s="40"/>
      <c r="AC44" s="38" t="s">
        <v>159</v>
      </c>
      <c r="AD44" s="48"/>
      <c r="AE44" s="53" t="e">
        <f>LOOKUP(AD44,T$5:T$78,U$5:U$59)</f>
        <v>#N/A</v>
      </c>
      <c r="AF44" s="37" t="s">
        <v>157</v>
      </c>
      <c r="AG44" s="65" t="e">
        <f>LOOKUP(AD44,T$5:T$78,W$5:W$62)</f>
        <v>#N/A</v>
      </c>
    </row>
    <row r="45" spans="4:33" ht="13" thickBot="1">
      <c r="D45">
        <v>19</v>
      </c>
      <c r="E45" s="10"/>
      <c r="F45" s="11"/>
      <c r="G45" s="10"/>
      <c r="H45" s="14"/>
      <c r="I45" s="10"/>
      <c r="J45" s="10"/>
      <c r="K45" s="10"/>
      <c r="L45" s="14"/>
      <c r="M45" s="10"/>
      <c r="N45" s="14"/>
      <c r="O45" s="10"/>
      <c r="Q45" s="8"/>
      <c r="R45" s="29"/>
      <c r="T45">
        <v>41</v>
      </c>
      <c r="U45" s="28" t="s">
        <v>105</v>
      </c>
      <c r="V45" t="s">
        <v>77</v>
      </c>
      <c r="W45" s="29" t="s">
        <v>106</v>
      </c>
      <c r="Z45" s="34"/>
      <c r="AA45" s="40"/>
      <c r="AB45" s="40"/>
      <c r="AC45" s="38" t="s">
        <v>159</v>
      </c>
      <c r="AD45" s="48"/>
      <c r="AE45" s="53" t="e">
        <f>LOOKUP(AD45,T$5:T$78,U$5:U$59)</f>
        <v>#N/A</v>
      </c>
      <c r="AF45" s="37" t="s">
        <v>157</v>
      </c>
      <c r="AG45" s="65" t="e">
        <f>LOOKUP(AD45,T$5:T$78,W$5:W$62)</f>
        <v>#N/A</v>
      </c>
    </row>
    <row r="46" spans="4:33" ht="13" thickBot="1">
      <c r="E46" s="12"/>
      <c r="F46" s="13" t="s">
        <v>217</v>
      </c>
      <c r="G46" s="9" t="str">
        <f>IF(OR(F45="",F47=""),"",+IF(F45&gt;F47,E45,E47))</f>
        <v/>
      </c>
      <c r="H46" s="16"/>
      <c r="I46" s="10"/>
      <c r="J46" s="10"/>
      <c r="K46" s="10"/>
      <c r="L46" s="14"/>
      <c r="M46" s="10"/>
      <c r="N46" s="14"/>
      <c r="O46" s="10"/>
      <c r="Q46" s="8"/>
      <c r="R46" s="29"/>
      <c r="T46">
        <v>42</v>
      </c>
      <c r="U46" s="28" t="s">
        <v>107</v>
      </c>
      <c r="V46" t="s">
        <v>77</v>
      </c>
      <c r="W46" s="29" t="s">
        <v>108</v>
      </c>
      <c r="Z46" s="34"/>
      <c r="AA46" s="40"/>
      <c r="AB46" s="40"/>
      <c r="AC46" s="38" t="s">
        <v>159</v>
      </c>
      <c r="AD46" s="48"/>
      <c r="AE46" s="53" t="e">
        <f>LOOKUP(AD46,T$5:T$78,U$5:U$59)</f>
        <v>#N/A</v>
      </c>
      <c r="AF46" s="37" t="s">
        <v>157</v>
      </c>
      <c r="AG46" s="65" t="e">
        <f>LOOKUP(AD46,T$5:T$78,W$5:W$62)</f>
        <v>#N/A</v>
      </c>
    </row>
    <row r="47" spans="4:33" ht="13" thickBot="1">
      <c r="D47">
        <v>20</v>
      </c>
      <c r="E47" s="10"/>
      <c r="F47" s="16"/>
      <c r="G47" s="10"/>
      <c r="H47" s="10"/>
      <c r="I47" s="10"/>
      <c r="J47" s="10"/>
      <c r="K47" s="10"/>
      <c r="L47" s="14"/>
      <c r="M47" s="10"/>
      <c r="N47" s="14"/>
      <c r="O47" s="10"/>
      <c r="Q47" s="8"/>
      <c r="R47" s="29"/>
      <c r="T47">
        <v>43</v>
      </c>
      <c r="U47" s="28" t="s">
        <v>109</v>
      </c>
      <c r="V47" t="s">
        <v>77</v>
      </c>
      <c r="W47" s="29" t="s">
        <v>110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0"/>
      <c r="G48" s="10"/>
      <c r="H48" s="10"/>
      <c r="I48" s="10"/>
      <c r="J48" s="10"/>
      <c r="K48" s="10"/>
      <c r="L48" s="14" t="s">
        <v>211</v>
      </c>
      <c r="M48" s="9" t="str">
        <f>IF(OR(L40="",L55=""),"",+IF(L40&gt;L55,K40,K55))</f>
        <v/>
      </c>
      <c r="N48" s="16"/>
      <c r="O48" s="10"/>
      <c r="Q48" s="8"/>
      <c r="R48" s="29"/>
      <c r="T48">
        <v>44</v>
      </c>
      <c r="U48" s="28" t="s">
        <v>111</v>
      </c>
      <c r="V48" t="s">
        <v>77</v>
      </c>
      <c r="W48" s="29" t="s">
        <v>112</v>
      </c>
      <c r="Z48" s="34"/>
      <c r="AA48" s="40"/>
      <c r="AB48" s="40"/>
      <c r="AC48" s="38" t="s">
        <v>159</v>
      </c>
      <c r="AD48" s="48"/>
      <c r="AE48" s="53" t="e">
        <f>LOOKUP(AD48,T$5:T$78,U$5:U$59)</f>
        <v>#N/A</v>
      </c>
      <c r="AF48" s="37" t="s">
        <v>157</v>
      </c>
      <c r="AG48" s="65" t="e">
        <f>LOOKUP(AD48,T$5:T$78,W$5:W$62)</f>
        <v>#N/A</v>
      </c>
    </row>
    <row r="49" spans="4:33" ht="13" thickBot="1">
      <c r="D49">
        <v>21</v>
      </c>
      <c r="E49" s="10"/>
      <c r="F49" s="11"/>
      <c r="G49" s="10"/>
      <c r="H49" s="10"/>
      <c r="I49" s="10"/>
      <c r="J49" s="10"/>
      <c r="K49" s="10"/>
      <c r="L49" s="14"/>
      <c r="M49" s="10"/>
      <c r="N49" s="10"/>
      <c r="O49" s="10"/>
      <c r="Q49" s="8"/>
      <c r="R49" s="29"/>
      <c r="T49">
        <v>45</v>
      </c>
      <c r="U49" s="28" t="s">
        <v>113</v>
      </c>
      <c r="V49" t="s">
        <v>77</v>
      </c>
      <c r="W49" s="29" t="s">
        <v>114</v>
      </c>
      <c r="Z49" s="34"/>
      <c r="AA49" s="40"/>
      <c r="AB49" s="40"/>
      <c r="AC49" s="38" t="s">
        <v>159</v>
      </c>
      <c r="AD49" s="48"/>
      <c r="AE49" s="53" t="e">
        <f>LOOKUP(AD49,T$5:T$78,U$5:U$59)</f>
        <v>#N/A</v>
      </c>
      <c r="AF49" s="37" t="s">
        <v>157</v>
      </c>
      <c r="AG49" s="65" t="e">
        <f>LOOKUP(AD49,T$5:T$78,W$5:W$62)</f>
        <v>#N/A</v>
      </c>
    </row>
    <row r="50" spans="4:33" ht="13" thickBot="1">
      <c r="E50" s="12"/>
      <c r="F50" s="13" t="s">
        <v>219</v>
      </c>
      <c r="G50" s="9" t="str">
        <f>IF(OR(F49="",F51=""),"",+IF(F49&gt;F51,E49,E51))</f>
        <v/>
      </c>
      <c r="H50" s="17"/>
      <c r="I50" s="10"/>
      <c r="J50" s="10"/>
      <c r="K50" s="10"/>
      <c r="L50" s="14"/>
      <c r="M50" s="10"/>
      <c r="N50" s="10"/>
      <c r="O50" s="10"/>
      <c r="Q50" s="8"/>
      <c r="R50" s="29"/>
      <c r="T50">
        <v>46</v>
      </c>
      <c r="U50" s="28" t="s">
        <v>115</v>
      </c>
      <c r="V50" t="s">
        <v>77</v>
      </c>
      <c r="W50" s="29" t="s">
        <v>116</v>
      </c>
      <c r="Z50" s="34"/>
      <c r="AA50" s="40"/>
      <c r="AB50" s="40"/>
      <c r="AC50" s="38" t="s">
        <v>159</v>
      </c>
      <c r="AD50" s="48"/>
      <c r="AE50" s="53" t="e">
        <f>LOOKUP(AD50,T$5:T$78,U$5:U$59)</f>
        <v>#N/A</v>
      </c>
      <c r="AF50" s="37" t="s">
        <v>157</v>
      </c>
      <c r="AG50" s="65" t="e">
        <f>LOOKUP(AD50,T$5:T$78,W$5:W$62)</f>
        <v>#N/A</v>
      </c>
    </row>
    <row r="51" spans="4:33" ht="13" thickBot="1">
      <c r="D51">
        <v>22</v>
      </c>
      <c r="E51" s="10"/>
      <c r="F51" s="16"/>
      <c r="G51" s="10"/>
      <c r="H51" s="14"/>
      <c r="I51" s="10"/>
      <c r="J51" s="10"/>
      <c r="K51" s="10"/>
      <c r="L51" s="14"/>
      <c r="M51" s="10"/>
      <c r="N51" s="10"/>
      <c r="O51" s="10"/>
      <c r="Q51" s="8"/>
      <c r="R51" s="29"/>
      <c r="T51">
        <v>47</v>
      </c>
      <c r="U51" s="28" t="s">
        <v>117</v>
      </c>
      <c r="V51" t="s">
        <v>77</v>
      </c>
      <c r="W51" s="29" t="s">
        <v>118</v>
      </c>
      <c r="Z51" s="34"/>
      <c r="AA51" s="40"/>
      <c r="AB51" s="40"/>
      <c r="AC51" s="38" t="s">
        <v>159</v>
      </c>
      <c r="AD51" s="48"/>
      <c r="AE51" s="53" t="e">
        <f>LOOKUP(AD51,T$5:T$78,U$5:U$59)</f>
        <v>#N/A</v>
      </c>
      <c r="AF51" s="37" t="s">
        <v>157</v>
      </c>
      <c r="AG51" s="65" t="e">
        <f>LOOKUP(AD51,T$5:T$78,W$5:W$62)</f>
        <v>#N/A</v>
      </c>
    </row>
    <row r="52" spans="4:33" ht="13" thickBot="1">
      <c r="E52" s="12"/>
      <c r="F52" s="10"/>
      <c r="G52" s="10"/>
      <c r="H52" s="14" t="s">
        <v>258</v>
      </c>
      <c r="I52" s="9" t="str">
        <f>IF(OR(H50="",H54=""),"",+IF(H50&gt;H54,G50,G54))</f>
        <v/>
      </c>
      <c r="J52" s="17"/>
      <c r="K52" s="10"/>
      <c r="L52" s="14"/>
      <c r="M52" s="10"/>
      <c r="N52" s="10"/>
      <c r="O52" s="10"/>
      <c r="Q52" s="8"/>
      <c r="R52" s="29"/>
      <c r="T52">
        <v>48</v>
      </c>
      <c r="U52" s="28" t="s">
        <v>119</v>
      </c>
      <c r="V52" t="s">
        <v>77</v>
      </c>
      <c r="W52" s="29" t="s">
        <v>120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10"/>
      <c r="F53" s="11"/>
      <c r="G53" s="10"/>
      <c r="H53" s="14"/>
      <c r="I53" s="10"/>
      <c r="J53" s="14"/>
      <c r="K53" s="10"/>
      <c r="L53" s="14"/>
      <c r="M53" s="10"/>
      <c r="N53" s="10"/>
      <c r="O53" s="10"/>
      <c r="Q53" s="8"/>
      <c r="R53" s="29"/>
      <c r="T53">
        <v>49</v>
      </c>
      <c r="U53" s="28" t="s">
        <v>121</v>
      </c>
      <c r="V53" t="s">
        <v>77</v>
      </c>
      <c r="W53" s="29" t="s">
        <v>122</v>
      </c>
      <c r="Z53" s="34"/>
      <c r="AA53" s="40"/>
      <c r="AB53" s="40"/>
      <c r="AC53" s="38" t="s">
        <v>159</v>
      </c>
      <c r="AD53" s="48"/>
      <c r="AE53" s="53" t="e">
        <f>LOOKUP(AD53,T$5:T$78,U$5:U$59)</f>
        <v>#N/A</v>
      </c>
      <c r="AF53" s="37" t="s">
        <v>157</v>
      </c>
      <c r="AG53" s="65" t="e">
        <f>LOOKUP(AD53,T$5:T$78,W$5:W$62)</f>
        <v>#N/A</v>
      </c>
    </row>
    <row r="54" spans="4:33" ht="13" thickBot="1">
      <c r="E54" s="12"/>
      <c r="F54" s="13" t="s">
        <v>221</v>
      </c>
      <c r="G54" s="9" t="str">
        <f>IF(OR(F53="",F55=""),"",+IF(F53&gt;F55,E53,E55))</f>
        <v/>
      </c>
      <c r="H54" s="16"/>
      <c r="I54" s="10"/>
      <c r="J54" s="14"/>
      <c r="K54" s="10"/>
      <c r="L54" s="14"/>
      <c r="M54" s="10"/>
      <c r="N54" s="10"/>
      <c r="O54" s="10"/>
      <c r="Q54" s="8"/>
      <c r="R54" s="29"/>
      <c r="T54">
        <v>50</v>
      </c>
      <c r="U54" s="28" t="s">
        <v>123</v>
      </c>
      <c r="V54" t="s">
        <v>77</v>
      </c>
      <c r="W54" s="29" t="s">
        <v>124</v>
      </c>
      <c r="Z54" s="34"/>
      <c r="AA54" s="40"/>
      <c r="AB54" s="40"/>
      <c r="AC54" s="38" t="s">
        <v>159</v>
      </c>
      <c r="AD54" s="48"/>
      <c r="AE54" s="53" t="e">
        <f>LOOKUP(AD54,T$5:T$78,U$5:U$59)</f>
        <v>#N/A</v>
      </c>
      <c r="AF54" s="37" t="s">
        <v>157</v>
      </c>
      <c r="AG54" s="65" t="e">
        <f>LOOKUP(AD54,T$5:T$78,W$5:W$62)</f>
        <v>#N/A</v>
      </c>
    </row>
    <row r="55" spans="4:33" ht="13" thickBot="1">
      <c r="D55">
        <v>24</v>
      </c>
      <c r="E55" s="10"/>
      <c r="F55" s="16"/>
      <c r="G55" s="10"/>
      <c r="H55" s="10"/>
      <c r="I55" s="10"/>
      <c r="J55" s="14" t="s">
        <v>243</v>
      </c>
      <c r="K55" s="9" t="str">
        <f>IF(OR(J52="",J60=""),"",+IF(J52&gt;J60,I52,I60))</f>
        <v/>
      </c>
      <c r="L55" s="16"/>
      <c r="M55" s="10"/>
      <c r="N55" s="10"/>
      <c r="O55" s="10"/>
      <c r="Q55" s="8"/>
      <c r="R55" s="29"/>
      <c r="T55">
        <v>51</v>
      </c>
      <c r="U55" s="28" t="s">
        <v>125</v>
      </c>
      <c r="V55" t="s">
        <v>77</v>
      </c>
      <c r="W55" s="29" t="s">
        <v>126</v>
      </c>
      <c r="Z55" s="34"/>
      <c r="AA55" s="40"/>
      <c r="AB55" s="40"/>
      <c r="AC55" s="38" t="s">
        <v>159</v>
      </c>
      <c r="AD55" s="48"/>
      <c r="AE55" s="53" t="e">
        <f>LOOKUP(AD55,T$5:T$78,U$5:U$59)</f>
        <v>#N/A</v>
      </c>
      <c r="AF55" s="37" t="s">
        <v>157</v>
      </c>
      <c r="AG55" s="65" t="e">
        <f>LOOKUP(AD55,T$5:T$78,W$5:W$62)</f>
        <v>#N/A</v>
      </c>
    </row>
    <row r="56" spans="4:33" ht="13" thickBot="1">
      <c r="E56" s="12"/>
      <c r="F56" s="10"/>
      <c r="G56" s="10"/>
      <c r="H56" s="10"/>
      <c r="I56" s="10"/>
      <c r="J56" s="14"/>
      <c r="K56" s="10"/>
      <c r="L56" s="10"/>
      <c r="M56" s="10"/>
      <c r="N56" s="10"/>
      <c r="O56" s="10"/>
      <c r="Q56" s="8"/>
      <c r="R56" s="29"/>
      <c r="T56">
        <v>52</v>
      </c>
      <c r="U56" s="28" t="s">
        <v>127</v>
      </c>
      <c r="V56" t="s">
        <v>77</v>
      </c>
      <c r="W56" s="29" t="s">
        <v>130</v>
      </c>
      <c r="Z56" s="42"/>
      <c r="AA56" s="43"/>
      <c r="AB56" s="43"/>
      <c r="AC56" s="43"/>
      <c r="AD56" s="61"/>
      <c r="AE56" s="62"/>
      <c r="AF56" s="63"/>
      <c r="AG56" s="60"/>
    </row>
    <row r="57" spans="4:33" ht="13.35" thickTop="1" thickBot="1">
      <c r="D57">
        <v>25</v>
      </c>
      <c r="E57" s="10"/>
      <c r="F57" s="11"/>
      <c r="G57" s="10"/>
      <c r="H57" s="10"/>
      <c r="I57" s="10"/>
      <c r="J57" s="14"/>
      <c r="K57" s="10"/>
      <c r="L57" s="10"/>
      <c r="M57" s="10"/>
      <c r="N57" s="10"/>
      <c r="O57" s="10"/>
      <c r="Q57" s="8"/>
    </row>
    <row r="58" spans="4:33" ht="13" thickBot="1">
      <c r="E58" s="12"/>
      <c r="F58" s="13" t="s">
        <v>223</v>
      </c>
      <c r="G58" s="9" t="str">
        <f>IF(OR(F57="",F59=""),"",+IF(F57&gt;F59,E57,E59))</f>
        <v/>
      </c>
      <c r="H58" s="11"/>
      <c r="I58" s="10"/>
      <c r="J58" s="14"/>
      <c r="K58" s="10"/>
      <c r="L58" s="10"/>
      <c r="M58" s="10"/>
      <c r="N58" s="10"/>
      <c r="O58" s="10"/>
      <c r="Q58" s="8"/>
      <c r="W58" s="28"/>
    </row>
    <row r="59" spans="4:33" ht="13" thickBot="1">
      <c r="D59">
        <v>26</v>
      </c>
      <c r="E59" s="9"/>
      <c r="F59" s="16"/>
      <c r="G59" s="10"/>
      <c r="H59" s="13"/>
      <c r="I59" s="10"/>
      <c r="J59" s="14"/>
      <c r="K59" s="10"/>
      <c r="L59" s="10"/>
      <c r="M59" s="10"/>
      <c r="N59" s="10"/>
      <c r="O59" s="10"/>
      <c r="Q59" s="8"/>
    </row>
    <row r="60" spans="4:33" ht="13" thickBot="1">
      <c r="E60" s="10"/>
      <c r="F60" s="10"/>
      <c r="G60" s="10"/>
      <c r="H60" s="14" t="s">
        <v>260</v>
      </c>
      <c r="I60" s="9" t="str">
        <f>IF(OR(H58="",H61=""),"",+IF(H58&gt;H61,G58,E61))</f>
        <v/>
      </c>
      <c r="J60" s="16"/>
      <c r="K60" s="10"/>
      <c r="L60" s="10"/>
      <c r="M60" s="10"/>
      <c r="N60" s="10"/>
      <c r="O60" s="10"/>
      <c r="Q60" s="8"/>
    </row>
    <row r="61" spans="4:33" ht="13" thickBot="1">
      <c r="D61">
        <v>27</v>
      </c>
      <c r="E61" s="9"/>
      <c r="F61" s="9"/>
      <c r="G61" s="9">
        <f>E61</f>
        <v>0</v>
      </c>
      <c r="H61" s="16"/>
      <c r="I61" s="10"/>
      <c r="J61" s="10"/>
      <c r="K61" s="10"/>
      <c r="L61" s="10"/>
      <c r="M61" s="10"/>
      <c r="N61" s="10"/>
      <c r="O61" s="10"/>
      <c r="Q61" s="8"/>
    </row>
    <row r="62" spans="4:33"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Q62" s="8"/>
    </row>
    <row r="63" spans="4:33" ht="13" thickBot="1"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t="s">
        <v>249</v>
      </c>
      <c r="Q63" s="27"/>
      <c r="R63" s="7"/>
      <c r="S63" s="7"/>
    </row>
    <row r="64" spans="4:33" ht="13" thickBot="1">
      <c r="D64">
        <v>28</v>
      </c>
      <c r="E64" s="10"/>
      <c r="F64" s="9"/>
      <c r="G64" s="9">
        <f>E64</f>
        <v>0</v>
      </c>
      <c r="H64" s="11"/>
      <c r="I64" s="10"/>
      <c r="J64" s="10"/>
      <c r="K64" s="10"/>
      <c r="L64" s="10"/>
      <c r="M64" s="10"/>
      <c r="N64" s="10"/>
      <c r="O64" s="10"/>
      <c r="Q64" s="8"/>
    </row>
    <row r="65" spans="4:17">
      <c r="E65" s="12"/>
      <c r="F65" s="10"/>
      <c r="G65" s="10"/>
      <c r="H65" s="13"/>
      <c r="I65" s="10"/>
      <c r="J65" s="10"/>
      <c r="K65" s="10"/>
      <c r="L65" s="10"/>
      <c r="M65" s="10"/>
      <c r="N65" s="10"/>
      <c r="O65" s="10"/>
      <c r="Q65" s="8"/>
    </row>
    <row r="66" spans="4:17" ht="13" thickBot="1">
      <c r="E66" s="10"/>
      <c r="F66" s="10"/>
      <c r="G66" s="10"/>
      <c r="H66" s="14" t="s">
        <v>201</v>
      </c>
      <c r="I66" s="9" t="str">
        <f>IF(OR(H64="",H68=""),"",+IF(H64&gt;H68,G64,G68))</f>
        <v/>
      </c>
      <c r="J66" s="11"/>
      <c r="K66" s="10"/>
      <c r="L66" s="10"/>
      <c r="M66" s="10"/>
      <c r="N66" s="10"/>
      <c r="O66" s="10"/>
      <c r="Q66" s="8"/>
    </row>
    <row r="67" spans="4:17" ht="13" thickBot="1">
      <c r="D67">
        <v>29</v>
      </c>
      <c r="E67" s="10"/>
      <c r="F67" s="11"/>
      <c r="G67" s="10"/>
      <c r="H67" s="14"/>
      <c r="I67" s="10"/>
      <c r="J67" s="13"/>
      <c r="K67" s="10"/>
      <c r="L67" s="10"/>
      <c r="M67" s="10"/>
      <c r="N67" s="10"/>
      <c r="O67" s="10"/>
      <c r="Q67" s="8"/>
    </row>
    <row r="68" spans="4:17" ht="13" thickBot="1">
      <c r="E68" s="12"/>
      <c r="F68" s="13" t="s">
        <v>225</v>
      </c>
      <c r="G68" s="9" t="str">
        <f>IF(OR(F67="",F69=""),"",+IF(F67&gt;F69,E67,E69))</f>
        <v/>
      </c>
      <c r="H68" s="16"/>
      <c r="I68" s="10"/>
      <c r="J68" s="14"/>
      <c r="K68" s="10"/>
      <c r="L68" s="10"/>
      <c r="M68" s="10"/>
      <c r="N68" s="10"/>
      <c r="O68" s="10"/>
      <c r="Q68" s="8"/>
    </row>
    <row r="69" spans="4:17" ht="13" thickBot="1">
      <c r="D69">
        <v>30</v>
      </c>
      <c r="E69" s="10"/>
      <c r="F69" s="16"/>
      <c r="G69" s="10"/>
      <c r="H69" s="10"/>
      <c r="I69" s="10"/>
      <c r="J69" s="14"/>
      <c r="K69" s="10"/>
      <c r="L69" s="10"/>
      <c r="M69" s="10"/>
      <c r="N69" s="10"/>
      <c r="O69" s="10"/>
      <c r="Q69" s="8"/>
    </row>
    <row r="70" spans="4:17" ht="13" thickBot="1">
      <c r="E70" s="12"/>
      <c r="F70" s="10"/>
      <c r="G70" s="10"/>
      <c r="H70" s="10"/>
      <c r="I70" s="10"/>
      <c r="J70" s="14" t="s">
        <v>247</v>
      </c>
      <c r="K70" s="9" t="str">
        <f>IF(OR(J66="",J74=""),"",+IF(J66&gt;J74,I66,I74))</f>
        <v/>
      </c>
      <c r="L70" s="17"/>
      <c r="M70" s="10"/>
      <c r="N70" s="10"/>
      <c r="O70" s="10"/>
      <c r="Q70" s="8"/>
    </row>
    <row r="71" spans="4:17" ht="13" thickBot="1">
      <c r="D71">
        <v>31</v>
      </c>
      <c r="E71" s="10"/>
      <c r="F71" s="11"/>
      <c r="G71" s="10"/>
      <c r="H71" s="10"/>
      <c r="I71" s="10"/>
      <c r="J71" s="14"/>
      <c r="K71" s="10"/>
      <c r="L71" s="13"/>
      <c r="M71" s="10"/>
      <c r="N71" s="10"/>
      <c r="O71" s="10"/>
      <c r="Q71" s="8"/>
    </row>
    <row r="72" spans="4:17" ht="13" thickBot="1">
      <c r="E72" s="12"/>
      <c r="F72" s="13" t="s">
        <v>227</v>
      </c>
      <c r="G72" s="9" t="str">
        <f>IF(OR(F71="",F73=""),"",+IF(F71&gt;F73,E71,E73))</f>
        <v/>
      </c>
      <c r="H72" s="11"/>
      <c r="I72" s="10"/>
      <c r="J72" s="14"/>
      <c r="K72" s="10"/>
      <c r="L72" s="14"/>
      <c r="M72" s="10"/>
      <c r="N72" s="10"/>
      <c r="O72" s="10"/>
      <c r="Q72" s="8"/>
    </row>
    <row r="73" spans="4:17" ht="13" thickBot="1">
      <c r="D73">
        <v>32</v>
      </c>
      <c r="E73" s="9"/>
      <c r="F73" s="16"/>
      <c r="G73" s="10"/>
      <c r="H73" s="13"/>
      <c r="I73" s="10"/>
      <c r="J73" s="14"/>
      <c r="K73" s="10"/>
      <c r="L73" s="14"/>
      <c r="M73" s="10"/>
      <c r="N73" s="10"/>
      <c r="O73" s="10"/>
      <c r="Q73" s="8"/>
    </row>
    <row r="74" spans="4:17" ht="13" thickBot="1">
      <c r="E74" s="10"/>
      <c r="F74" s="10"/>
      <c r="G74" s="10"/>
      <c r="H74" s="14" t="s">
        <v>205</v>
      </c>
      <c r="I74" s="9" t="str">
        <f>IF(OR(H72="",H75=""),"",+IF(H72&gt;H75,G72,E75))</f>
        <v/>
      </c>
      <c r="J74" s="16"/>
      <c r="K74" s="10"/>
      <c r="L74" s="14"/>
      <c r="M74" s="10"/>
      <c r="N74" s="10"/>
      <c r="O74" s="10"/>
      <c r="Q74" s="8"/>
    </row>
    <row r="75" spans="4:17" ht="13" thickBot="1">
      <c r="D75">
        <v>33</v>
      </c>
      <c r="E75" s="9"/>
      <c r="F75" s="9"/>
      <c r="G75" s="9">
        <f>E75</f>
        <v>0</v>
      </c>
      <c r="H75" s="16"/>
      <c r="I75" s="10"/>
      <c r="J75" s="10"/>
      <c r="K75" s="10"/>
      <c r="L75" s="14"/>
      <c r="M75" s="10"/>
      <c r="N75" s="10"/>
      <c r="O75" s="10"/>
      <c r="Q75" s="8"/>
    </row>
    <row r="76" spans="4:17">
      <c r="E76" s="10"/>
      <c r="F76" s="10"/>
      <c r="G76" s="10"/>
      <c r="H76" s="10"/>
      <c r="I76" s="10"/>
      <c r="J76" s="10"/>
      <c r="K76" s="10"/>
      <c r="L76" s="14"/>
      <c r="M76" s="10"/>
      <c r="N76" s="10"/>
      <c r="O76" s="10"/>
      <c r="Q76" s="8"/>
    </row>
    <row r="77" spans="4:17" ht="13" thickBot="1">
      <c r="D77">
        <v>34</v>
      </c>
      <c r="E77" s="10"/>
      <c r="F77" s="11"/>
      <c r="G77" s="10"/>
      <c r="H77" s="10"/>
      <c r="I77" s="10"/>
      <c r="J77" s="10"/>
      <c r="K77" s="10"/>
      <c r="L77" s="14" t="s">
        <v>218</v>
      </c>
      <c r="M77" s="9" t="str">
        <f>IF(OR(L70="",L83=""),"",+IF(L70&gt;L83,K70,K83))</f>
        <v/>
      </c>
      <c r="N77" s="17"/>
      <c r="O77" s="10"/>
      <c r="Q77" s="8"/>
    </row>
    <row r="78" spans="4:17" ht="13" thickBot="1">
      <c r="E78" s="12"/>
      <c r="F78" s="13" t="s">
        <v>229</v>
      </c>
      <c r="G78" s="9" t="str">
        <f>IF(OR(F77="",F79=""),"",+IF(F77&gt;F79,E77,E79))</f>
        <v/>
      </c>
      <c r="H78" s="17"/>
      <c r="I78" s="10"/>
      <c r="J78" s="10"/>
      <c r="K78" s="10"/>
      <c r="L78" s="14"/>
      <c r="M78" s="10"/>
      <c r="N78" s="14"/>
      <c r="O78" s="10"/>
      <c r="Q78" s="8"/>
    </row>
    <row r="79" spans="4:17" ht="13" thickBot="1">
      <c r="D79">
        <v>35</v>
      </c>
      <c r="E79" s="10"/>
      <c r="F79" s="16"/>
      <c r="G79" s="10"/>
      <c r="H79" s="14"/>
      <c r="I79" s="10"/>
      <c r="J79" s="10"/>
      <c r="K79" s="10"/>
      <c r="L79" s="14"/>
      <c r="M79" s="10"/>
      <c r="N79" s="14"/>
      <c r="O79" s="10"/>
      <c r="Q79" s="8"/>
    </row>
    <row r="80" spans="4:17" ht="13" thickBot="1">
      <c r="E80" s="12"/>
      <c r="F80" s="10"/>
      <c r="G80" s="10"/>
      <c r="H80" s="14" t="s">
        <v>209</v>
      </c>
      <c r="I80" s="9" t="str">
        <f>IF(OR(H78="",H82=""),"",+IF(H78&gt;H82,G78,G82))</f>
        <v/>
      </c>
      <c r="J80" s="17"/>
      <c r="K80" s="10"/>
      <c r="L80" s="14"/>
      <c r="M80" s="10"/>
      <c r="N80" s="14"/>
      <c r="O80" s="10"/>
      <c r="Q80" s="8"/>
    </row>
    <row r="81" spans="4:17" ht="13" thickBot="1">
      <c r="D81">
        <v>36</v>
      </c>
      <c r="E81" s="10"/>
      <c r="F81" s="11"/>
      <c r="G81" s="10"/>
      <c r="H81" s="14"/>
      <c r="I81" s="10"/>
      <c r="J81" s="14"/>
      <c r="K81" s="10"/>
      <c r="L81" s="14"/>
      <c r="M81" s="10"/>
      <c r="N81" s="14"/>
      <c r="O81" s="10"/>
      <c r="Q81" s="8"/>
    </row>
    <row r="82" spans="4:17" ht="13" thickBot="1">
      <c r="E82" s="12"/>
      <c r="F82" s="13" t="s">
        <v>232</v>
      </c>
      <c r="G82" s="9" t="str">
        <f>IF(OR(F81="",F83=""),"",+IF(F81&gt;F83,E81,E83))</f>
        <v/>
      </c>
      <c r="H82" s="16"/>
      <c r="I82" s="10"/>
      <c r="J82" s="14"/>
      <c r="K82" s="10"/>
      <c r="L82" s="14"/>
      <c r="M82" s="10"/>
      <c r="N82" s="14"/>
      <c r="O82" s="10"/>
      <c r="Q82" s="8"/>
    </row>
    <row r="83" spans="4:17" ht="13" thickBot="1">
      <c r="D83">
        <v>37</v>
      </c>
      <c r="E83" s="10"/>
      <c r="F83" s="16"/>
      <c r="G83" s="10"/>
      <c r="H83" s="10"/>
      <c r="I83" s="10"/>
      <c r="J83" s="14" t="s">
        <v>251</v>
      </c>
      <c r="K83" s="9" t="str">
        <f>IF(OR(J80="",J88=""),"",+IF(J80&gt;J88,I80,I88))</f>
        <v/>
      </c>
      <c r="L83" s="16"/>
      <c r="M83" s="10"/>
      <c r="N83" s="14"/>
      <c r="O83" s="10"/>
      <c r="Q83" s="8"/>
    </row>
    <row r="84" spans="4:17">
      <c r="E84" s="12"/>
      <c r="F84" s="10"/>
      <c r="G84" s="10"/>
      <c r="H84" s="10"/>
      <c r="I84" s="10"/>
      <c r="J84" s="14"/>
      <c r="K84" s="10"/>
      <c r="L84" s="10"/>
      <c r="M84" s="10"/>
      <c r="N84" s="14"/>
      <c r="O84" s="10"/>
      <c r="Q84" s="8"/>
    </row>
    <row r="85" spans="4:17" ht="13" thickBot="1">
      <c r="D85">
        <v>38</v>
      </c>
      <c r="E85" s="10"/>
      <c r="F85" s="11"/>
      <c r="G85" s="10"/>
      <c r="H85" s="10"/>
      <c r="I85" s="10"/>
      <c r="J85" s="14"/>
      <c r="K85" s="10"/>
      <c r="L85" s="10"/>
      <c r="M85" s="10"/>
      <c r="N85" s="14"/>
      <c r="O85" s="10"/>
      <c r="Q85" s="8"/>
    </row>
    <row r="86" spans="4:17" ht="13" thickBot="1">
      <c r="E86" s="12"/>
      <c r="F86" s="13" t="s">
        <v>234</v>
      </c>
      <c r="G86" s="9" t="str">
        <f>IF(OR(F85="",F87=""),"",+IF(F85&gt;F87,E85,E87))</f>
        <v/>
      </c>
      <c r="H86" s="11"/>
      <c r="I86" s="10"/>
      <c r="J86" s="14"/>
      <c r="K86" s="10"/>
      <c r="L86" s="10"/>
      <c r="M86" s="10"/>
      <c r="N86" s="14"/>
      <c r="O86" s="10"/>
      <c r="Q86" s="8"/>
    </row>
    <row r="87" spans="4:17" ht="13" thickBot="1">
      <c r="D87">
        <v>39</v>
      </c>
      <c r="E87" s="9"/>
      <c r="F87" s="16"/>
      <c r="G87" s="10"/>
      <c r="H87" s="13"/>
      <c r="I87" s="10"/>
      <c r="J87" s="14"/>
      <c r="K87" s="10"/>
      <c r="L87" s="10"/>
      <c r="M87" s="10"/>
      <c r="N87" s="14"/>
      <c r="O87" s="10"/>
      <c r="Q87" s="8"/>
    </row>
    <row r="88" spans="4:17" ht="13" thickBot="1">
      <c r="E88" s="10"/>
      <c r="F88" s="10"/>
      <c r="G88" s="10"/>
      <c r="H88" s="14" t="s">
        <v>213</v>
      </c>
      <c r="I88" s="9" t="str">
        <f>IF(OR(H86="",H89=""),"",+IF(H86&gt;H89,G86,E89))</f>
        <v/>
      </c>
      <c r="J88" s="16"/>
      <c r="K88" s="10"/>
      <c r="L88" s="10"/>
      <c r="M88" s="10"/>
      <c r="N88" s="14"/>
      <c r="O88" s="10"/>
      <c r="Q88" s="8"/>
    </row>
    <row r="89" spans="4:17" ht="13" thickBot="1">
      <c r="D89">
        <v>40</v>
      </c>
      <c r="E89" s="9"/>
      <c r="F89" s="9"/>
      <c r="G89" s="9">
        <f>E89</f>
        <v>0</v>
      </c>
      <c r="H89" s="16"/>
      <c r="I89" s="10"/>
      <c r="J89" s="10"/>
      <c r="K89" s="10"/>
      <c r="L89" s="10"/>
      <c r="M89" s="10"/>
      <c r="N89" s="14"/>
      <c r="O89" s="10"/>
      <c r="Q89" s="8"/>
    </row>
    <row r="90" spans="4:17" ht="13" thickBot="1">
      <c r="E90" s="10"/>
      <c r="F90" s="10"/>
      <c r="G90" s="10"/>
      <c r="H90" s="10"/>
      <c r="I90" s="10"/>
      <c r="J90" s="10"/>
      <c r="K90" s="10"/>
      <c r="L90" s="10"/>
      <c r="M90" s="10"/>
      <c r="N90" s="14" t="s">
        <v>241</v>
      </c>
      <c r="O90" s="9" t="str">
        <f>IF(OR(N77="",N104=""),"",+IF(N77&gt;N104,M77,M104))</f>
        <v/>
      </c>
      <c r="P90" s="7"/>
      <c r="Q90" s="8"/>
    </row>
    <row r="91" spans="4:17" ht="13" thickBot="1">
      <c r="D91">
        <v>41</v>
      </c>
      <c r="E91" s="10"/>
      <c r="F91" s="9"/>
      <c r="G91" s="9">
        <f>E91</f>
        <v>0</v>
      </c>
      <c r="H91" s="11"/>
      <c r="I91" s="10"/>
      <c r="J91" s="10"/>
      <c r="K91" s="10"/>
      <c r="L91" s="10"/>
      <c r="M91" s="10"/>
      <c r="N91" s="14"/>
      <c r="O91" s="10"/>
    </row>
    <row r="92" spans="4:17">
      <c r="E92" s="12"/>
      <c r="F92" s="10"/>
      <c r="G92" s="10"/>
      <c r="H92" s="13"/>
      <c r="I92" s="10"/>
      <c r="J92" s="10"/>
      <c r="K92" s="10"/>
      <c r="L92" s="10"/>
      <c r="M92" s="10"/>
      <c r="N92" s="14"/>
      <c r="O92" s="10"/>
    </row>
    <row r="93" spans="4:17" ht="13" thickBot="1">
      <c r="E93" s="10"/>
      <c r="F93" s="10"/>
      <c r="G93" s="10"/>
      <c r="H93" s="14" t="s">
        <v>216</v>
      </c>
      <c r="I93" s="9" t="str">
        <f>IF(OR(H91="",H95=""),"",+IF(H91&gt;H95,G91,G95))</f>
        <v/>
      </c>
      <c r="J93" s="11"/>
      <c r="K93" s="10"/>
      <c r="L93" s="10"/>
      <c r="M93" s="10"/>
      <c r="N93" s="14"/>
      <c r="O93" s="10"/>
    </row>
    <row r="94" spans="4:17" ht="13" thickBot="1">
      <c r="D94">
        <v>42</v>
      </c>
      <c r="E94" s="10"/>
      <c r="F94" s="11"/>
      <c r="G94" s="10"/>
      <c r="H94" s="14"/>
      <c r="I94" s="10"/>
      <c r="J94" s="13"/>
      <c r="K94" s="10"/>
      <c r="L94" s="10"/>
      <c r="M94" s="10"/>
      <c r="N94" s="14"/>
      <c r="O94" s="10"/>
    </row>
    <row r="95" spans="4:17" ht="13" thickBot="1">
      <c r="E95" s="12"/>
      <c r="F95" s="13" t="s">
        <v>236</v>
      </c>
      <c r="G95" s="9" t="str">
        <f>IF(OR(F94="",F96=""),"",+IF(F94&gt;F96,E94,E96))</f>
        <v/>
      </c>
      <c r="H95" s="16"/>
      <c r="I95" s="10"/>
      <c r="J95" s="14"/>
      <c r="K95" s="10"/>
      <c r="L95" s="10"/>
      <c r="M95" s="10"/>
      <c r="N95" s="14"/>
      <c r="O95" s="10"/>
    </row>
    <row r="96" spans="4:17" ht="13" thickBot="1">
      <c r="D96">
        <v>43</v>
      </c>
      <c r="E96" s="10"/>
      <c r="F96" s="16"/>
      <c r="G96" s="10"/>
      <c r="H96" s="10"/>
      <c r="I96" s="10"/>
      <c r="J96" s="14"/>
      <c r="K96" s="10"/>
      <c r="L96" s="10"/>
      <c r="M96" s="10"/>
      <c r="N96" s="14"/>
      <c r="O96" s="10"/>
    </row>
    <row r="97" spans="4:15" ht="13" thickBot="1">
      <c r="E97" s="12"/>
      <c r="F97" s="10"/>
      <c r="G97" s="10"/>
      <c r="H97" s="10"/>
      <c r="I97" s="10"/>
      <c r="J97" s="14" t="s">
        <v>255</v>
      </c>
      <c r="K97" s="9" t="str">
        <f>IF(OR(J93="",J101=""),"",+IF(J93&gt;J101,I93,I101))</f>
        <v/>
      </c>
      <c r="L97" s="17"/>
      <c r="M97" s="10"/>
      <c r="N97" s="14"/>
      <c r="O97" s="10"/>
    </row>
    <row r="98" spans="4:15" ht="13" thickBot="1">
      <c r="D98">
        <v>44</v>
      </c>
      <c r="E98" s="10"/>
      <c r="F98" s="11"/>
      <c r="G98" s="10"/>
      <c r="H98" s="10"/>
      <c r="I98" s="10"/>
      <c r="J98" s="14"/>
      <c r="K98" s="10"/>
      <c r="L98" s="13"/>
      <c r="M98" s="10"/>
      <c r="N98" s="14"/>
      <c r="O98" s="10"/>
    </row>
    <row r="99" spans="4:15" ht="13" thickBot="1">
      <c r="E99" s="12"/>
      <c r="F99" s="13" t="s">
        <v>238</v>
      </c>
      <c r="G99" s="9" t="str">
        <f>IF(OR(F98="",F100=""),"",+IF(F98&gt;F100,E98,E100))</f>
        <v/>
      </c>
      <c r="H99" s="11"/>
      <c r="I99" s="10"/>
      <c r="J99" s="14"/>
      <c r="K99" s="10"/>
      <c r="L99" s="14"/>
      <c r="M99" s="10"/>
      <c r="N99" s="14"/>
      <c r="O99" s="10"/>
    </row>
    <row r="100" spans="4:15" ht="13" thickBot="1">
      <c r="D100">
        <v>45</v>
      </c>
      <c r="E100" s="9"/>
      <c r="F100" s="16"/>
      <c r="G100" s="10"/>
      <c r="H100" s="13"/>
      <c r="I100" s="10"/>
      <c r="J100" s="14"/>
      <c r="K100" s="10"/>
      <c r="L100" s="14"/>
      <c r="M100" s="10"/>
      <c r="N100" s="14"/>
      <c r="O100" s="10"/>
    </row>
    <row r="101" spans="4:15" ht="13" thickBot="1">
      <c r="E101" s="10"/>
      <c r="F101" s="10"/>
      <c r="G101" s="10"/>
      <c r="H101" s="14" t="s">
        <v>220</v>
      </c>
      <c r="I101" s="9" t="str">
        <f>IF(OR(H99="",H102=""),"",+IF(H99&gt;H102,G99,E102))</f>
        <v/>
      </c>
      <c r="J101" s="16"/>
      <c r="K101" s="10"/>
      <c r="L101" s="14"/>
      <c r="M101" s="10"/>
      <c r="N101" s="14"/>
      <c r="O101" s="10"/>
    </row>
    <row r="102" spans="4:15" ht="13" thickBot="1">
      <c r="D102">
        <v>46</v>
      </c>
      <c r="E102" s="9"/>
      <c r="F102" s="9"/>
      <c r="G102" s="9">
        <f>E102</f>
        <v>0</v>
      </c>
      <c r="H102" s="16"/>
      <c r="I102" s="10"/>
      <c r="J102" s="10"/>
      <c r="K102" s="10"/>
      <c r="L102" s="14"/>
      <c r="M102" s="10"/>
      <c r="N102" s="14"/>
      <c r="O102" s="10"/>
    </row>
    <row r="103" spans="4:15">
      <c r="E103" s="10"/>
      <c r="F103" s="10"/>
      <c r="G103" s="10"/>
      <c r="H103" s="10"/>
      <c r="I103" s="10"/>
      <c r="J103" s="10"/>
      <c r="K103" s="10"/>
      <c r="L103" s="14"/>
      <c r="M103" s="10"/>
      <c r="N103" s="14"/>
      <c r="O103" s="10"/>
    </row>
    <row r="104" spans="4:15" ht="13" thickBot="1">
      <c r="D104">
        <v>47</v>
      </c>
      <c r="E104" s="10"/>
      <c r="F104" s="11"/>
      <c r="G104" s="10"/>
      <c r="H104" s="10"/>
      <c r="I104" s="10"/>
      <c r="J104" s="10"/>
      <c r="K104" s="10"/>
      <c r="L104" s="14" t="s">
        <v>226</v>
      </c>
      <c r="M104" s="9" t="str">
        <f>IF(OR(L97="",L110=""),"",+IF(L96&gt;L110,K97,K110))</f>
        <v/>
      </c>
      <c r="N104" s="16"/>
      <c r="O104" s="10"/>
    </row>
    <row r="105" spans="4:15" ht="13" thickBot="1">
      <c r="E105" s="12"/>
      <c r="F105" s="13" t="s">
        <v>240</v>
      </c>
      <c r="G105" s="9" t="str">
        <f>IF(OR(F104="",F106=""),"",+IF(F104&gt;F106,E104,E106))</f>
        <v/>
      </c>
      <c r="H105" s="17"/>
      <c r="I105" s="10"/>
      <c r="J105" s="10"/>
      <c r="K105" s="10"/>
      <c r="L105" s="14"/>
      <c r="M105" s="10"/>
      <c r="N105" s="10"/>
      <c r="O105" s="10"/>
    </row>
    <row r="106" spans="4:15" ht="13" thickBot="1">
      <c r="D106">
        <v>48</v>
      </c>
      <c r="E106" s="10"/>
      <c r="F106" s="16"/>
      <c r="G106" s="10"/>
      <c r="H106" s="14"/>
      <c r="I106" s="10"/>
      <c r="J106" s="10"/>
      <c r="K106" s="10"/>
      <c r="L106" s="14"/>
      <c r="M106" s="10"/>
      <c r="N106" s="10"/>
      <c r="O106" s="10"/>
    </row>
    <row r="107" spans="4:15" ht="13" thickBot="1">
      <c r="E107" s="12"/>
      <c r="F107" s="10"/>
      <c r="G107" s="10"/>
      <c r="H107" s="14" t="s">
        <v>224</v>
      </c>
      <c r="I107" s="9" t="str">
        <f>IF(OR(H105="",H109=""),"",+IF(H105&gt;H109,G105,G109))</f>
        <v/>
      </c>
      <c r="J107" s="17"/>
      <c r="K107" s="10"/>
      <c r="L107" s="14"/>
      <c r="M107" s="10"/>
      <c r="N107" s="10"/>
      <c r="O107" s="10"/>
    </row>
    <row r="108" spans="4:15" ht="13" thickBot="1">
      <c r="D108">
        <v>49</v>
      </c>
      <c r="E108" s="10"/>
      <c r="F108" s="11"/>
      <c r="G108" s="10"/>
      <c r="H108" s="14"/>
      <c r="I108" s="10"/>
      <c r="J108" s="14"/>
      <c r="K108" s="10"/>
      <c r="L108" s="14"/>
      <c r="M108" s="10"/>
      <c r="N108" s="10"/>
      <c r="O108" s="10"/>
    </row>
    <row r="109" spans="4:15" ht="13" thickBot="1">
      <c r="E109" s="12"/>
      <c r="F109" s="13" t="s">
        <v>242</v>
      </c>
      <c r="G109" s="9" t="str">
        <f>IF(OR(F108="",F110=""),"",+IF(F108&gt;F110,E108,E110))</f>
        <v/>
      </c>
      <c r="H109" s="16"/>
      <c r="I109" s="10"/>
      <c r="J109" s="14"/>
      <c r="K109" s="10"/>
      <c r="L109" s="14"/>
      <c r="M109" s="10"/>
      <c r="N109" s="10"/>
      <c r="O109" s="10"/>
    </row>
    <row r="110" spans="4:15" ht="13" thickBot="1">
      <c r="D110">
        <v>50</v>
      </c>
      <c r="E110" s="10"/>
      <c r="F110" s="16"/>
      <c r="G110" s="10"/>
      <c r="H110" s="10"/>
      <c r="I110" s="10"/>
      <c r="J110" s="14" t="s">
        <v>259</v>
      </c>
      <c r="K110" s="9" t="str">
        <f>IF(OR(J107="",J115=""),"",+IF(J107&gt;J115,I107,I115))</f>
        <v/>
      </c>
      <c r="L110" s="16"/>
      <c r="M110" s="10"/>
      <c r="N110" s="10"/>
      <c r="O110" s="10"/>
    </row>
    <row r="111" spans="4:15">
      <c r="E111" s="12"/>
      <c r="F111" s="10"/>
      <c r="G111" s="10"/>
      <c r="H111" s="10"/>
      <c r="I111" s="10"/>
      <c r="J111" s="14"/>
      <c r="K111" s="10"/>
      <c r="L111" s="10"/>
      <c r="M111" s="10"/>
      <c r="N111" s="10"/>
      <c r="O111" s="10"/>
    </row>
    <row r="112" spans="4:15" ht="13" thickBot="1">
      <c r="D112">
        <v>51</v>
      </c>
      <c r="E112" s="10"/>
      <c r="F112" s="11"/>
      <c r="G112" s="10"/>
      <c r="H112" s="10"/>
      <c r="I112" s="10"/>
      <c r="J112" s="14"/>
      <c r="K112" s="10"/>
      <c r="L112" s="10"/>
      <c r="M112" s="10"/>
      <c r="N112" s="10"/>
      <c r="O112" s="10"/>
    </row>
    <row r="113" spans="4:15" ht="13" thickBot="1">
      <c r="E113" s="12"/>
      <c r="F113" s="13" t="s">
        <v>244</v>
      </c>
      <c r="G113" s="9" t="str">
        <f>IF(OR(F112="",F114=""),"",+IF(F112&gt;F114,E112,E114))</f>
        <v/>
      </c>
      <c r="H113" s="11"/>
      <c r="I113" s="10"/>
      <c r="J113" s="14"/>
      <c r="K113" s="10"/>
      <c r="L113" s="10"/>
      <c r="M113" s="10"/>
      <c r="N113" s="10"/>
      <c r="O113" s="10"/>
    </row>
    <row r="114" spans="4:15" ht="13" thickBot="1">
      <c r="D114">
        <v>52</v>
      </c>
      <c r="E114" s="9"/>
      <c r="F114" s="16"/>
      <c r="G114" s="10"/>
      <c r="H114" s="13"/>
      <c r="I114" s="10"/>
      <c r="J114" s="14"/>
      <c r="K114" s="10"/>
      <c r="L114" s="10"/>
      <c r="M114" s="10"/>
      <c r="N114" s="10"/>
      <c r="O114" s="10"/>
    </row>
    <row r="115" spans="4:15" ht="13" thickBot="1">
      <c r="E115" s="10"/>
      <c r="F115" s="10"/>
      <c r="G115" s="10"/>
      <c r="H115" s="14" t="s">
        <v>228</v>
      </c>
      <c r="I115" s="9" t="str">
        <f>IF(OR(H113="",H116=""),"",+IF(H113&gt;H116,G113,E116))</f>
        <v/>
      </c>
      <c r="J115" s="16"/>
      <c r="K115" s="10"/>
      <c r="L115" s="10"/>
      <c r="M115" s="10"/>
      <c r="N115" s="10"/>
      <c r="O115" s="10"/>
    </row>
    <row r="116" spans="4:15" ht="13" thickBot="1">
      <c r="D116">
        <v>53</v>
      </c>
      <c r="E116" s="9"/>
      <c r="F116" s="9"/>
      <c r="G116" s="9">
        <f>E116</f>
        <v>0</v>
      </c>
      <c r="H116" s="16"/>
      <c r="I116" s="10"/>
      <c r="J116" s="10"/>
      <c r="K116" s="10"/>
      <c r="L116" s="10"/>
      <c r="M116" s="10"/>
      <c r="N116" s="10"/>
      <c r="O116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72"/>
  <dimension ref="D4:AG114"/>
  <sheetViews>
    <sheetView showGridLines="0" topLeftCell="A25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8" customWidth="1"/>
    <col min="16" max="16" width="4.11718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E20</f>
        <v>0</v>
      </c>
      <c r="V7" t="s">
        <v>77</v>
      </c>
      <c r="W7" s="29">
        <f>E22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E24</f>
        <v>0</v>
      </c>
      <c r="V8" t="s">
        <v>77</v>
      </c>
      <c r="W8" s="29">
        <f>E26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244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E28</f>
        <v>0</v>
      </c>
      <c r="V9" t="s">
        <v>77</v>
      </c>
      <c r="W9" s="29">
        <f>E30</f>
        <v>0</v>
      </c>
      <c r="Z9" s="34"/>
      <c r="AA9" s="40"/>
      <c r="AB9" s="40"/>
      <c r="AC9" s="38" t="s">
        <v>159</v>
      </c>
      <c r="AD9" s="48"/>
      <c r="AE9" s="53" t="e">
        <f>LOOKUP(AD9,T$5:T$78,U$5:U$58)</f>
        <v>#N/A</v>
      </c>
      <c r="AF9" s="37" t="s">
        <v>157</v>
      </c>
      <c r="AG9" s="65" t="e">
        <f>LOOKUP(AD9,T$5:T$78,W$5:W$59)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E37</f>
        <v>0</v>
      </c>
      <c r="V10" t="s">
        <v>77</v>
      </c>
      <c r="W10" s="29">
        <f>E39</f>
        <v>0</v>
      </c>
      <c r="Z10" s="34"/>
      <c r="AA10" s="40"/>
      <c r="AB10" s="40"/>
      <c r="AC10" s="38" t="s">
        <v>159</v>
      </c>
      <c r="AD10" s="48"/>
      <c r="AE10" s="53" t="e">
        <f>LOOKUP(AD10,T$5:T$78,U$5:U$58)</f>
        <v>#N/A</v>
      </c>
      <c r="AF10" s="37" t="s">
        <v>157</v>
      </c>
      <c r="AG10" s="65" t="e">
        <f>LOOKUP(AD10,T$5:T$78,W$5:W$59)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E41</f>
        <v>0</v>
      </c>
      <c r="V11" t="s">
        <v>77</v>
      </c>
      <c r="W11" s="29">
        <f>E43</f>
        <v>0</v>
      </c>
      <c r="Z11" s="34"/>
      <c r="AA11" s="40"/>
      <c r="AB11" s="40"/>
      <c r="AC11" s="38" t="s">
        <v>159</v>
      </c>
      <c r="AD11" s="48"/>
      <c r="AE11" s="53" t="e">
        <f>LOOKUP(AD11,T$5:T$78,U$5:U$58)</f>
        <v>#N/A</v>
      </c>
      <c r="AF11" s="37" t="s">
        <v>157</v>
      </c>
      <c r="AG11" s="65" t="e">
        <f>LOOKUP(AD11,T$5:T$78,W$5:W$59)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E47</f>
        <v>0</v>
      </c>
      <c r="V12" t="s">
        <v>77</v>
      </c>
      <c r="W12" s="29">
        <f>E49</f>
        <v>0</v>
      </c>
      <c r="Z12" s="34"/>
      <c r="AA12" s="40"/>
      <c r="AB12" s="40"/>
      <c r="AC12" s="38" t="s">
        <v>159</v>
      </c>
      <c r="AD12" s="48"/>
      <c r="AE12" s="53" t="e">
        <f>LOOKUP(AD12,T$5:T$78,U$5:U$58)</f>
        <v>#N/A</v>
      </c>
      <c r="AF12" s="37" t="s">
        <v>157</v>
      </c>
      <c r="AG12" s="65" t="e">
        <f>LOOKUP(AD12,T$5:T$78,W$5:W$59)</f>
        <v>#N/A</v>
      </c>
    </row>
    <row r="13" spans="4:33" ht="13" thickBot="1">
      <c r="E13" s="12"/>
      <c r="F13" s="10"/>
      <c r="G13" s="10"/>
      <c r="H13" s="10"/>
      <c r="I13" s="10"/>
      <c r="J13" s="14" t="s">
        <v>228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E51</f>
        <v>0</v>
      </c>
      <c r="V13" t="s">
        <v>77</v>
      </c>
      <c r="W13" s="29">
        <f>E53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E55</f>
        <v>0</v>
      </c>
      <c r="V14" t="s">
        <v>77</v>
      </c>
      <c r="W14" s="29">
        <f>E57</f>
        <v>0</v>
      </c>
      <c r="Z14" s="34"/>
      <c r="AA14" s="40"/>
      <c r="AB14" s="40"/>
      <c r="AC14" s="38" t="s">
        <v>159</v>
      </c>
      <c r="AD14" s="48"/>
      <c r="AE14" s="53" t="e">
        <f>LOOKUP(AD14,T$5:T$78,U$5:U$58)</f>
        <v>#N/A</v>
      </c>
      <c r="AF14" s="37" t="s">
        <v>157</v>
      </c>
      <c r="AG14" s="65" t="e">
        <f>LOOKUP(AD14,T$5:T$78,W$5:W$59)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N15" s="10"/>
      <c r="O15" s="10"/>
      <c r="T15">
        <v>11</v>
      </c>
      <c r="U15" s="28">
        <f>E65</f>
        <v>0</v>
      </c>
      <c r="V15" t="s">
        <v>77</v>
      </c>
      <c r="W15" s="29">
        <f>E67</f>
        <v>0</v>
      </c>
      <c r="Z15" s="34"/>
      <c r="AA15" s="40"/>
      <c r="AB15" s="40"/>
      <c r="AC15" s="38" t="s">
        <v>159</v>
      </c>
      <c r="AD15" s="48"/>
      <c r="AE15" s="53" t="e">
        <f>LOOKUP(AD15,T$5:T$78,U$5:U$58)</f>
        <v>#N/A</v>
      </c>
      <c r="AF15" s="37" t="s">
        <v>157</v>
      </c>
      <c r="AG15" s="65" t="e">
        <f>LOOKUP(AD15,T$5:T$78,W$5:W$59)</f>
        <v>#N/A</v>
      </c>
    </row>
    <row r="16" spans="4:33" ht="13" thickBot="1">
      <c r="D16">
        <v>5</v>
      </c>
      <c r="E16" s="9"/>
      <c r="F16" s="16"/>
      <c r="G16" s="10"/>
      <c r="H16" s="13"/>
      <c r="I16" s="10"/>
      <c r="J16" s="14"/>
      <c r="K16" s="10"/>
      <c r="L16" s="14"/>
      <c r="M16" s="10"/>
      <c r="N16" s="10"/>
      <c r="O16" s="10"/>
      <c r="T16">
        <v>12</v>
      </c>
      <c r="U16" s="28">
        <f>E69</f>
        <v>0</v>
      </c>
      <c r="V16" t="s">
        <v>77</v>
      </c>
      <c r="W16" s="29">
        <f>E71</f>
        <v>0</v>
      </c>
      <c r="Z16" s="34"/>
      <c r="AA16" s="40"/>
      <c r="AB16" s="40"/>
      <c r="AC16" s="38" t="s">
        <v>159</v>
      </c>
      <c r="AD16" s="48"/>
      <c r="AE16" s="53" t="e">
        <f>LOOKUP(AD16,T$5:T$78,U$5:U$58)</f>
        <v>#N/A</v>
      </c>
      <c r="AF16" s="37" t="s">
        <v>157</v>
      </c>
      <c r="AG16" s="65" t="e">
        <f>LOOKUP(AD16,T$5:T$78,W$5:W$59)</f>
        <v>#N/A</v>
      </c>
    </row>
    <row r="17" spans="4:33" ht="13" thickBot="1">
      <c r="E17" s="10"/>
      <c r="F17" s="10"/>
      <c r="G17" s="10"/>
      <c r="H17" s="14" t="s">
        <v>246</v>
      </c>
      <c r="I17" s="9" t="str">
        <f>IF(OR(H15="",H18=""),"",+IF(H15&gt;H18,G15,E18))</f>
        <v/>
      </c>
      <c r="J17" s="16"/>
      <c r="K17" s="10"/>
      <c r="L17" s="14"/>
      <c r="M17" s="10"/>
      <c r="N17" s="10"/>
      <c r="O17" s="10"/>
      <c r="T17">
        <v>13</v>
      </c>
      <c r="U17" s="28">
        <f>E75</f>
        <v>0</v>
      </c>
      <c r="V17" t="s">
        <v>77</v>
      </c>
      <c r="W17" s="29">
        <f>E77</f>
        <v>0</v>
      </c>
      <c r="Z17" s="34"/>
      <c r="AA17" s="40"/>
      <c r="AB17" s="40"/>
      <c r="AC17" s="38" t="s">
        <v>159</v>
      </c>
      <c r="AD17" s="48"/>
      <c r="AE17" s="53" t="e">
        <f>LOOKUP(AD17,T$5:T$78,U$5:U$58)</f>
        <v>#N/A</v>
      </c>
      <c r="AF17" s="37" t="s">
        <v>157</v>
      </c>
      <c r="AG17" s="65" t="e">
        <f>LOOKUP(AD17,T$5:T$78,W$5:W$59)</f>
        <v>#N/A</v>
      </c>
    </row>
    <row r="18" spans="4:33" ht="13" thickBot="1">
      <c r="D18">
        <v>6</v>
      </c>
      <c r="E18" s="9"/>
      <c r="F18" s="9"/>
      <c r="G18" s="9">
        <f>E18</f>
        <v>0</v>
      </c>
      <c r="H18" s="16"/>
      <c r="I18" s="10"/>
      <c r="J18" s="10"/>
      <c r="K18" s="10"/>
      <c r="L18" s="14"/>
      <c r="M18" s="10"/>
      <c r="N18" s="10"/>
      <c r="O18" s="10"/>
      <c r="T18">
        <v>14</v>
      </c>
      <c r="U18" s="28">
        <f>E79</f>
        <v>0</v>
      </c>
      <c r="V18" t="s">
        <v>77</v>
      </c>
      <c r="W18" s="29">
        <f>E81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>
      <c r="E19" s="10"/>
      <c r="F19" s="10"/>
      <c r="G19" s="10"/>
      <c r="H19" s="10"/>
      <c r="I19" s="10"/>
      <c r="J19" s="10"/>
      <c r="K19" s="10"/>
      <c r="L19" s="14"/>
      <c r="M19" s="10"/>
      <c r="N19" s="10"/>
      <c r="O19" s="10"/>
      <c r="T19">
        <v>15</v>
      </c>
      <c r="U19" s="28">
        <f>E83</f>
        <v>0</v>
      </c>
      <c r="V19" t="s">
        <v>77</v>
      </c>
      <c r="W19" s="29">
        <f>E85</f>
        <v>0</v>
      </c>
      <c r="Z19" s="34"/>
      <c r="AA19" s="40"/>
      <c r="AB19" s="40"/>
      <c r="AC19" s="38" t="s">
        <v>159</v>
      </c>
      <c r="AD19" s="48"/>
      <c r="AE19" s="53" t="e">
        <f>LOOKUP(AD19,T$5:T$78,U$5:U$58)</f>
        <v>#N/A</v>
      </c>
      <c r="AF19" s="37" t="s">
        <v>157</v>
      </c>
      <c r="AG19" s="65" t="e">
        <f>LOOKUP(AD19,T$5:T$78,W$5:W$59)</f>
        <v>#N/A</v>
      </c>
    </row>
    <row r="20" spans="4:33" ht="13" thickBot="1">
      <c r="D20">
        <v>7</v>
      </c>
      <c r="E20" s="10"/>
      <c r="F20" s="11"/>
      <c r="G20" s="10"/>
      <c r="H20" s="10"/>
      <c r="I20" s="10"/>
      <c r="J20" s="10"/>
      <c r="K20" s="10"/>
      <c r="L20" s="14" t="s">
        <v>259</v>
      </c>
      <c r="M20" s="9" t="str">
        <f>IF(OR(L13="",L26=""),"",+IF(L13&gt;L26,K13,K26))</f>
        <v/>
      </c>
      <c r="N20" s="17"/>
      <c r="O20" s="10"/>
      <c r="T20">
        <v>16</v>
      </c>
      <c r="U20" s="28">
        <f>E92</f>
        <v>0</v>
      </c>
      <c r="V20" t="s">
        <v>77</v>
      </c>
      <c r="W20" s="29">
        <f>E94</f>
        <v>0</v>
      </c>
      <c r="Z20" s="34"/>
      <c r="AA20" s="40"/>
      <c r="AB20" s="40"/>
      <c r="AC20" s="38" t="s">
        <v>159</v>
      </c>
      <c r="AD20" s="48"/>
      <c r="AE20" s="53" t="e">
        <f>LOOKUP(AD20,T$5:T$78,U$5:U$58)</f>
        <v>#N/A</v>
      </c>
      <c r="AF20" s="37" t="s">
        <v>157</v>
      </c>
      <c r="AG20" s="65" t="e">
        <f>LOOKUP(AD20,T$5:T$78,W$5:W$59)</f>
        <v>#N/A</v>
      </c>
    </row>
    <row r="21" spans="4:33" ht="13" thickBot="1">
      <c r="E21" s="12"/>
      <c r="F21" s="13" t="s">
        <v>206</v>
      </c>
      <c r="G21" s="9" t="str">
        <f>IF(OR(F20="",F22=""),"",+IF(F20&gt;F22,E20,E22))</f>
        <v/>
      </c>
      <c r="H21" s="17"/>
      <c r="I21" s="10"/>
      <c r="J21" s="10"/>
      <c r="K21" s="10"/>
      <c r="L21" s="14"/>
      <c r="M21" s="10"/>
      <c r="N21" s="14"/>
      <c r="O21" s="10"/>
      <c r="T21">
        <v>17</v>
      </c>
      <c r="U21" s="28">
        <f>E96</f>
        <v>0</v>
      </c>
      <c r="V21" t="s">
        <v>77</v>
      </c>
      <c r="W21" s="29">
        <f>E98</f>
        <v>0</v>
      </c>
      <c r="Z21" s="34"/>
      <c r="AA21" s="40"/>
      <c r="AB21" s="40"/>
      <c r="AC21" s="38" t="s">
        <v>159</v>
      </c>
      <c r="AD21" s="48"/>
      <c r="AE21" s="53" t="e">
        <f>LOOKUP(AD21,T$5:T$78,U$5:U$58)</f>
        <v>#N/A</v>
      </c>
      <c r="AF21" s="37" t="s">
        <v>157</v>
      </c>
      <c r="AG21" s="65" t="e">
        <f>LOOKUP(AD21,T$5:T$78,W$5:W$59)</f>
        <v>#N/A</v>
      </c>
    </row>
    <row r="22" spans="4:33" ht="13" thickBot="1">
      <c r="D22">
        <v>8</v>
      </c>
      <c r="E22" s="10"/>
      <c r="F22" s="16"/>
      <c r="G22" s="10"/>
      <c r="H22" s="14"/>
      <c r="I22" s="10"/>
      <c r="J22" s="10"/>
      <c r="K22" s="10"/>
      <c r="L22" s="14"/>
      <c r="M22" s="10"/>
      <c r="N22" s="14"/>
      <c r="O22" s="10"/>
      <c r="T22">
        <v>18</v>
      </c>
      <c r="U22" s="28">
        <f>E102</f>
        <v>0</v>
      </c>
      <c r="V22" t="s">
        <v>77</v>
      </c>
      <c r="W22" s="29">
        <f>E104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0"/>
      <c r="G23" s="10"/>
      <c r="H23" s="14" t="s">
        <v>248</v>
      </c>
      <c r="I23" s="9" t="str">
        <f>IF(OR(H21="",H25=""),"",+IF(H21&gt;H25,G21,G25))</f>
        <v/>
      </c>
      <c r="J23" s="17"/>
      <c r="K23" s="10"/>
      <c r="L23" s="14"/>
      <c r="M23" s="10"/>
      <c r="N23" s="14"/>
      <c r="O23" s="10"/>
      <c r="T23">
        <v>19</v>
      </c>
      <c r="U23" s="28">
        <f>E106</f>
        <v>0</v>
      </c>
      <c r="V23" t="s">
        <v>77</v>
      </c>
      <c r="W23" s="29">
        <f>E108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10"/>
      <c r="F24" s="11"/>
      <c r="G24" s="10"/>
      <c r="H24" s="14"/>
      <c r="I24" s="10"/>
      <c r="J24" s="14"/>
      <c r="K24" s="10"/>
      <c r="L24" s="14"/>
      <c r="M24" s="10"/>
      <c r="N24" s="14"/>
      <c r="O24" s="10"/>
      <c r="T24">
        <v>20</v>
      </c>
      <c r="U24" s="28">
        <f>E110</f>
        <v>0</v>
      </c>
      <c r="V24" t="s">
        <v>77</v>
      </c>
      <c r="W24" s="29">
        <f>E112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E25" s="12"/>
      <c r="F25" s="13" t="s">
        <v>208</v>
      </c>
      <c r="G25" s="9" t="str">
        <f>IF(OR(F24="",F26=""),"",+IF(F24&gt;F26,E24,E26))</f>
        <v/>
      </c>
      <c r="H25" s="16"/>
      <c r="I25" s="10"/>
      <c r="J25" s="14"/>
      <c r="K25" s="10"/>
      <c r="L25" s="14"/>
      <c r="M25" s="10"/>
      <c r="N25" s="14"/>
      <c r="O25" s="10"/>
      <c r="T25">
        <v>21</v>
      </c>
      <c r="U25" s="28">
        <f>E7</f>
        <v>0</v>
      </c>
      <c r="V25" t="s">
        <v>77</v>
      </c>
      <c r="W25" s="29" t="s">
        <v>78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16"/>
      <c r="G26" s="10"/>
      <c r="H26" s="10"/>
      <c r="I26" s="10"/>
      <c r="J26" s="14" t="s">
        <v>231</v>
      </c>
      <c r="K26" s="9" t="str">
        <f>IF(OR(J23="",J31=""),"",+IF(J23&gt;J31,I23,I31))</f>
        <v/>
      </c>
      <c r="L26" s="16"/>
      <c r="M26" s="10"/>
      <c r="N26" s="14"/>
      <c r="O26" s="10"/>
      <c r="T26">
        <v>22</v>
      </c>
      <c r="U26" s="28" t="s">
        <v>160</v>
      </c>
      <c r="V26" t="s">
        <v>77</v>
      </c>
      <c r="W26" s="29">
        <f>E18</f>
        <v>0</v>
      </c>
      <c r="Z26" s="34"/>
      <c r="AA26" s="40"/>
      <c r="AB26" s="40"/>
      <c r="AC26" s="38" t="s">
        <v>159</v>
      </c>
      <c r="AD26" s="48"/>
      <c r="AE26" s="53" t="e">
        <f>LOOKUP(AD26,T$5:T$78,U$5:U$58)</f>
        <v>#N/A</v>
      </c>
      <c r="AF26" s="37" t="s">
        <v>157</v>
      </c>
      <c r="AG26" s="65" t="e">
        <f>LOOKUP(AD26,T$5:T$78,W$5:W$59)</f>
        <v>#N/A</v>
      </c>
    </row>
    <row r="27" spans="4:33">
      <c r="E27" s="12"/>
      <c r="F27" s="10"/>
      <c r="G27" s="10"/>
      <c r="H27" s="10"/>
      <c r="I27" s="10"/>
      <c r="J27" s="14"/>
      <c r="K27" s="10"/>
      <c r="L27" s="10"/>
      <c r="M27" s="10"/>
      <c r="N27" s="14"/>
      <c r="O27" s="10"/>
      <c r="T27">
        <v>23</v>
      </c>
      <c r="U27" s="28" t="s">
        <v>161</v>
      </c>
      <c r="V27" t="s">
        <v>77</v>
      </c>
      <c r="W27" s="29" t="s">
        <v>81</v>
      </c>
      <c r="Z27" s="34"/>
      <c r="AA27" s="40"/>
      <c r="AB27" s="40"/>
      <c r="AC27" s="38" t="s">
        <v>159</v>
      </c>
      <c r="AD27" s="48"/>
      <c r="AE27" s="53" t="e">
        <f>LOOKUP(AD27,T$5:T$78,U$5:U$58)</f>
        <v>#N/A</v>
      </c>
      <c r="AF27" s="37" t="s">
        <v>157</v>
      </c>
      <c r="AG27" s="65" t="e">
        <f>LOOKUP(AD27,T$5:T$78,W$5:W$59)</f>
        <v>#N/A</v>
      </c>
    </row>
    <row r="28" spans="4:33" ht="13" thickBot="1">
      <c r="D28">
        <v>11</v>
      </c>
      <c r="E28" s="10"/>
      <c r="F28" s="11"/>
      <c r="G28" s="10"/>
      <c r="H28" s="10"/>
      <c r="I28" s="10"/>
      <c r="J28" s="14"/>
      <c r="K28" s="10"/>
      <c r="L28" s="10"/>
      <c r="M28" s="10"/>
      <c r="N28" s="14"/>
      <c r="O28" s="10"/>
      <c r="T28">
        <v>24</v>
      </c>
      <c r="U28" s="28" t="s">
        <v>162</v>
      </c>
      <c r="V28" t="s">
        <v>77</v>
      </c>
      <c r="W28" s="29">
        <f>E32</f>
        <v>0</v>
      </c>
      <c r="Z28" s="34"/>
      <c r="AA28" s="40"/>
      <c r="AB28" s="40"/>
      <c r="AC28" s="38" t="s">
        <v>159</v>
      </c>
      <c r="AD28" s="48"/>
      <c r="AE28" s="53" t="e">
        <f>LOOKUP(AD28,T$5:T$78,U$5:U$58)</f>
        <v>#N/A</v>
      </c>
      <c r="AF28" s="37" t="s">
        <v>157</v>
      </c>
      <c r="AG28" s="65" t="e">
        <f>LOOKUP(AD28,T$5:T$78,W$5:W$59)</f>
        <v>#N/A</v>
      </c>
    </row>
    <row r="29" spans="4:33" ht="13" thickBot="1">
      <c r="E29" s="12"/>
      <c r="F29" s="13" t="s">
        <v>210</v>
      </c>
      <c r="G29" s="9" t="str">
        <f>IF(OR(F28="",F30=""),"",+IF(F28&gt;F30,E28,E30))</f>
        <v/>
      </c>
      <c r="H29" s="11"/>
      <c r="I29" s="10"/>
      <c r="J29" s="14"/>
      <c r="K29" s="10"/>
      <c r="L29" s="10"/>
      <c r="M29" s="10"/>
      <c r="N29" s="14"/>
      <c r="O29" s="10"/>
      <c r="T29">
        <v>25</v>
      </c>
      <c r="U29" s="28">
        <f>E34</f>
        <v>0</v>
      </c>
      <c r="V29" t="s">
        <v>77</v>
      </c>
      <c r="W29" s="29" t="s">
        <v>163</v>
      </c>
      <c r="Z29" s="34"/>
      <c r="AA29" s="40"/>
      <c r="AB29" s="40"/>
      <c r="AC29" s="38" t="s">
        <v>159</v>
      </c>
      <c r="AD29" s="48"/>
      <c r="AE29" s="53" t="e">
        <f>LOOKUP(AD29,T$5:T$78,U$5:U$58)</f>
        <v>#N/A</v>
      </c>
      <c r="AF29" s="37" t="s">
        <v>157</v>
      </c>
      <c r="AG29" s="65" t="e">
        <f>LOOKUP(AD29,T$5:T$78,W$5:W$59)</f>
        <v>#N/A</v>
      </c>
    </row>
    <row r="30" spans="4:33" ht="13" thickBot="1">
      <c r="D30">
        <v>12</v>
      </c>
      <c r="E30" s="9"/>
      <c r="F30" s="16"/>
      <c r="G30" s="10"/>
      <c r="H30" s="13"/>
      <c r="I30" s="10"/>
      <c r="J30" s="14"/>
      <c r="K30" s="10"/>
      <c r="L30" s="10"/>
      <c r="M30" s="10"/>
      <c r="N30" s="14"/>
      <c r="O30" s="10"/>
      <c r="T30">
        <v>26</v>
      </c>
      <c r="U30" s="28" t="s">
        <v>84</v>
      </c>
      <c r="V30" t="s">
        <v>77</v>
      </c>
      <c r="W30" s="29">
        <f>E45</f>
        <v>0</v>
      </c>
      <c r="Z30" s="34"/>
      <c r="AA30" s="41"/>
      <c r="AB30" s="33"/>
      <c r="AC30" s="33"/>
      <c r="AD30" s="50"/>
      <c r="AE30" s="54"/>
      <c r="AF30" s="33"/>
      <c r="AG30" s="58"/>
    </row>
    <row r="31" spans="4:33" ht="13" thickBot="1">
      <c r="E31" s="10"/>
      <c r="F31" s="10"/>
      <c r="G31" s="10"/>
      <c r="H31" s="14" t="s">
        <v>250</v>
      </c>
      <c r="I31" s="9" t="str">
        <f>IF(OR(H29="",H32=""),"",+IF(H29&gt;H32,G29,E32))</f>
        <v/>
      </c>
      <c r="J31" s="16"/>
      <c r="K31" s="10"/>
      <c r="L31" s="10"/>
      <c r="M31" s="10"/>
      <c r="N31" s="14"/>
      <c r="O31" s="10"/>
      <c r="T31">
        <v>27</v>
      </c>
      <c r="U31" s="28" t="s">
        <v>164</v>
      </c>
      <c r="V31" t="s">
        <v>77</v>
      </c>
      <c r="W31" s="29" t="s">
        <v>200</v>
      </c>
      <c r="Z31" s="34"/>
      <c r="AA31" s="40"/>
      <c r="AB31" s="40"/>
      <c r="AC31" s="38" t="s">
        <v>159</v>
      </c>
      <c r="AD31" s="48"/>
      <c r="AE31" s="53" t="e">
        <f>LOOKUP(AD31,T$5:T$78,U$5:U$58)</f>
        <v>#N/A</v>
      </c>
      <c r="AF31" s="37" t="s">
        <v>157</v>
      </c>
      <c r="AG31" s="65" t="e">
        <f>LOOKUP(AD31,T$5:T$78,W$5:W$59)</f>
        <v>#N/A</v>
      </c>
    </row>
    <row r="32" spans="4:33" ht="13" thickBot="1">
      <c r="D32">
        <v>13</v>
      </c>
      <c r="E32" s="9"/>
      <c r="F32" s="9"/>
      <c r="G32" s="9">
        <f>E32</f>
        <v>0</v>
      </c>
      <c r="H32" s="16"/>
      <c r="I32" s="10"/>
      <c r="J32" s="10"/>
      <c r="K32" s="10"/>
      <c r="L32" s="10"/>
      <c r="M32" s="10"/>
      <c r="N32" s="14"/>
      <c r="O32" s="10"/>
      <c r="T32">
        <v>28</v>
      </c>
      <c r="U32" s="29" t="s">
        <v>87</v>
      </c>
      <c r="V32" t="s">
        <v>77</v>
      </c>
      <c r="W32" s="29">
        <f>E59</f>
        <v>0</v>
      </c>
      <c r="Z32" s="34"/>
      <c r="AA32" s="40"/>
      <c r="AB32" s="40"/>
      <c r="AC32" s="38" t="s">
        <v>159</v>
      </c>
      <c r="AD32" s="48"/>
      <c r="AE32" s="53" t="e">
        <f>LOOKUP(AD32,T$5:T$78,U$5:U$58)</f>
        <v>#N/A</v>
      </c>
      <c r="AF32" s="37" t="s">
        <v>157</v>
      </c>
      <c r="AG32" s="65" t="e">
        <f>LOOKUP(AD32,T$5:T$78,W$5:W$59)</f>
        <v>#N/A</v>
      </c>
    </row>
    <row r="33" spans="4:33" ht="13" thickBot="1">
      <c r="E33" s="10"/>
      <c r="F33" s="10"/>
      <c r="G33" s="10"/>
      <c r="H33" s="10"/>
      <c r="I33" s="10"/>
      <c r="J33" s="10"/>
      <c r="K33" s="10"/>
      <c r="L33" s="10"/>
      <c r="M33" s="10"/>
      <c r="N33" s="14" t="s">
        <v>226</v>
      </c>
      <c r="O33" s="9" t="str">
        <f>IF(OR(N20="",N47=""),"",+IF(N20&gt;N47,M20,M47))</f>
        <v/>
      </c>
      <c r="P33" s="7"/>
      <c r="R33" s="29"/>
      <c r="T33">
        <v>29</v>
      </c>
      <c r="U33" s="28">
        <f>E62</f>
        <v>0</v>
      </c>
      <c r="V33" t="s">
        <v>77</v>
      </c>
      <c r="W33" s="29" t="s">
        <v>88</v>
      </c>
      <c r="Z33" s="34"/>
      <c r="AA33" s="40"/>
      <c r="AB33" s="40"/>
      <c r="AC33" s="38" t="s">
        <v>159</v>
      </c>
      <c r="AD33" s="48"/>
      <c r="AE33" s="53" t="e">
        <f>LOOKUP(AD33,T$5:T$78,U$5:U$58)</f>
        <v>#N/A</v>
      </c>
      <c r="AF33" s="37" t="s">
        <v>157</v>
      </c>
      <c r="AG33" s="65" t="e">
        <f>LOOKUP(AD33,T$5:T$78,W$5:W$59)</f>
        <v>#N/A</v>
      </c>
    </row>
    <row r="34" spans="4:33" ht="13" thickBot="1">
      <c r="D34">
        <v>14</v>
      </c>
      <c r="E34" s="10"/>
      <c r="F34" s="9"/>
      <c r="G34" s="9">
        <f>E34</f>
        <v>0</v>
      </c>
      <c r="H34" s="11"/>
      <c r="I34" s="10"/>
      <c r="J34" s="10"/>
      <c r="K34" s="10"/>
      <c r="L34" s="10"/>
      <c r="M34" s="10"/>
      <c r="N34" s="14"/>
      <c r="O34" s="10"/>
      <c r="Q34" s="8"/>
      <c r="T34">
        <v>30</v>
      </c>
      <c r="U34" s="28" t="s">
        <v>89</v>
      </c>
      <c r="V34" t="s">
        <v>77</v>
      </c>
      <c r="W34" s="29">
        <f>E73</f>
        <v>0</v>
      </c>
      <c r="Z34" s="34"/>
      <c r="AA34" s="40"/>
      <c r="AB34" s="40"/>
      <c r="AC34" s="38" t="s">
        <v>159</v>
      </c>
      <c r="AD34" s="48"/>
      <c r="AE34" s="53" t="e">
        <f>LOOKUP(AD34,T$5:T$78,U$5:U$58)</f>
        <v>#N/A</v>
      </c>
      <c r="AF34" s="37" t="s">
        <v>157</v>
      </c>
      <c r="AG34" s="65" t="e">
        <f>LOOKUP(AD34,T$5:T$78,W$5:W$59)</f>
        <v>#N/A</v>
      </c>
    </row>
    <row r="35" spans="4:33">
      <c r="E35" s="12"/>
      <c r="F35" s="10"/>
      <c r="G35" s="10"/>
      <c r="H35" s="13"/>
      <c r="I35" s="10"/>
      <c r="J35" s="10"/>
      <c r="K35" s="10"/>
      <c r="L35" s="10"/>
      <c r="M35" s="10"/>
      <c r="N35" s="14"/>
      <c r="O35" s="10"/>
      <c r="Q35" s="8"/>
      <c r="T35">
        <v>31</v>
      </c>
      <c r="U35" s="28" t="s">
        <v>90</v>
      </c>
      <c r="V35" t="s">
        <v>77</v>
      </c>
      <c r="W35" s="29" t="s">
        <v>91</v>
      </c>
      <c r="Z35" s="34"/>
      <c r="AA35" s="41"/>
      <c r="AB35" s="33"/>
      <c r="AC35" s="33"/>
      <c r="AD35" s="50"/>
      <c r="AE35" s="54"/>
      <c r="AF35" s="33"/>
      <c r="AG35" s="58"/>
    </row>
    <row r="36" spans="4:33" ht="13" thickBot="1">
      <c r="E36" s="10"/>
      <c r="F36" s="10"/>
      <c r="G36" s="10"/>
      <c r="H36" s="14" t="s">
        <v>252</v>
      </c>
      <c r="I36" s="9" t="str">
        <f>IF(OR(H34="",H38=""),"",+IF(H34&gt;H38,G34,G38))</f>
        <v/>
      </c>
      <c r="J36" s="11"/>
      <c r="K36" s="10"/>
      <c r="L36" s="10"/>
      <c r="M36" s="10"/>
      <c r="N36" s="14"/>
      <c r="O36" s="10"/>
      <c r="Q36" s="8"/>
      <c r="T36">
        <v>32</v>
      </c>
      <c r="U36" s="28" t="s">
        <v>92</v>
      </c>
      <c r="V36" t="s">
        <v>77</v>
      </c>
      <c r="W36" s="29">
        <f>E87</f>
        <v>0</v>
      </c>
      <c r="Z36" s="34"/>
      <c r="AA36" s="40"/>
      <c r="AB36" s="40"/>
      <c r="AC36" s="38" t="s">
        <v>159</v>
      </c>
      <c r="AD36" s="48"/>
      <c r="AE36" s="53" t="e">
        <f>LOOKUP(AD36,T$5:T$78,U$5:U$58)</f>
        <v>#N/A</v>
      </c>
      <c r="AF36" s="37" t="s">
        <v>157</v>
      </c>
      <c r="AG36" s="65" t="e">
        <f>LOOKUP(AD36,T$5:T$78,W$5:W$59)</f>
        <v>#N/A</v>
      </c>
    </row>
    <row r="37" spans="4:33" ht="13" thickBot="1">
      <c r="D37">
        <v>15</v>
      </c>
      <c r="E37" s="10"/>
      <c r="F37" s="11"/>
      <c r="G37" s="10"/>
      <c r="H37" s="14"/>
      <c r="I37" s="10"/>
      <c r="J37" s="13"/>
      <c r="K37" s="10"/>
      <c r="L37" s="10"/>
      <c r="M37" s="10"/>
      <c r="N37" s="14"/>
      <c r="O37" s="10"/>
      <c r="Q37" s="8"/>
      <c r="R37" s="29"/>
      <c r="T37">
        <v>33</v>
      </c>
      <c r="U37" s="28">
        <f>E89</f>
        <v>0</v>
      </c>
      <c r="V37" t="s">
        <v>77</v>
      </c>
      <c r="W37" s="29" t="s">
        <v>165</v>
      </c>
      <c r="Z37" s="34"/>
      <c r="AA37" s="40"/>
      <c r="AB37" s="40"/>
      <c r="AC37" s="38" t="s">
        <v>159</v>
      </c>
      <c r="AD37" s="48"/>
      <c r="AE37" s="53" t="e">
        <f>LOOKUP(AD37,T$5:T$78,U$5:U$58)</f>
        <v>#N/A</v>
      </c>
      <c r="AF37" s="37" t="s">
        <v>157</v>
      </c>
      <c r="AG37" s="65" t="e">
        <f>LOOKUP(AD37,T$5:T$78,W$5:W$59)</f>
        <v>#N/A</v>
      </c>
    </row>
    <row r="38" spans="4:33" ht="13" thickBot="1">
      <c r="E38" s="12"/>
      <c r="F38" s="13" t="s">
        <v>212</v>
      </c>
      <c r="G38" s="9" t="str">
        <f>IF(OR(F37="",F39=""),"",+IF(F37&gt;F39,E37,E39))</f>
        <v/>
      </c>
      <c r="H38" s="16"/>
      <c r="I38" s="10"/>
      <c r="J38" s="14"/>
      <c r="K38" s="10"/>
      <c r="L38" s="10"/>
      <c r="M38" s="10"/>
      <c r="N38" s="14"/>
      <c r="O38" s="10"/>
      <c r="Q38" s="8"/>
      <c r="T38">
        <v>34</v>
      </c>
      <c r="U38" s="28" t="s">
        <v>94</v>
      </c>
      <c r="V38" t="s">
        <v>77</v>
      </c>
      <c r="W38" s="29">
        <f>E100</f>
        <v>0</v>
      </c>
      <c r="Z38" s="34"/>
      <c r="AA38" s="40"/>
      <c r="AB38" s="40"/>
      <c r="AC38" s="38" t="s">
        <v>159</v>
      </c>
      <c r="AD38" s="48"/>
      <c r="AE38" s="53" t="e">
        <f>LOOKUP(AD38,T$5:T$78,U$5:U$58)</f>
        <v>#N/A</v>
      </c>
      <c r="AF38" s="37" t="s">
        <v>157</v>
      </c>
      <c r="AG38" s="65" t="e">
        <f>LOOKUP(AD38,T$5:T$78,W$5:W$59)</f>
        <v>#N/A</v>
      </c>
    </row>
    <row r="39" spans="4:33" ht="13" thickBot="1">
      <c r="D39">
        <v>16</v>
      </c>
      <c r="E39" s="10"/>
      <c r="F39" s="16"/>
      <c r="G39" s="10"/>
      <c r="H39" s="10"/>
      <c r="I39" s="10"/>
      <c r="J39" s="14"/>
      <c r="K39" s="10"/>
      <c r="L39" s="10"/>
      <c r="M39" s="10"/>
      <c r="N39" s="14"/>
      <c r="O39" s="10"/>
      <c r="Q39" s="8"/>
      <c r="R39" s="29"/>
      <c r="T39">
        <v>35</v>
      </c>
      <c r="U39" s="28" t="s">
        <v>95</v>
      </c>
      <c r="V39" t="s">
        <v>77</v>
      </c>
      <c r="W39" s="29" t="s">
        <v>96</v>
      </c>
      <c r="Z39" s="34"/>
      <c r="AA39" s="33"/>
      <c r="AB39" s="33"/>
      <c r="AC39" s="33"/>
      <c r="AD39" s="50"/>
      <c r="AE39" s="64" t="e">
        <f>LOOKUP(AD39,T$5:T$78,U$5:U$58)</f>
        <v>#N/A</v>
      </c>
      <c r="AF39" s="33"/>
      <c r="AG39" s="59"/>
    </row>
    <row r="40" spans="4:33" ht="13" thickBot="1">
      <c r="E40" s="12"/>
      <c r="F40" s="10"/>
      <c r="G40" s="10"/>
      <c r="H40" s="10"/>
      <c r="I40" s="10"/>
      <c r="J40" s="14" t="s">
        <v>235</v>
      </c>
      <c r="K40" s="9" t="str">
        <f>IF(OR(J36="",J44=""),"",+IF(J36&gt;J44,I36,I44))</f>
        <v/>
      </c>
      <c r="L40" s="17"/>
      <c r="M40" s="10"/>
      <c r="N40" s="14"/>
      <c r="O40" s="10"/>
      <c r="Q40" s="8"/>
      <c r="T40">
        <v>36</v>
      </c>
      <c r="U40" s="28" t="s">
        <v>97</v>
      </c>
      <c r="V40" t="s">
        <v>77</v>
      </c>
      <c r="W40" s="29">
        <f>E114</f>
        <v>0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10"/>
      <c r="F41" s="11"/>
      <c r="G41" s="10"/>
      <c r="H41" s="10"/>
      <c r="I41" s="10"/>
      <c r="J41" s="14"/>
      <c r="K41" s="10"/>
      <c r="L41" s="13"/>
      <c r="M41" s="10"/>
      <c r="N41" s="14"/>
      <c r="O41" s="10"/>
      <c r="Q41" s="8"/>
      <c r="R41" s="29"/>
      <c r="T41">
        <v>37</v>
      </c>
      <c r="U41" s="28" t="s">
        <v>98</v>
      </c>
      <c r="V41" t="s">
        <v>77</v>
      </c>
      <c r="W41" s="29" t="s">
        <v>99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2"/>
      <c r="F42" s="13" t="s">
        <v>214</v>
      </c>
      <c r="G42" s="9" t="str">
        <f>IF(OR(F41="",F43=""),"",+IF(F41&gt;F43,E41,E43))</f>
        <v/>
      </c>
      <c r="H42" s="11"/>
      <c r="I42" s="10"/>
      <c r="J42" s="14"/>
      <c r="K42" s="10"/>
      <c r="L42" s="14"/>
      <c r="M42" s="10"/>
      <c r="N42" s="14"/>
      <c r="O42" s="10"/>
      <c r="Q42" s="8"/>
      <c r="T42">
        <v>38</v>
      </c>
      <c r="U42" s="28" t="s">
        <v>100</v>
      </c>
      <c r="V42" t="s">
        <v>77</v>
      </c>
      <c r="W42" s="29" t="s">
        <v>101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9"/>
      <c r="F43" s="16"/>
      <c r="G43" s="10"/>
      <c r="H43" s="13"/>
      <c r="I43" s="10"/>
      <c r="J43" s="14"/>
      <c r="K43" s="10"/>
      <c r="L43" s="14"/>
      <c r="M43" s="10"/>
      <c r="N43" s="14"/>
      <c r="O43" s="10"/>
      <c r="Q43" s="8"/>
      <c r="T43">
        <v>39</v>
      </c>
      <c r="U43" s="28" t="s">
        <v>102</v>
      </c>
      <c r="V43" t="s">
        <v>77</v>
      </c>
      <c r="W43" s="29" t="s">
        <v>103</v>
      </c>
      <c r="Z43" s="34"/>
      <c r="AA43" s="40"/>
      <c r="AB43" s="40"/>
      <c r="AC43" s="38" t="s">
        <v>159</v>
      </c>
      <c r="AD43" s="48"/>
      <c r="AE43" s="53" t="e">
        <f>LOOKUP(AD43,T$5:T$78,U$5:U$58)</f>
        <v>#N/A</v>
      </c>
      <c r="AF43" s="37" t="s">
        <v>157</v>
      </c>
      <c r="AG43" s="65" t="e">
        <f>LOOKUP(AD43,T$5:T$78,W$5:W$59)</f>
        <v>#N/A</v>
      </c>
    </row>
    <row r="44" spans="4:33" ht="13" thickBot="1">
      <c r="E44" s="10"/>
      <c r="F44" s="10"/>
      <c r="G44" s="10"/>
      <c r="H44" s="14" t="s">
        <v>254</v>
      </c>
      <c r="I44" s="9" t="str">
        <f>IF(OR(H42="",H45=""),"",+IF(H42&gt;H45,G42,E45))</f>
        <v/>
      </c>
      <c r="J44" s="16"/>
      <c r="K44" s="10"/>
      <c r="L44" s="14"/>
      <c r="M44" s="10"/>
      <c r="N44" s="14"/>
      <c r="O44" s="10"/>
      <c r="Q44" s="8"/>
      <c r="T44">
        <v>40</v>
      </c>
      <c r="U44" s="28" t="s">
        <v>104</v>
      </c>
      <c r="V44" t="s">
        <v>77</v>
      </c>
      <c r="W44" s="29" t="s">
        <v>105</v>
      </c>
      <c r="Z44" s="34"/>
      <c r="AA44" s="40"/>
      <c r="AB44" s="40"/>
      <c r="AC44" s="38" t="s">
        <v>159</v>
      </c>
      <c r="AD44" s="48"/>
      <c r="AE44" s="53" t="e">
        <f>LOOKUP(AD44,T$5:T$78,U$5:U$58)</f>
        <v>#N/A</v>
      </c>
      <c r="AF44" s="37" t="s">
        <v>157</v>
      </c>
      <c r="AG44" s="65" t="e">
        <f>LOOKUP(AD44,T$5:T$78,W$5:W$59)</f>
        <v>#N/A</v>
      </c>
    </row>
    <row r="45" spans="4:33" ht="13" thickBot="1">
      <c r="D45">
        <v>19</v>
      </c>
      <c r="E45" s="9"/>
      <c r="F45" s="9"/>
      <c r="G45" s="9">
        <f>E45</f>
        <v>0</v>
      </c>
      <c r="H45" s="16"/>
      <c r="I45" s="10"/>
      <c r="J45" s="10"/>
      <c r="K45" s="10"/>
      <c r="L45" s="14"/>
      <c r="M45" s="10"/>
      <c r="N45" s="14"/>
      <c r="O45" s="10"/>
      <c r="Q45" s="8"/>
      <c r="T45">
        <v>41</v>
      </c>
      <c r="U45" s="28" t="s">
        <v>106</v>
      </c>
      <c r="V45" t="s">
        <v>77</v>
      </c>
      <c r="W45" s="29" t="s">
        <v>107</v>
      </c>
      <c r="Z45" s="34"/>
      <c r="AA45" s="40"/>
      <c r="AB45" s="40"/>
      <c r="AC45" s="38" t="s">
        <v>159</v>
      </c>
      <c r="AD45" s="48"/>
      <c r="AE45" s="53" t="e">
        <f>LOOKUP(AD45,T$5:T$78,U$5:U$58)</f>
        <v>#N/A</v>
      </c>
      <c r="AF45" s="37" t="s">
        <v>157</v>
      </c>
      <c r="AG45" s="65" t="e">
        <f>LOOKUP(AD45,T$5:T$78,W$5:W$59)</f>
        <v>#N/A</v>
      </c>
    </row>
    <row r="46" spans="4:33">
      <c r="E46" s="10"/>
      <c r="F46" s="10"/>
      <c r="G46" s="10"/>
      <c r="H46" s="10"/>
      <c r="I46" s="10"/>
      <c r="J46" s="10"/>
      <c r="K46" s="10"/>
      <c r="L46" s="14"/>
      <c r="M46" s="10"/>
      <c r="N46" s="14"/>
      <c r="O46" s="10"/>
      <c r="Q46" s="8"/>
      <c r="T46">
        <v>42</v>
      </c>
      <c r="U46" s="28" t="s">
        <v>108</v>
      </c>
      <c r="V46" t="s">
        <v>77</v>
      </c>
      <c r="W46" s="29" t="s">
        <v>109</v>
      </c>
      <c r="Z46" s="34"/>
      <c r="AA46" s="40"/>
      <c r="AB46" s="40"/>
      <c r="AC46" s="38" t="s">
        <v>159</v>
      </c>
      <c r="AD46" s="48"/>
      <c r="AE46" s="53" t="e">
        <f>LOOKUP(AD46,T$5:T$78,U$5:U$58)</f>
        <v>#N/A</v>
      </c>
      <c r="AF46" s="37" t="s">
        <v>157</v>
      </c>
      <c r="AG46" s="65" t="e">
        <f>LOOKUP(AD46,T$5:T$78,W$5:W$59)</f>
        <v>#N/A</v>
      </c>
    </row>
    <row r="47" spans="4:33" ht="13" thickBot="1">
      <c r="D47">
        <v>20</v>
      </c>
      <c r="E47" s="10"/>
      <c r="F47" s="11"/>
      <c r="G47" s="10"/>
      <c r="H47" s="10"/>
      <c r="I47" s="10"/>
      <c r="J47" s="10"/>
      <c r="K47" s="10"/>
      <c r="L47" s="14" t="s">
        <v>203</v>
      </c>
      <c r="M47" s="9" t="str">
        <f>IF(OR(L40="",L53=""),"",+IF(L39&gt;L53,K40,K53))</f>
        <v/>
      </c>
      <c r="N47" s="16"/>
      <c r="O47" s="10"/>
      <c r="Q47" s="8"/>
      <c r="T47">
        <v>43</v>
      </c>
      <c r="U47" s="28" t="s">
        <v>110</v>
      </c>
      <c r="V47" t="s">
        <v>77</v>
      </c>
      <c r="W47" s="29" t="s">
        <v>111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3" t="s">
        <v>217</v>
      </c>
      <c r="G48" s="9" t="str">
        <f>IF(OR(F47="",F49=""),"",+IF(F47&gt;F49,E47,E49))</f>
        <v/>
      </c>
      <c r="H48" s="17"/>
      <c r="I48" s="10"/>
      <c r="J48" s="10"/>
      <c r="K48" s="10"/>
      <c r="L48" s="14"/>
      <c r="M48" s="10"/>
      <c r="N48" s="10"/>
      <c r="O48" s="10"/>
      <c r="Q48" s="8"/>
      <c r="T48">
        <v>44</v>
      </c>
      <c r="U48" s="28" t="s">
        <v>112</v>
      </c>
      <c r="V48" t="s">
        <v>77</v>
      </c>
      <c r="W48" s="29" t="s">
        <v>113</v>
      </c>
      <c r="Z48" s="34"/>
      <c r="AA48" s="40"/>
      <c r="AB48" s="40"/>
      <c r="AC48" s="38" t="s">
        <v>159</v>
      </c>
      <c r="AD48" s="48"/>
      <c r="AE48" s="53" t="e">
        <f>LOOKUP(AD48,T$5:T$78,U$5:U$58)</f>
        <v>#N/A</v>
      </c>
      <c r="AF48" s="37" t="s">
        <v>157</v>
      </c>
      <c r="AG48" s="65" t="e">
        <f>LOOKUP(AD48,T$5:T$78,W$5:W$59)</f>
        <v>#N/A</v>
      </c>
    </row>
    <row r="49" spans="4:33" ht="13" thickBot="1">
      <c r="D49">
        <v>21</v>
      </c>
      <c r="E49" s="10"/>
      <c r="F49" s="16"/>
      <c r="G49" s="10"/>
      <c r="H49" s="14"/>
      <c r="I49" s="10"/>
      <c r="J49" s="10"/>
      <c r="K49" s="10"/>
      <c r="L49" s="14"/>
      <c r="M49" s="10"/>
      <c r="N49" s="10"/>
      <c r="O49" s="10"/>
      <c r="Q49" s="8"/>
      <c r="T49">
        <v>45</v>
      </c>
      <c r="U49" s="28" t="s">
        <v>114</v>
      </c>
      <c r="V49" t="s">
        <v>77</v>
      </c>
      <c r="W49" s="29" t="s">
        <v>115</v>
      </c>
      <c r="Z49" s="34"/>
      <c r="AA49" s="40"/>
      <c r="AB49" s="40"/>
      <c r="AC49" s="38" t="s">
        <v>159</v>
      </c>
      <c r="AD49" s="48"/>
      <c r="AE49" s="53" t="e">
        <f>LOOKUP(AD49,T$5:T$78,U$5:U$58)</f>
        <v>#N/A</v>
      </c>
      <c r="AF49" s="37" t="s">
        <v>157</v>
      </c>
      <c r="AG49" s="65" t="e">
        <f>LOOKUP(AD49,T$5:T$78,W$5:W$59)</f>
        <v>#N/A</v>
      </c>
    </row>
    <row r="50" spans="4:33" ht="13" thickBot="1">
      <c r="E50" s="12"/>
      <c r="F50" s="10"/>
      <c r="G50" s="10"/>
      <c r="H50" s="14" t="s">
        <v>256</v>
      </c>
      <c r="I50" s="9" t="str">
        <f>IF(OR(H48="",H52=""),"",+IF(H48&gt;H52,G48,G52))</f>
        <v/>
      </c>
      <c r="J50" s="17"/>
      <c r="K50" s="10"/>
      <c r="L50" s="14"/>
      <c r="M50" s="10"/>
      <c r="N50" s="10"/>
      <c r="O50" s="10"/>
      <c r="Q50" s="8"/>
      <c r="T50">
        <v>46</v>
      </c>
      <c r="U50" s="28" t="s">
        <v>116</v>
      </c>
      <c r="V50" t="s">
        <v>77</v>
      </c>
      <c r="W50" s="29" t="s">
        <v>117</v>
      </c>
      <c r="Z50" s="34"/>
      <c r="AA50" s="40"/>
      <c r="AB50" s="40"/>
      <c r="AC50" s="38" t="s">
        <v>159</v>
      </c>
      <c r="AD50" s="48"/>
      <c r="AE50" s="53" t="e">
        <f>LOOKUP(AD50,T$5:T$78,U$5:U$58)</f>
        <v>#N/A</v>
      </c>
      <c r="AF50" s="37" t="s">
        <v>157</v>
      </c>
      <c r="AG50" s="65" t="e">
        <f>LOOKUP(AD50,T$5:T$78,W$5:W$59)</f>
        <v>#N/A</v>
      </c>
    </row>
    <row r="51" spans="4:33" ht="13" thickBot="1">
      <c r="D51">
        <v>22</v>
      </c>
      <c r="E51" s="10"/>
      <c r="F51" s="11"/>
      <c r="G51" s="10"/>
      <c r="H51" s="14"/>
      <c r="I51" s="10"/>
      <c r="J51" s="14"/>
      <c r="K51" s="10"/>
      <c r="L51" s="14"/>
      <c r="M51" s="10"/>
      <c r="N51" s="10"/>
      <c r="O51" s="10"/>
      <c r="Q51" s="8"/>
      <c r="T51">
        <v>47</v>
      </c>
      <c r="U51" s="28" t="s">
        <v>118</v>
      </c>
      <c r="V51" t="s">
        <v>77</v>
      </c>
      <c r="W51" s="29" t="s">
        <v>119</v>
      </c>
      <c r="Z51" s="34"/>
      <c r="AA51" s="40"/>
      <c r="AB51" s="40"/>
      <c r="AC51" s="38" t="s">
        <v>159</v>
      </c>
      <c r="AD51" s="48"/>
      <c r="AE51" s="53" t="e">
        <f>LOOKUP(AD51,T$5:T$78,U$5:U$58)</f>
        <v>#N/A</v>
      </c>
      <c r="AF51" s="37" t="s">
        <v>157</v>
      </c>
      <c r="AG51" s="65" t="e">
        <f>LOOKUP(AD51,T$5:T$78,W$5:W$59)</f>
        <v>#N/A</v>
      </c>
    </row>
    <row r="52" spans="4:33" ht="13" thickBot="1">
      <c r="E52" s="12"/>
      <c r="F52" s="13" t="s">
        <v>219</v>
      </c>
      <c r="G52" s="9" t="str">
        <f>IF(OR(F51="",F53=""),"",+IF(F51&gt;F53,E51,E53))</f>
        <v/>
      </c>
      <c r="H52" s="16"/>
      <c r="I52" s="10"/>
      <c r="J52" s="14"/>
      <c r="K52" s="10"/>
      <c r="L52" s="14"/>
      <c r="M52" s="10"/>
      <c r="N52" s="10"/>
      <c r="O52" s="10"/>
      <c r="Q52" s="8"/>
      <c r="T52">
        <v>48</v>
      </c>
      <c r="U52" s="28" t="s">
        <v>120</v>
      </c>
      <c r="V52" t="s">
        <v>77</v>
      </c>
      <c r="W52" s="29" t="s">
        <v>121</v>
      </c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23</v>
      </c>
      <c r="E53" s="10"/>
      <c r="F53" s="16"/>
      <c r="G53" s="10"/>
      <c r="H53" s="10"/>
      <c r="I53" s="10"/>
      <c r="J53" s="14" t="s">
        <v>239</v>
      </c>
      <c r="K53" s="9" t="str">
        <f>IF(OR(J50="",J58=""),"",+IF(J50&gt;J58,I50,I58))</f>
        <v/>
      </c>
      <c r="L53" s="16"/>
      <c r="M53" s="10"/>
      <c r="N53" s="10"/>
      <c r="O53" s="10"/>
      <c r="Q53" s="8"/>
      <c r="T53">
        <v>49</v>
      </c>
      <c r="U53" s="28" t="s">
        <v>122</v>
      </c>
      <c r="V53" t="s">
        <v>77</v>
      </c>
      <c r="W53" s="29" t="s">
        <v>123</v>
      </c>
      <c r="Z53" s="34"/>
      <c r="AA53" s="40"/>
      <c r="AB53" s="40"/>
      <c r="AC53" s="38" t="s">
        <v>159</v>
      </c>
      <c r="AD53" s="48"/>
      <c r="AE53" s="53" t="e">
        <f>LOOKUP(AD53,T$5:T$78,U$5:U$58)</f>
        <v>#N/A</v>
      </c>
      <c r="AF53" s="37" t="s">
        <v>157</v>
      </c>
      <c r="AG53" s="65" t="e">
        <f>LOOKUP(AD53,T$5:T$78,W$5:W$59)</f>
        <v>#N/A</v>
      </c>
    </row>
    <row r="54" spans="4:33">
      <c r="E54" s="12"/>
      <c r="F54" s="10"/>
      <c r="G54" s="10"/>
      <c r="H54" s="10"/>
      <c r="I54" s="10"/>
      <c r="J54" s="14"/>
      <c r="K54" s="10"/>
      <c r="L54" s="10"/>
      <c r="M54" s="10"/>
      <c r="N54" s="10"/>
      <c r="O54" s="10"/>
      <c r="Q54" s="8"/>
      <c r="T54">
        <v>50</v>
      </c>
      <c r="U54" s="28" t="s">
        <v>124</v>
      </c>
      <c r="V54" t="s">
        <v>77</v>
      </c>
      <c r="W54" s="29" t="s">
        <v>125</v>
      </c>
      <c r="Z54" s="34"/>
      <c r="AA54" s="40"/>
      <c r="AB54" s="40"/>
      <c r="AC54" s="38" t="s">
        <v>159</v>
      </c>
      <c r="AD54" s="48"/>
      <c r="AE54" s="53" t="e">
        <f>LOOKUP(AD54,T$5:T$78,U$5:U$58)</f>
        <v>#N/A</v>
      </c>
      <c r="AF54" s="37" t="s">
        <v>157</v>
      </c>
      <c r="AG54" s="65" t="e">
        <f>LOOKUP(AD54,T$5:T$78,W$5:W$59)</f>
        <v>#N/A</v>
      </c>
    </row>
    <row r="55" spans="4:33" ht="13" thickBot="1">
      <c r="D55">
        <v>24</v>
      </c>
      <c r="E55" s="10"/>
      <c r="F55" s="11"/>
      <c r="G55" s="10"/>
      <c r="H55" s="10"/>
      <c r="I55" s="10"/>
      <c r="J55" s="14"/>
      <c r="K55" s="10"/>
      <c r="L55" s="10"/>
      <c r="M55" s="10"/>
      <c r="N55" s="10"/>
      <c r="O55" s="10"/>
      <c r="Q55" s="8"/>
      <c r="T55">
        <v>51</v>
      </c>
      <c r="U55" s="28" t="s">
        <v>126</v>
      </c>
      <c r="V55" t="s">
        <v>77</v>
      </c>
      <c r="W55" s="29" t="s">
        <v>127</v>
      </c>
      <c r="Z55" s="34"/>
      <c r="AA55" s="40"/>
      <c r="AB55" s="40"/>
      <c r="AC55" s="38" t="s">
        <v>159</v>
      </c>
      <c r="AD55" s="48"/>
      <c r="AE55" s="53" t="e">
        <f>LOOKUP(AD55,T$5:T$78,U$5:U$58)</f>
        <v>#N/A</v>
      </c>
      <c r="AF55" s="37" t="s">
        <v>157</v>
      </c>
      <c r="AG55" s="65" t="e">
        <f>LOOKUP(AD55,T$5:T$78,W$5:W$59)</f>
        <v>#N/A</v>
      </c>
    </row>
    <row r="56" spans="4:33" ht="13" thickBot="1">
      <c r="E56" s="12"/>
      <c r="F56" s="13" t="s">
        <v>221</v>
      </c>
      <c r="G56" s="9" t="str">
        <f>IF(OR(F55="",F57=""),"",+IF(F55&gt;F57,E55,E57))</f>
        <v/>
      </c>
      <c r="H56" s="11"/>
      <c r="I56" s="10"/>
      <c r="J56" s="14"/>
      <c r="K56" s="10"/>
      <c r="L56" s="10"/>
      <c r="M56" s="10"/>
      <c r="N56" s="10"/>
      <c r="O56" s="10"/>
      <c r="Q56" s="8"/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25</v>
      </c>
      <c r="E57" s="69"/>
      <c r="F57" s="16"/>
      <c r="G57" s="10"/>
      <c r="H57" s="13"/>
      <c r="I57" s="10"/>
      <c r="J57" s="14"/>
      <c r="K57" s="10"/>
      <c r="L57" s="10"/>
      <c r="M57" s="10"/>
      <c r="N57" s="10"/>
      <c r="O57" s="10"/>
      <c r="Q57" s="8"/>
    </row>
    <row r="58" spans="4:33" ht="13" thickBot="1">
      <c r="E58" s="10"/>
      <c r="F58" s="10"/>
      <c r="G58" s="10"/>
      <c r="H58" s="14" t="s">
        <v>258</v>
      </c>
      <c r="I58" s="9" t="str">
        <f>IF(OR(H56="",H59=""),"",+IF(H56&gt;H59,G56,E59))</f>
        <v/>
      </c>
      <c r="J58" s="16"/>
      <c r="K58" s="10"/>
      <c r="L58" s="10"/>
      <c r="M58" s="10"/>
      <c r="N58" s="10"/>
      <c r="O58" s="10"/>
      <c r="Q58" s="8"/>
    </row>
    <row r="59" spans="4:33" ht="13" thickBot="1">
      <c r="D59">
        <v>26</v>
      </c>
      <c r="E59" s="9"/>
      <c r="F59" s="9"/>
      <c r="G59" s="9">
        <f>E59</f>
        <v>0</v>
      </c>
      <c r="H59" s="16"/>
      <c r="I59" s="10"/>
      <c r="J59" s="10"/>
      <c r="K59" s="10"/>
      <c r="L59" s="10"/>
      <c r="M59" s="10"/>
      <c r="N59" s="10"/>
      <c r="O59" s="10"/>
      <c r="Q59" s="8"/>
    </row>
    <row r="60" spans="4:33">
      <c r="Q60" s="8"/>
    </row>
    <row r="61" spans="4:33" ht="13" thickBot="1">
      <c r="P61" t="s">
        <v>241</v>
      </c>
      <c r="Q61" s="27"/>
      <c r="R61" s="7"/>
      <c r="S61" s="7"/>
    </row>
    <row r="62" spans="4:33" ht="13" thickBot="1">
      <c r="D62">
        <v>27</v>
      </c>
      <c r="E62" s="10"/>
      <c r="F62" s="9"/>
      <c r="G62" s="9">
        <f>E62</f>
        <v>0</v>
      </c>
      <c r="H62" s="11"/>
      <c r="I62" s="10"/>
      <c r="J62" s="10"/>
      <c r="K62" s="10"/>
      <c r="L62" s="10"/>
      <c r="M62" s="10"/>
      <c r="N62" s="10"/>
      <c r="O62" s="10"/>
      <c r="Q62" s="8"/>
    </row>
    <row r="63" spans="4:33">
      <c r="E63" s="12"/>
      <c r="F63" s="10"/>
      <c r="G63" s="10"/>
      <c r="H63" s="13"/>
      <c r="I63" s="10"/>
      <c r="J63" s="10"/>
      <c r="K63" s="10"/>
      <c r="L63" s="10"/>
      <c r="M63" s="10"/>
      <c r="N63" s="10"/>
      <c r="O63" s="10"/>
      <c r="Q63" s="8"/>
    </row>
    <row r="64" spans="4:33" ht="13" thickBot="1">
      <c r="E64" s="10"/>
      <c r="F64" s="10"/>
      <c r="G64" s="10"/>
      <c r="H64" s="14" t="s">
        <v>260</v>
      </c>
      <c r="I64" s="9" t="str">
        <f>IF(OR(H62="",H66=""),"",+IF(H62&gt;H66,G62,G66))</f>
        <v/>
      </c>
      <c r="J64" s="11"/>
      <c r="K64" s="10"/>
      <c r="L64" s="10"/>
      <c r="M64" s="10"/>
      <c r="N64" s="10"/>
      <c r="O64" s="10"/>
      <c r="Q64" s="8"/>
    </row>
    <row r="65" spans="4:17" ht="13" thickBot="1">
      <c r="D65">
        <v>28</v>
      </c>
      <c r="E65" s="10"/>
      <c r="F65" s="11"/>
      <c r="G65" s="10"/>
      <c r="H65" s="14"/>
      <c r="I65" s="10"/>
      <c r="J65" s="13"/>
      <c r="K65" s="10"/>
      <c r="L65" s="10"/>
      <c r="M65" s="10"/>
      <c r="N65" s="10"/>
      <c r="O65" s="10"/>
      <c r="Q65" s="8"/>
    </row>
    <row r="66" spans="4:17" ht="13" thickBot="1">
      <c r="E66" s="12"/>
      <c r="F66" s="13" t="s">
        <v>223</v>
      </c>
      <c r="G66" s="9" t="str">
        <f>IF(OR(F65="",F67=""),"",+IF(F65&gt;F67,E65,E67))</f>
        <v/>
      </c>
      <c r="H66" s="16"/>
      <c r="I66" s="10"/>
      <c r="J66" s="14"/>
      <c r="K66" s="10"/>
      <c r="L66" s="10"/>
      <c r="M66" s="10"/>
      <c r="N66" s="10"/>
      <c r="O66" s="10"/>
      <c r="Q66" s="8"/>
    </row>
    <row r="67" spans="4:17" ht="13" thickBot="1">
      <c r="D67">
        <v>29</v>
      </c>
      <c r="E67" s="10"/>
      <c r="F67" s="16"/>
      <c r="G67" s="10"/>
      <c r="H67" s="10"/>
      <c r="I67" s="10"/>
      <c r="J67" s="14"/>
      <c r="K67" s="10"/>
      <c r="L67" s="10"/>
      <c r="M67" s="10"/>
      <c r="N67" s="10"/>
      <c r="O67" s="10"/>
      <c r="Q67" s="8"/>
    </row>
    <row r="68" spans="4:17" ht="13" thickBot="1">
      <c r="E68" s="12"/>
      <c r="F68" s="10"/>
      <c r="G68" s="10"/>
      <c r="H68" s="10"/>
      <c r="I68" s="10"/>
      <c r="J68" s="14" t="s">
        <v>243</v>
      </c>
      <c r="K68" s="9" t="str">
        <f>IF(OR(J64="",J72=""),"",+IF(J64&gt;J72,I64,I72))</f>
        <v/>
      </c>
      <c r="L68" s="17"/>
      <c r="M68" s="10"/>
      <c r="N68" s="10"/>
      <c r="O68" s="10"/>
      <c r="Q68" s="8"/>
    </row>
    <row r="69" spans="4:17" ht="13" thickBot="1">
      <c r="D69">
        <v>30</v>
      </c>
      <c r="E69" s="10"/>
      <c r="F69" s="11"/>
      <c r="G69" s="10"/>
      <c r="H69" s="10"/>
      <c r="I69" s="10"/>
      <c r="J69" s="14"/>
      <c r="K69" s="10"/>
      <c r="L69" s="13"/>
      <c r="M69" s="10"/>
      <c r="N69" s="10"/>
      <c r="O69" s="10"/>
      <c r="Q69" s="8"/>
    </row>
    <row r="70" spans="4:17" ht="13" thickBot="1">
      <c r="E70" s="12"/>
      <c r="F70" s="13" t="s">
        <v>225</v>
      </c>
      <c r="G70" s="9" t="str">
        <f>IF(OR(F69="",F71=""),"",+IF(F69&gt;F71,E69,E71))</f>
        <v/>
      </c>
      <c r="H70" s="11"/>
      <c r="I70" s="10"/>
      <c r="J70" s="14"/>
      <c r="K70" s="10"/>
      <c r="L70" s="14"/>
      <c r="M70" s="10"/>
      <c r="N70" s="10"/>
      <c r="O70" s="10"/>
      <c r="Q70" s="8"/>
    </row>
    <row r="71" spans="4:17" ht="13" thickBot="1">
      <c r="D71">
        <v>31</v>
      </c>
      <c r="E71" s="9"/>
      <c r="F71" s="16"/>
      <c r="G71" s="10"/>
      <c r="H71" s="13"/>
      <c r="I71" s="10"/>
      <c r="J71" s="14"/>
      <c r="K71" s="10"/>
      <c r="L71" s="14"/>
      <c r="M71" s="10"/>
      <c r="N71" s="10"/>
      <c r="O71" s="10"/>
      <c r="Q71" s="8"/>
    </row>
    <row r="72" spans="4:17" ht="13" thickBot="1">
      <c r="E72" s="10"/>
      <c r="F72" s="10"/>
      <c r="G72" s="10"/>
      <c r="H72" s="14" t="s">
        <v>201</v>
      </c>
      <c r="I72" s="9" t="str">
        <f>IF(OR(H70="",H73=""),"",+IF(H70&gt;H73,G70,E73))</f>
        <v/>
      </c>
      <c r="J72" s="16"/>
      <c r="K72" s="10"/>
      <c r="L72" s="14"/>
      <c r="M72" s="10"/>
      <c r="N72" s="10"/>
      <c r="O72" s="10"/>
      <c r="Q72" s="8"/>
    </row>
    <row r="73" spans="4:17" ht="13" thickBot="1">
      <c r="D73">
        <v>32</v>
      </c>
      <c r="E73" s="9"/>
      <c r="F73" s="9"/>
      <c r="G73" s="9">
        <f>E73</f>
        <v>0</v>
      </c>
      <c r="H73" s="16"/>
      <c r="I73" s="10"/>
      <c r="J73" s="10"/>
      <c r="K73" s="10"/>
      <c r="L73" s="14"/>
      <c r="M73" s="10"/>
      <c r="N73" s="10"/>
      <c r="O73" s="10"/>
      <c r="Q73" s="8"/>
    </row>
    <row r="74" spans="4:17">
      <c r="E74" s="10"/>
      <c r="F74" s="10"/>
      <c r="G74" s="10"/>
      <c r="H74" s="10"/>
      <c r="I74" s="10"/>
      <c r="J74" s="10"/>
      <c r="K74" s="10"/>
      <c r="L74" s="14"/>
      <c r="M74" s="10"/>
      <c r="N74" s="10"/>
      <c r="O74" s="10"/>
      <c r="Q74" s="8"/>
    </row>
    <row r="75" spans="4:17" ht="13" thickBot="1">
      <c r="D75">
        <v>33</v>
      </c>
      <c r="E75" s="10"/>
      <c r="F75" s="11"/>
      <c r="G75" s="10"/>
      <c r="H75" s="10"/>
      <c r="I75" s="10"/>
      <c r="J75" s="10"/>
      <c r="K75" s="10"/>
      <c r="L75" s="14" t="s">
        <v>211</v>
      </c>
      <c r="M75" s="9" t="str">
        <f>IF(OR(L68="",L81=""),"",+IF(L68&gt;L81,K68,K81))</f>
        <v/>
      </c>
      <c r="N75" s="17"/>
      <c r="O75" s="10"/>
      <c r="Q75" s="8"/>
    </row>
    <row r="76" spans="4:17" ht="13" thickBot="1">
      <c r="E76" s="12"/>
      <c r="F76" s="13" t="s">
        <v>227</v>
      </c>
      <c r="G76" s="9" t="str">
        <f>IF(OR(F75="",F77=""),"",+IF(F75&gt;F77,E75,E77))</f>
        <v/>
      </c>
      <c r="H76" s="17"/>
      <c r="I76" s="10"/>
      <c r="J76" s="10"/>
      <c r="K76" s="10"/>
      <c r="L76" s="14"/>
      <c r="M76" s="10"/>
      <c r="N76" s="14"/>
      <c r="O76" s="10"/>
      <c r="Q76" s="8"/>
    </row>
    <row r="77" spans="4:17" ht="13" thickBot="1">
      <c r="D77">
        <v>34</v>
      </c>
      <c r="E77" s="10"/>
      <c r="F77" s="16"/>
      <c r="G77" s="10"/>
      <c r="H77" s="14"/>
      <c r="I77" s="10"/>
      <c r="J77" s="10"/>
      <c r="K77" s="10"/>
      <c r="L77" s="14"/>
      <c r="M77" s="10"/>
      <c r="N77" s="14"/>
      <c r="O77" s="10"/>
      <c r="Q77" s="8"/>
    </row>
    <row r="78" spans="4:17" ht="13" thickBot="1">
      <c r="E78" s="12"/>
      <c r="F78" s="10"/>
      <c r="G78" s="10"/>
      <c r="H78" s="14" t="s">
        <v>205</v>
      </c>
      <c r="I78" s="9" t="str">
        <f>IF(OR(H76="",H80=""),"",+IF(H76&gt;H80,G76,G80))</f>
        <v/>
      </c>
      <c r="J78" s="17"/>
      <c r="K78" s="10"/>
      <c r="L78" s="14"/>
      <c r="M78" s="10"/>
      <c r="N78" s="14"/>
      <c r="O78" s="10"/>
      <c r="Q78" s="8"/>
    </row>
    <row r="79" spans="4:17" ht="13" thickBot="1">
      <c r="D79">
        <v>35</v>
      </c>
      <c r="E79" s="10"/>
      <c r="F79" s="11"/>
      <c r="G79" s="10"/>
      <c r="H79" s="14"/>
      <c r="I79" s="10"/>
      <c r="J79" s="14"/>
      <c r="K79" s="10"/>
      <c r="L79" s="14"/>
      <c r="M79" s="10"/>
      <c r="N79" s="14"/>
      <c r="O79" s="10"/>
      <c r="Q79" s="8"/>
    </row>
    <row r="80" spans="4:17" ht="13" thickBot="1">
      <c r="E80" s="12"/>
      <c r="F80" s="13" t="s">
        <v>229</v>
      </c>
      <c r="G80" s="9" t="str">
        <f>IF(OR(F79="",F81=""),"",+IF(F79&gt;F81,E79,E81))</f>
        <v/>
      </c>
      <c r="H80" s="16"/>
      <c r="I80" s="10"/>
      <c r="J80" s="14"/>
      <c r="K80" s="10"/>
      <c r="L80" s="14"/>
      <c r="M80" s="10"/>
      <c r="N80" s="14"/>
      <c r="O80" s="10"/>
      <c r="Q80" s="8"/>
    </row>
    <row r="81" spans="4:17" ht="13" thickBot="1">
      <c r="D81">
        <v>36</v>
      </c>
      <c r="E81" s="10"/>
      <c r="F81" s="16"/>
      <c r="G81" s="10"/>
      <c r="H81" s="10"/>
      <c r="I81" s="10"/>
      <c r="J81" s="14" t="s">
        <v>247</v>
      </c>
      <c r="K81" s="9" t="str">
        <f>IF(OR(J78="",J86=""),"",+IF(J78&gt;J86,I78,I86))</f>
        <v/>
      </c>
      <c r="L81" s="16"/>
      <c r="M81" s="10"/>
      <c r="N81" s="14"/>
      <c r="O81" s="10"/>
      <c r="Q81" s="8"/>
    </row>
    <row r="82" spans="4:17">
      <c r="E82" s="12"/>
      <c r="F82" s="10"/>
      <c r="G82" s="10"/>
      <c r="H82" s="10"/>
      <c r="I82" s="10"/>
      <c r="J82" s="14"/>
      <c r="K82" s="10"/>
      <c r="L82" s="10"/>
      <c r="M82" s="10"/>
      <c r="N82" s="14"/>
      <c r="O82" s="10"/>
      <c r="Q82" s="8"/>
    </row>
    <row r="83" spans="4:17" ht="13" thickBot="1">
      <c r="D83">
        <v>37</v>
      </c>
      <c r="E83" s="10"/>
      <c r="F83" s="11"/>
      <c r="G83" s="10"/>
      <c r="H83" s="10"/>
      <c r="I83" s="10"/>
      <c r="J83" s="14"/>
      <c r="K83" s="10"/>
      <c r="L83" s="10"/>
      <c r="M83" s="10"/>
      <c r="N83" s="14"/>
      <c r="O83" s="10"/>
      <c r="Q83" s="8"/>
    </row>
    <row r="84" spans="4:17" ht="13" thickBot="1">
      <c r="E84" s="12"/>
      <c r="F84" s="13" t="s">
        <v>232</v>
      </c>
      <c r="G84" s="9" t="str">
        <f>IF(OR(F83="",F85=""),"",+IF(F83&gt;F85,E83,E85))</f>
        <v/>
      </c>
      <c r="H84" s="11"/>
      <c r="I84" s="10"/>
      <c r="J84" s="14"/>
      <c r="K84" s="10"/>
      <c r="L84" s="10"/>
      <c r="M84" s="10"/>
      <c r="N84" s="14"/>
      <c r="O84" s="10"/>
      <c r="Q84" s="8"/>
    </row>
    <row r="85" spans="4:17" ht="13" thickBot="1">
      <c r="D85">
        <v>38</v>
      </c>
      <c r="E85" s="9"/>
      <c r="F85" s="16"/>
      <c r="G85" s="10"/>
      <c r="H85" s="13"/>
      <c r="I85" s="10"/>
      <c r="J85" s="14"/>
      <c r="K85" s="10"/>
      <c r="L85" s="10"/>
      <c r="M85" s="10"/>
      <c r="N85" s="14"/>
      <c r="O85" s="10"/>
      <c r="Q85" s="8"/>
    </row>
    <row r="86" spans="4:17" ht="13" thickBot="1">
      <c r="E86" s="10"/>
      <c r="F86" s="10"/>
      <c r="G86" s="10"/>
      <c r="H86" s="14" t="s">
        <v>209</v>
      </c>
      <c r="I86" s="9" t="str">
        <f>IF(OR(H84="",H87=""),"",+IF(H84&gt;H87,G84,E87))</f>
        <v/>
      </c>
      <c r="J86" s="16"/>
      <c r="K86" s="10"/>
      <c r="L86" s="10"/>
      <c r="M86" s="10"/>
      <c r="N86" s="14"/>
      <c r="O86" s="10"/>
      <c r="Q86" s="8"/>
    </row>
    <row r="87" spans="4:17" ht="13" thickBot="1">
      <c r="D87">
        <v>39</v>
      </c>
      <c r="E87" s="9"/>
      <c r="F87" s="9"/>
      <c r="G87" s="9">
        <f>E87</f>
        <v>0</v>
      </c>
      <c r="H87" s="16"/>
      <c r="I87" s="10"/>
      <c r="J87" s="10"/>
      <c r="K87" s="10"/>
      <c r="L87" s="10"/>
      <c r="M87" s="10"/>
      <c r="N87" s="14"/>
      <c r="O87" s="10"/>
      <c r="Q87" s="8"/>
    </row>
    <row r="88" spans="4:17" ht="13" thickBot="1">
      <c r="E88" s="10"/>
      <c r="F88" s="10"/>
      <c r="G88" s="10"/>
      <c r="H88" s="10"/>
      <c r="I88" s="10"/>
      <c r="J88" s="10"/>
      <c r="K88" s="10"/>
      <c r="L88" s="10"/>
      <c r="M88" s="10"/>
      <c r="N88" s="14" t="s">
        <v>233</v>
      </c>
      <c r="O88" s="9" t="str">
        <f>IF(OR(N75="",N102=""),"",+IF(N75&gt;N102,M75,M102))</f>
        <v/>
      </c>
      <c r="P88" s="7"/>
      <c r="Q88" s="8"/>
    </row>
    <row r="89" spans="4:17" ht="13" thickBot="1">
      <c r="D89">
        <v>40</v>
      </c>
      <c r="E89" s="10"/>
      <c r="F89" s="9"/>
      <c r="G89" s="9">
        <f>E89</f>
        <v>0</v>
      </c>
      <c r="H89" s="11"/>
      <c r="I89" s="10"/>
      <c r="J89" s="10"/>
      <c r="K89" s="10"/>
      <c r="L89" s="10"/>
      <c r="M89" s="10"/>
      <c r="N89" s="14"/>
      <c r="O89" s="10"/>
    </row>
    <row r="90" spans="4:17">
      <c r="E90" s="12"/>
      <c r="F90" s="10"/>
      <c r="G90" s="10"/>
      <c r="H90" s="13"/>
      <c r="I90" s="10"/>
      <c r="J90" s="10"/>
      <c r="K90" s="10"/>
      <c r="L90" s="10"/>
      <c r="M90" s="10"/>
      <c r="N90" s="14"/>
      <c r="O90" s="10"/>
    </row>
    <row r="91" spans="4:17" ht="13" thickBot="1">
      <c r="E91" s="10"/>
      <c r="F91" s="10"/>
      <c r="G91" s="10"/>
      <c r="H91" s="14" t="s">
        <v>213</v>
      </c>
      <c r="I91" s="9" t="str">
        <f>IF(OR(H89="",H93=""),"",+IF(H89&gt;H93,G89,G93))</f>
        <v/>
      </c>
      <c r="J91" s="11"/>
      <c r="K91" s="10"/>
      <c r="L91" s="10"/>
      <c r="M91" s="10"/>
      <c r="N91" s="14"/>
      <c r="O91" s="10"/>
    </row>
    <row r="92" spans="4:17" ht="13" thickBot="1">
      <c r="D92">
        <v>41</v>
      </c>
      <c r="E92" s="10"/>
      <c r="F92" s="11"/>
      <c r="G92" s="10"/>
      <c r="H92" s="14"/>
      <c r="I92" s="10"/>
      <c r="J92" s="13"/>
      <c r="K92" s="10"/>
      <c r="L92" s="10"/>
      <c r="M92" s="10"/>
      <c r="N92" s="14"/>
      <c r="O92" s="10"/>
    </row>
    <row r="93" spans="4:17" ht="13" thickBot="1">
      <c r="E93" s="12"/>
      <c r="F93" s="13" t="s">
        <v>234</v>
      </c>
      <c r="G93" s="9" t="str">
        <f>IF(OR(F92="",F94=""),"",+IF(F92&gt;F94,E92,E94))</f>
        <v/>
      </c>
      <c r="H93" s="16"/>
      <c r="I93" s="10"/>
      <c r="J93" s="14"/>
      <c r="K93" s="10"/>
      <c r="L93" s="10"/>
      <c r="M93" s="10"/>
      <c r="N93" s="14"/>
      <c r="O93" s="10"/>
    </row>
    <row r="94" spans="4:17" ht="13" thickBot="1">
      <c r="D94">
        <v>42</v>
      </c>
      <c r="E94" s="10"/>
      <c r="F94" s="16"/>
      <c r="G94" s="10"/>
      <c r="H94" s="10"/>
      <c r="I94" s="10"/>
      <c r="J94" s="14"/>
      <c r="K94" s="10"/>
      <c r="L94" s="10"/>
      <c r="M94" s="10"/>
      <c r="N94" s="14"/>
      <c r="O94" s="10"/>
    </row>
    <row r="95" spans="4:17" ht="13" thickBot="1">
      <c r="E95" s="12"/>
      <c r="F95" s="10"/>
      <c r="G95" s="10"/>
      <c r="H95" s="10"/>
      <c r="I95" s="10"/>
      <c r="J95" s="14" t="s">
        <v>251</v>
      </c>
      <c r="K95" s="9" t="str">
        <f>IF(OR(J91="",J99=""),"",+IF(J91&gt;J99,I91,I99))</f>
        <v/>
      </c>
      <c r="L95" s="17"/>
      <c r="M95" s="10"/>
      <c r="N95" s="14"/>
      <c r="O95" s="10"/>
    </row>
    <row r="96" spans="4:17" ht="13" thickBot="1">
      <c r="D96">
        <v>43</v>
      </c>
      <c r="E96" s="10"/>
      <c r="F96" s="11"/>
      <c r="G96" s="10"/>
      <c r="H96" s="10"/>
      <c r="I96" s="10"/>
      <c r="J96" s="14"/>
      <c r="K96" s="10"/>
      <c r="L96" s="13"/>
      <c r="M96" s="10"/>
      <c r="N96" s="14"/>
      <c r="O96" s="10"/>
    </row>
    <row r="97" spans="4:15" ht="13" thickBot="1">
      <c r="E97" s="12"/>
      <c r="F97" s="13" t="s">
        <v>236</v>
      </c>
      <c r="G97" s="9" t="str">
        <f>IF(OR(F96="",F98=""),"",+IF(F96&gt;F98,E96,E98))</f>
        <v/>
      </c>
      <c r="H97" s="11"/>
      <c r="I97" s="10"/>
      <c r="J97" s="14"/>
      <c r="K97" s="10"/>
      <c r="L97" s="14"/>
      <c r="M97" s="10"/>
      <c r="N97" s="14"/>
      <c r="O97" s="10"/>
    </row>
    <row r="98" spans="4:15" ht="13" thickBot="1">
      <c r="D98">
        <v>44</v>
      </c>
      <c r="E98" s="9"/>
      <c r="F98" s="16"/>
      <c r="G98" s="10"/>
      <c r="H98" s="13"/>
      <c r="I98" s="10"/>
      <c r="J98" s="14"/>
      <c r="K98" s="10"/>
      <c r="L98" s="14"/>
      <c r="M98" s="10"/>
      <c r="N98" s="14"/>
      <c r="O98" s="10"/>
    </row>
    <row r="99" spans="4:15" ht="13" thickBot="1">
      <c r="E99" s="10"/>
      <c r="F99" s="10"/>
      <c r="G99" s="10"/>
      <c r="H99" s="14" t="s">
        <v>216</v>
      </c>
      <c r="I99" s="9" t="str">
        <f>IF(OR(H97="",H100=""),"",+IF(H97&gt;H100,G97,E100))</f>
        <v/>
      </c>
      <c r="J99" s="16"/>
      <c r="K99" s="10"/>
      <c r="L99" s="14"/>
      <c r="M99" s="10"/>
      <c r="N99" s="14"/>
      <c r="O99" s="10"/>
    </row>
    <row r="100" spans="4:15" ht="13" thickBot="1">
      <c r="D100">
        <v>45</v>
      </c>
      <c r="E100" s="9"/>
      <c r="F100" s="9"/>
      <c r="G100" s="9">
        <f>E100</f>
        <v>0</v>
      </c>
      <c r="H100" s="16"/>
      <c r="I100" s="10"/>
      <c r="J100" s="10"/>
      <c r="K100" s="10"/>
      <c r="L100" s="14"/>
      <c r="M100" s="10"/>
      <c r="N100" s="14"/>
      <c r="O100" s="10"/>
    </row>
    <row r="101" spans="4:15">
      <c r="E101" s="10"/>
      <c r="F101" s="10"/>
      <c r="G101" s="10"/>
      <c r="H101" s="10"/>
      <c r="I101" s="10"/>
      <c r="J101" s="10"/>
      <c r="K101" s="10"/>
      <c r="L101" s="14"/>
      <c r="M101" s="10"/>
      <c r="N101" s="14"/>
      <c r="O101" s="10"/>
    </row>
    <row r="102" spans="4:15" ht="13" thickBot="1">
      <c r="D102">
        <v>46</v>
      </c>
      <c r="E102" s="10"/>
      <c r="F102" s="11"/>
      <c r="G102" s="10"/>
      <c r="H102" s="10"/>
      <c r="I102" s="10"/>
      <c r="J102" s="10"/>
      <c r="K102" s="10"/>
      <c r="L102" s="14" t="s">
        <v>218</v>
      </c>
      <c r="M102" s="9" t="str">
        <f>IF(OR(L95="",L108=""),"",+IF(L94&gt;L108,K95,K108))</f>
        <v/>
      </c>
      <c r="N102" s="16"/>
      <c r="O102" s="10"/>
    </row>
    <row r="103" spans="4:15" ht="13" thickBot="1">
      <c r="E103" s="12"/>
      <c r="F103" s="13" t="s">
        <v>238</v>
      </c>
      <c r="G103" s="9" t="str">
        <f>IF(OR(F102="",F104=""),"",+IF(F102&gt;F104,E102,E104))</f>
        <v/>
      </c>
      <c r="H103" s="17"/>
      <c r="I103" s="10"/>
      <c r="J103" s="10"/>
      <c r="K103" s="10"/>
      <c r="L103" s="14"/>
      <c r="M103" s="10"/>
      <c r="N103" s="10"/>
      <c r="O103" s="10"/>
    </row>
    <row r="104" spans="4:15" ht="13" thickBot="1">
      <c r="D104">
        <v>47</v>
      </c>
      <c r="E104" s="10"/>
      <c r="F104" s="16"/>
      <c r="G104" s="10"/>
      <c r="H104" s="14"/>
      <c r="I104" s="10"/>
      <c r="J104" s="10"/>
      <c r="K104" s="10"/>
      <c r="L104" s="14"/>
      <c r="M104" s="10"/>
      <c r="N104" s="10"/>
      <c r="O104" s="10"/>
    </row>
    <row r="105" spans="4:15" ht="13" thickBot="1">
      <c r="E105" s="12"/>
      <c r="F105" s="10"/>
      <c r="G105" s="10"/>
      <c r="H105" s="14" t="s">
        <v>220</v>
      </c>
      <c r="I105" s="9" t="str">
        <f>IF(OR(H103="",H107=""),"",+IF(H103&gt;H107,G103,G107))</f>
        <v/>
      </c>
      <c r="J105" s="17"/>
      <c r="K105" s="10"/>
      <c r="L105" s="14"/>
      <c r="M105" s="10"/>
      <c r="N105" s="10"/>
      <c r="O105" s="10"/>
    </row>
    <row r="106" spans="4:15" ht="13" thickBot="1">
      <c r="D106">
        <v>48</v>
      </c>
      <c r="E106" s="10"/>
      <c r="F106" s="11"/>
      <c r="G106" s="10"/>
      <c r="H106" s="14"/>
      <c r="I106" s="10"/>
      <c r="J106" s="14"/>
      <c r="K106" s="10"/>
      <c r="L106" s="14"/>
      <c r="M106" s="10"/>
      <c r="N106" s="10"/>
      <c r="O106" s="10"/>
    </row>
    <row r="107" spans="4:15" ht="13" thickBot="1">
      <c r="E107" s="12"/>
      <c r="F107" s="13" t="s">
        <v>240</v>
      </c>
      <c r="G107" s="9" t="str">
        <f>IF(OR(F106="",F108=""),"",+IF(F106&gt;F108,E106,E108))</f>
        <v/>
      </c>
      <c r="H107" s="16"/>
      <c r="I107" s="10"/>
      <c r="J107" s="14"/>
      <c r="K107" s="10"/>
      <c r="L107" s="14"/>
      <c r="M107" s="10"/>
      <c r="N107" s="10"/>
      <c r="O107" s="10"/>
    </row>
    <row r="108" spans="4:15" ht="13" thickBot="1">
      <c r="D108">
        <v>49</v>
      </c>
      <c r="E108" s="10"/>
      <c r="F108" s="16"/>
      <c r="G108" s="10"/>
      <c r="H108" s="10"/>
      <c r="I108" s="10"/>
      <c r="J108" s="14" t="s">
        <v>255</v>
      </c>
      <c r="K108" s="9" t="str">
        <f>IF(OR(J105="",J113=""),"",+IF(J105&gt;J113,I105,I113))</f>
        <v/>
      </c>
      <c r="L108" s="16"/>
      <c r="M108" s="10"/>
      <c r="N108" s="10"/>
      <c r="O108" s="10"/>
    </row>
    <row r="109" spans="4:15">
      <c r="E109" s="12"/>
      <c r="F109" s="10"/>
      <c r="G109" s="10"/>
      <c r="H109" s="10"/>
      <c r="I109" s="10"/>
      <c r="J109" s="14"/>
      <c r="K109" s="10"/>
      <c r="L109" s="10"/>
      <c r="M109" s="10"/>
      <c r="N109" s="10"/>
      <c r="O109" s="10"/>
    </row>
    <row r="110" spans="4:15" ht="13" thickBot="1">
      <c r="D110">
        <v>50</v>
      </c>
      <c r="E110" s="10"/>
      <c r="F110" s="11"/>
      <c r="G110" s="10"/>
      <c r="H110" s="10"/>
      <c r="I110" s="10"/>
      <c r="J110" s="14"/>
      <c r="K110" s="10"/>
      <c r="L110" s="10"/>
      <c r="M110" s="10"/>
      <c r="N110" s="10"/>
      <c r="O110" s="10"/>
    </row>
    <row r="111" spans="4:15" ht="13" thickBot="1">
      <c r="E111" s="12"/>
      <c r="F111" s="13" t="s">
        <v>242</v>
      </c>
      <c r="G111" s="9" t="str">
        <f>IF(OR(F110="",F112=""),"",+IF(F110&gt;F112,E110,E112))</f>
        <v/>
      </c>
      <c r="H111" s="11"/>
      <c r="I111" s="10"/>
      <c r="J111" s="14"/>
      <c r="K111" s="10"/>
      <c r="L111" s="10"/>
      <c r="M111" s="10"/>
      <c r="N111" s="10"/>
      <c r="O111" s="10"/>
    </row>
    <row r="112" spans="4:15" ht="13" thickBot="1">
      <c r="D112">
        <v>51</v>
      </c>
      <c r="E112" s="9"/>
      <c r="F112" s="16"/>
      <c r="G112" s="10"/>
      <c r="H112" s="13"/>
      <c r="I112" s="10"/>
      <c r="J112" s="14"/>
      <c r="K112" s="10"/>
      <c r="L112" s="10"/>
      <c r="M112" s="10"/>
      <c r="N112" s="10"/>
      <c r="O112" s="10"/>
    </row>
    <row r="113" spans="4:15" ht="13" thickBot="1">
      <c r="E113" s="10"/>
      <c r="F113" s="10"/>
      <c r="G113" s="10"/>
      <c r="H113" s="14" t="s">
        <v>224</v>
      </c>
      <c r="I113" s="9" t="str">
        <f>IF(OR(H111="",H114=""),"",+IF(H111&gt;H114,G111,E114))</f>
        <v/>
      </c>
      <c r="J113" s="16"/>
      <c r="K113" s="10"/>
      <c r="L113" s="10"/>
      <c r="M113" s="10"/>
      <c r="N113" s="10"/>
      <c r="O113" s="10"/>
    </row>
    <row r="114" spans="4:15" ht="13" thickBot="1">
      <c r="D114">
        <v>52</v>
      </c>
      <c r="E114" s="9"/>
      <c r="F114" s="9"/>
      <c r="G114" s="9">
        <f>E114</f>
        <v>0</v>
      </c>
      <c r="H114" s="16"/>
      <c r="I114" s="10"/>
      <c r="J114" s="10"/>
      <c r="K114" s="10"/>
      <c r="L114" s="10"/>
      <c r="M114" s="10"/>
      <c r="N114" s="10"/>
      <c r="O114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73"/>
  <dimension ref="D4:AG113"/>
  <sheetViews>
    <sheetView showGridLines="0" topLeftCell="A40" zoomScale="60" zoomScaleNormal="60" workbookViewId="0">
      <selection activeCell="I14" sqref="I14"/>
    </sheetView>
  </sheetViews>
  <sheetFormatPr defaultRowHeight="12.7"/>
  <cols>
    <col min="5" max="5" width="21.41015625" bestFit="1" customWidth="1"/>
    <col min="6" max="6" width="3.64453125" customWidth="1"/>
    <col min="7" max="7" width="21.41015625" bestFit="1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8" customWidth="1"/>
    <col min="16" max="16" width="4.11718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4" style="10" bestFit="1" customWidth="1"/>
    <col min="31" max="31" width="21.41015625" style="28" bestFit="1" customWidth="1"/>
    <col min="32" max="32" width="6.52734375" bestFit="1" customWidth="1"/>
    <col min="33" max="33" width="20.3515625" style="29" bestFit="1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E20</f>
        <v>0</v>
      </c>
      <c r="V7" t="s">
        <v>77</v>
      </c>
      <c r="W7" s="29">
        <f>E22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E24</f>
        <v>0</v>
      </c>
      <c r="V8" t="s">
        <v>77</v>
      </c>
      <c r="W8" s="29">
        <f>E26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242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E28</f>
        <v>0</v>
      </c>
      <c r="V9" t="s">
        <v>77</v>
      </c>
      <c r="W9" s="29">
        <f>E30</f>
        <v>0</v>
      </c>
      <c r="Z9" s="34"/>
      <c r="AA9" s="40"/>
      <c r="AB9" s="40"/>
      <c r="AC9" s="38" t="s">
        <v>159</v>
      </c>
      <c r="AD9" s="48">
        <v>11</v>
      </c>
      <c r="AE9" s="53">
        <f t="shared" ref="AE9:AE38" ca="1" si="0">LOOKUP(AD9,T$5:T$78,U$5:U$57)</f>
        <v>0</v>
      </c>
      <c r="AF9" s="37" t="s">
        <v>157</v>
      </c>
      <c r="AG9" s="65">
        <f t="shared" ref="AG9:AG23" ca="1" si="1">LOOKUP(AD9,T$5:T$78,W$5:W$56)</f>
        <v>0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E37</f>
        <v>0</v>
      </c>
      <c r="V10" t="s">
        <v>77</v>
      </c>
      <c r="W10" s="29">
        <f>E39</f>
        <v>0</v>
      </c>
      <c r="Z10" s="34"/>
      <c r="AA10" s="40"/>
      <c r="AB10" s="40"/>
      <c r="AC10" s="38" t="s">
        <v>159</v>
      </c>
      <c r="AD10" s="48">
        <v>12</v>
      </c>
      <c r="AE10" s="53">
        <f t="shared" ca="1" si="0"/>
        <v>0</v>
      </c>
      <c r="AF10" s="37" t="s">
        <v>157</v>
      </c>
      <c r="AG10" s="65">
        <f t="shared" ca="1" si="1"/>
        <v>0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E41</f>
        <v>0</v>
      </c>
      <c r="V11" t="s">
        <v>77</v>
      </c>
      <c r="W11" s="29">
        <f>E43</f>
        <v>0</v>
      </c>
      <c r="Z11" s="34"/>
      <c r="AA11" s="40"/>
      <c r="AB11" s="40"/>
      <c r="AC11" s="38" t="s">
        <v>159</v>
      </c>
      <c r="AD11" s="48">
        <v>13</v>
      </c>
      <c r="AE11" s="53">
        <f t="shared" ca="1" si="0"/>
        <v>0</v>
      </c>
      <c r="AF11" s="37" t="s">
        <v>157</v>
      </c>
      <c r="AG11" s="65">
        <f t="shared" ca="1" si="1"/>
        <v>0</v>
      </c>
    </row>
    <row r="12" spans="4:33" ht="13" thickBot="1">
      <c r="D12">
        <v>3</v>
      </c>
      <c r="E12" s="10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E47</f>
        <v>0</v>
      </c>
      <c r="V12" t="s">
        <v>77</v>
      </c>
      <c r="W12" s="29">
        <f>E49</f>
        <v>0</v>
      </c>
      <c r="Z12" s="34"/>
      <c r="AA12" s="40"/>
      <c r="AB12" s="40"/>
      <c r="AC12" s="38" t="s">
        <v>159</v>
      </c>
      <c r="AD12" s="48">
        <v>14</v>
      </c>
      <c r="AE12" s="53">
        <f t="shared" ca="1" si="0"/>
        <v>0</v>
      </c>
      <c r="AF12" s="37" t="s">
        <v>157</v>
      </c>
      <c r="AG12" s="65">
        <f t="shared" ca="1" si="1"/>
        <v>0</v>
      </c>
    </row>
    <row r="13" spans="4:33" ht="13" thickBot="1">
      <c r="E13" s="12"/>
      <c r="F13" s="10"/>
      <c r="G13" s="10"/>
      <c r="H13" s="10"/>
      <c r="I13" s="10"/>
      <c r="J13" s="14" t="s">
        <v>224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E51</f>
        <v>0</v>
      </c>
      <c r="V13" t="s">
        <v>77</v>
      </c>
      <c r="W13" s="29">
        <f>E53</f>
        <v>0</v>
      </c>
      <c r="Z13" s="34"/>
      <c r="AA13" s="40"/>
      <c r="AB13" s="40"/>
      <c r="AC13" s="38" t="s">
        <v>159</v>
      </c>
      <c r="AD13" s="48">
        <v>15</v>
      </c>
      <c r="AE13" s="53">
        <f t="shared" ca="1" si="0"/>
        <v>0</v>
      </c>
      <c r="AF13" s="37" t="s">
        <v>157</v>
      </c>
      <c r="AG13" s="65">
        <f t="shared" ca="1" si="1"/>
        <v>0</v>
      </c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E55</f>
        <v>0</v>
      </c>
      <c r="V14" t="s">
        <v>77</v>
      </c>
      <c r="W14" s="29">
        <f>E57</f>
        <v>0</v>
      </c>
      <c r="Z14" s="34"/>
      <c r="AA14" s="40"/>
      <c r="AB14" s="40"/>
      <c r="AC14" s="38" t="s">
        <v>159</v>
      </c>
      <c r="AD14" s="48">
        <v>16</v>
      </c>
      <c r="AE14" s="53">
        <f t="shared" ca="1" si="0"/>
        <v>0</v>
      </c>
      <c r="AF14" s="37" t="s">
        <v>157</v>
      </c>
      <c r="AG14" s="65">
        <f t="shared" ca="1" si="1"/>
        <v>0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N15" s="10"/>
      <c r="O15" s="10"/>
      <c r="T15">
        <v>11</v>
      </c>
      <c r="U15" s="28">
        <f>E65</f>
        <v>0</v>
      </c>
      <c r="V15" t="s">
        <v>77</v>
      </c>
      <c r="W15" s="29">
        <f>E67</f>
        <v>0</v>
      </c>
      <c r="Z15" s="34"/>
      <c r="AA15" s="40"/>
      <c r="AB15" s="40"/>
      <c r="AC15" s="38" t="s">
        <v>159</v>
      </c>
      <c r="AD15" s="48">
        <v>17</v>
      </c>
      <c r="AE15" s="53">
        <f t="shared" ca="1" si="0"/>
        <v>0</v>
      </c>
      <c r="AF15" s="37" t="s">
        <v>157</v>
      </c>
      <c r="AG15" s="65">
        <f t="shared" ca="1" si="1"/>
        <v>0</v>
      </c>
    </row>
    <row r="16" spans="4:33" ht="13" thickBot="1">
      <c r="D16">
        <v>5</v>
      </c>
      <c r="E16" s="9"/>
      <c r="F16" s="16"/>
      <c r="G16" s="10"/>
      <c r="H16" s="13"/>
      <c r="I16" s="10"/>
      <c r="J16" s="14"/>
      <c r="K16" s="10"/>
      <c r="L16" s="14"/>
      <c r="M16" s="10"/>
      <c r="N16" s="10"/>
      <c r="O16" s="10"/>
      <c r="T16">
        <v>12</v>
      </c>
      <c r="U16" s="28">
        <f>E69</f>
        <v>0</v>
      </c>
      <c r="V16" t="s">
        <v>77</v>
      </c>
      <c r="W16" s="29">
        <f>E71</f>
        <v>0</v>
      </c>
      <c r="Z16" s="34"/>
      <c r="AA16" s="40"/>
      <c r="AB16" s="40"/>
      <c r="AC16" s="38" t="s">
        <v>159</v>
      </c>
      <c r="AD16" s="48">
        <v>18</v>
      </c>
      <c r="AE16" s="53">
        <f t="shared" ca="1" si="0"/>
        <v>0</v>
      </c>
      <c r="AF16" s="37" t="s">
        <v>157</v>
      </c>
      <c r="AG16" s="65">
        <f t="shared" ca="1" si="1"/>
        <v>0</v>
      </c>
    </row>
    <row r="17" spans="4:33" ht="13" thickBot="1">
      <c r="E17" s="10"/>
      <c r="F17" s="10"/>
      <c r="G17" s="10"/>
      <c r="H17" s="14" t="s">
        <v>244</v>
      </c>
      <c r="I17" s="9" t="str">
        <f>IF(OR(H15="",H18=""),"",+IF(H15&gt;H18,G15,E18))</f>
        <v/>
      </c>
      <c r="J17" s="16"/>
      <c r="K17" s="10"/>
      <c r="L17" s="14"/>
      <c r="M17" s="10"/>
      <c r="N17" s="10"/>
      <c r="O17" s="10"/>
      <c r="T17">
        <v>13</v>
      </c>
      <c r="U17" s="28">
        <f>E78</f>
        <v>0</v>
      </c>
      <c r="V17" t="s">
        <v>77</v>
      </c>
      <c r="W17" s="29">
        <f>E80</f>
        <v>0</v>
      </c>
      <c r="Z17" s="34"/>
      <c r="AA17" s="40"/>
      <c r="AB17" s="40"/>
      <c r="AC17" s="38" t="s">
        <v>159</v>
      </c>
      <c r="AD17" s="48">
        <v>19</v>
      </c>
      <c r="AE17" s="53">
        <f t="shared" ca="1" si="0"/>
        <v>0</v>
      </c>
      <c r="AF17" s="37" t="s">
        <v>157</v>
      </c>
      <c r="AG17" s="65">
        <f t="shared" ca="1" si="1"/>
        <v>0</v>
      </c>
    </row>
    <row r="18" spans="4:33" ht="13" thickBot="1">
      <c r="D18">
        <v>6</v>
      </c>
      <c r="E18" s="9"/>
      <c r="F18" s="9"/>
      <c r="G18" s="9">
        <f>E18</f>
        <v>0</v>
      </c>
      <c r="H18" s="16"/>
      <c r="I18" s="10"/>
      <c r="J18" s="10"/>
      <c r="K18" s="10"/>
      <c r="L18" s="14"/>
      <c r="M18" s="10"/>
      <c r="N18" s="10"/>
      <c r="O18" s="10"/>
      <c r="T18">
        <v>14</v>
      </c>
      <c r="U18" s="28">
        <f>E82</f>
        <v>0</v>
      </c>
      <c r="V18" t="s">
        <v>77</v>
      </c>
      <c r="W18" s="29">
        <f>E84</f>
        <v>0</v>
      </c>
      <c r="Z18" s="34"/>
      <c r="AA18" s="40"/>
      <c r="AB18" s="40"/>
      <c r="AC18" s="38" t="s">
        <v>159</v>
      </c>
      <c r="AD18" s="48">
        <v>20</v>
      </c>
      <c r="AE18" s="53">
        <f t="shared" ca="1" si="0"/>
        <v>0</v>
      </c>
      <c r="AF18" s="37" t="s">
        <v>157</v>
      </c>
      <c r="AG18" s="65" t="str">
        <f t="shared" ca="1" si="1"/>
        <v>Venc.J1</v>
      </c>
    </row>
    <row r="19" spans="4:33">
      <c r="E19" s="10"/>
      <c r="F19" s="10"/>
      <c r="G19" s="10"/>
      <c r="H19" s="10"/>
      <c r="I19" s="10"/>
      <c r="J19" s="10"/>
      <c r="K19" s="10"/>
      <c r="L19" s="14"/>
      <c r="M19" s="10"/>
      <c r="N19" s="10"/>
      <c r="O19" s="10"/>
      <c r="T19">
        <v>15</v>
      </c>
      <c r="U19" s="28">
        <f>E91</f>
        <v>0</v>
      </c>
      <c r="V19" t="s">
        <v>77</v>
      </c>
      <c r="W19" s="29">
        <f>E93</f>
        <v>0</v>
      </c>
      <c r="Z19" s="34"/>
      <c r="AA19" s="40"/>
      <c r="AB19" s="40"/>
      <c r="AC19" s="38" t="s">
        <v>159</v>
      </c>
      <c r="AD19" s="48">
        <v>21</v>
      </c>
      <c r="AE19" s="53" t="str">
        <f t="shared" ca="1" si="0"/>
        <v>Venc.J2</v>
      </c>
      <c r="AF19" s="37" t="s">
        <v>157</v>
      </c>
      <c r="AG19" s="65">
        <f t="shared" ca="1" si="1"/>
        <v>0</v>
      </c>
    </row>
    <row r="20" spans="4:33" ht="13" thickBot="1">
      <c r="D20">
        <v>7</v>
      </c>
      <c r="E20" s="10"/>
      <c r="F20" s="11"/>
      <c r="G20" s="10"/>
      <c r="H20" s="10"/>
      <c r="I20" s="10"/>
      <c r="J20" s="10"/>
      <c r="K20" s="10"/>
      <c r="L20" s="14" t="s">
        <v>255</v>
      </c>
      <c r="M20" s="9" t="str">
        <f>IF(OR(L13="",L26=""),"",+IF(L13&gt;L26,K13,K26))</f>
        <v/>
      </c>
      <c r="N20" s="17"/>
      <c r="O20" s="10"/>
      <c r="T20">
        <v>16</v>
      </c>
      <c r="U20" s="28">
        <f>E95</f>
        <v>0</v>
      </c>
      <c r="V20" t="s">
        <v>77</v>
      </c>
      <c r="W20" s="29">
        <f>E97</f>
        <v>0</v>
      </c>
      <c r="Z20" s="34"/>
      <c r="AA20" s="40"/>
      <c r="AB20" s="40"/>
      <c r="AC20" s="38" t="s">
        <v>159</v>
      </c>
      <c r="AD20" s="48">
        <v>22</v>
      </c>
      <c r="AE20" s="53" t="str">
        <f t="shared" ca="1" si="0"/>
        <v>Venc.J3</v>
      </c>
      <c r="AF20" s="37" t="s">
        <v>157</v>
      </c>
      <c r="AG20" s="65" t="str">
        <f t="shared" ca="1" si="1"/>
        <v>Venc.J4</v>
      </c>
    </row>
    <row r="21" spans="4:33" ht="13" thickBot="1">
      <c r="E21" s="12"/>
      <c r="F21" s="13" t="s">
        <v>206</v>
      </c>
      <c r="G21" s="9" t="str">
        <f>IF(OR(F20="",F22=""),"",+IF(F20&gt;F22,E20,E22))</f>
        <v/>
      </c>
      <c r="H21" s="17"/>
      <c r="I21" s="10"/>
      <c r="J21" s="10"/>
      <c r="K21" s="10"/>
      <c r="L21" s="14"/>
      <c r="M21" s="10"/>
      <c r="N21" s="14"/>
      <c r="O21" s="10"/>
      <c r="T21">
        <v>17</v>
      </c>
      <c r="U21" s="28">
        <f>E101</f>
        <v>0</v>
      </c>
      <c r="V21" t="s">
        <v>77</v>
      </c>
      <c r="W21" s="29">
        <f>E103</f>
        <v>0</v>
      </c>
      <c r="Z21" s="34"/>
      <c r="AA21" s="40"/>
      <c r="AB21" s="40"/>
      <c r="AC21" s="38" t="s">
        <v>159</v>
      </c>
      <c r="AD21" s="48">
        <v>23</v>
      </c>
      <c r="AE21" s="53" t="str">
        <f t="shared" ca="1" si="0"/>
        <v>Venc.J5</v>
      </c>
      <c r="AF21" s="37" t="s">
        <v>157</v>
      </c>
      <c r="AG21" s="65">
        <f t="shared" ca="1" si="1"/>
        <v>0</v>
      </c>
    </row>
    <row r="22" spans="4:33" ht="13" thickBot="1">
      <c r="D22">
        <v>8</v>
      </c>
      <c r="E22" s="10"/>
      <c r="F22" s="16"/>
      <c r="G22" s="10"/>
      <c r="H22" s="14"/>
      <c r="I22" s="10"/>
      <c r="J22" s="10"/>
      <c r="K22" s="10"/>
      <c r="L22" s="14"/>
      <c r="M22" s="10"/>
      <c r="N22" s="14"/>
      <c r="O22" s="10"/>
      <c r="T22">
        <v>18</v>
      </c>
      <c r="U22" s="28">
        <f>E105</f>
        <v>0</v>
      </c>
      <c r="V22" t="s">
        <v>77</v>
      </c>
      <c r="W22" s="29">
        <f>E107</f>
        <v>0</v>
      </c>
      <c r="Z22" s="34"/>
      <c r="AA22" s="40"/>
      <c r="AB22" s="40"/>
      <c r="AC22" s="38" t="s">
        <v>159</v>
      </c>
      <c r="AD22" s="48">
        <v>24</v>
      </c>
      <c r="AE22" s="53">
        <f t="shared" ca="1" si="0"/>
        <v>0</v>
      </c>
      <c r="AF22" s="37" t="s">
        <v>157</v>
      </c>
      <c r="AG22" s="65" t="str">
        <f t="shared" ca="1" si="1"/>
        <v>Venc.J6</v>
      </c>
    </row>
    <row r="23" spans="4:33" ht="13" thickBot="1">
      <c r="E23" s="12"/>
      <c r="F23" s="10"/>
      <c r="G23" s="10"/>
      <c r="H23" s="14" t="s">
        <v>246</v>
      </c>
      <c r="I23" s="9" t="str">
        <f>IF(OR(H21="",H25=""),"",+IF(H21&gt;H25,G21,G25))</f>
        <v/>
      </c>
      <c r="J23" s="17"/>
      <c r="K23" s="10"/>
      <c r="L23" s="14"/>
      <c r="M23" s="10"/>
      <c r="N23" s="14"/>
      <c r="O23" s="10"/>
      <c r="T23">
        <v>19</v>
      </c>
      <c r="U23" s="28">
        <f>E109</f>
        <v>0</v>
      </c>
      <c r="V23" t="s">
        <v>77</v>
      </c>
      <c r="W23" s="29">
        <f>E111</f>
        <v>0</v>
      </c>
      <c r="Z23" s="34"/>
      <c r="AA23" s="40"/>
      <c r="AB23" s="40"/>
      <c r="AC23" s="38" t="s">
        <v>159</v>
      </c>
      <c r="AD23" s="48">
        <v>25</v>
      </c>
      <c r="AE23" s="53" t="str">
        <f t="shared" ca="1" si="0"/>
        <v>Venc.J7</v>
      </c>
      <c r="AF23" s="37" t="s">
        <v>157</v>
      </c>
      <c r="AG23" s="65">
        <f t="shared" ca="1" si="1"/>
        <v>0</v>
      </c>
    </row>
    <row r="24" spans="4:33" ht="13" thickBot="1">
      <c r="D24">
        <v>9</v>
      </c>
      <c r="E24" s="10"/>
      <c r="F24" s="11"/>
      <c r="G24" s="10"/>
      <c r="H24" s="14"/>
      <c r="I24" s="10"/>
      <c r="J24" s="14"/>
      <c r="K24" s="10"/>
      <c r="L24" s="14"/>
      <c r="M24" s="10"/>
      <c r="N24" s="14"/>
      <c r="O24" s="10"/>
      <c r="T24">
        <v>20</v>
      </c>
      <c r="U24" s="28">
        <f>E7</f>
        <v>0</v>
      </c>
      <c r="V24" t="s">
        <v>77</v>
      </c>
      <c r="W24" s="29" t="s">
        <v>78</v>
      </c>
      <c r="Z24" s="34"/>
      <c r="AA24" s="40"/>
      <c r="AB24" s="40"/>
      <c r="AC24" s="38" t="s">
        <v>159</v>
      </c>
      <c r="AD24" s="48">
        <v>26</v>
      </c>
      <c r="AE24" s="53" t="str">
        <f t="shared" ca="1" si="0"/>
        <v>Venc.J8</v>
      </c>
      <c r="AF24" s="37" t="s">
        <v>157</v>
      </c>
      <c r="AG24" s="65" t="str">
        <f t="shared" ref="AG24:AG30" ca="1" si="2">LOOKUP(AD24,T$5:T$78,W$5:W$56)</f>
        <v>VencJ9</v>
      </c>
    </row>
    <row r="25" spans="4:33" ht="13" thickBot="1">
      <c r="E25" s="12"/>
      <c r="F25" s="13" t="s">
        <v>208</v>
      </c>
      <c r="G25" s="9" t="str">
        <f>IF(OR(F24="",F26=""),"",+IF(F24&gt;F26,E24,E26))</f>
        <v/>
      </c>
      <c r="H25" s="16"/>
      <c r="I25" s="10"/>
      <c r="J25" s="14"/>
      <c r="K25" s="10"/>
      <c r="L25" s="14"/>
      <c r="M25" s="10"/>
      <c r="N25" s="14"/>
      <c r="O25" s="10"/>
      <c r="T25">
        <v>21</v>
      </c>
      <c r="U25" s="28" t="s">
        <v>160</v>
      </c>
      <c r="V25" t="s">
        <v>77</v>
      </c>
      <c r="W25" s="29">
        <f>E18</f>
        <v>0</v>
      </c>
      <c r="Z25" s="34"/>
      <c r="AA25" s="40"/>
      <c r="AB25" s="40"/>
      <c r="AC25" s="38" t="s">
        <v>159</v>
      </c>
      <c r="AD25" s="48"/>
      <c r="AE25" s="53" t="e">
        <f t="shared" si="0"/>
        <v>#N/A</v>
      </c>
      <c r="AF25" s="37" t="s">
        <v>157</v>
      </c>
      <c r="AG25" s="65" t="e">
        <f t="shared" si="2"/>
        <v>#N/A</v>
      </c>
    </row>
    <row r="26" spans="4:33" ht="13" thickBot="1">
      <c r="D26">
        <v>10</v>
      </c>
      <c r="E26" s="10"/>
      <c r="F26" s="16"/>
      <c r="G26" s="10"/>
      <c r="H26" s="10"/>
      <c r="I26" s="10"/>
      <c r="J26" s="14" t="s">
        <v>228</v>
      </c>
      <c r="K26" s="9" t="str">
        <f>IF(OR(J23="",J31=""),"",+IF(J23&gt;J31,I23,I31))</f>
        <v/>
      </c>
      <c r="L26" s="16"/>
      <c r="M26" s="10"/>
      <c r="N26" s="14"/>
      <c r="O26" s="10"/>
      <c r="T26">
        <v>22</v>
      </c>
      <c r="U26" s="28" t="s">
        <v>161</v>
      </c>
      <c r="V26" t="s">
        <v>77</v>
      </c>
      <c r="W26" s="29" t="s">
        <v>81</v>
      </c>
      <c r="Z26" s="34"/>
      <c r="AA26" s="40"/>
      <c r="AB26" s="40"/>
      <c r="AC26" s="38" t="s">
        <v>159</v>
      </c>
      <c r="AD26" s="48"/>
      <c r="AE26" s="53" t="e">
        <f t="shared" si="0"/>
        <v>#N/A</v>
      </c>
      <c r="AF26" s="37" t="s">
        <v>157</v>
      </c>
      <c r="AG26" s="65" t="e">
        <f t="shared" si="2"/>
        <v>#N/A</v>
      </c>
    </row>
    <row r="27" spans="4:33">
      <c r="E27" s="12"/>
      <c r="F27" s="10"/>
      <c r="G27" s="10"/>
      <c r="H27" s="10"/>
      <c r="I27" s="10"/>
      <c r="J27" s="14"/>
      <c r="K27" s="10"/>
      <c r="L27" s="10"/>
      <c r="M27" s="10"/>
      <c r="N27" s="14"/>
      <c r="O27" s="10"/>
      <c r="T27">
        <v>23</v>
      </c>
      <c r="U27" s="28" t="s">
        <v>162</v>
      </c>
      <c r="V27" t="s">
        <v>77</v>
      </c>
      <c r="W27" s="29">
        <f>E32</f>
        <v>0</v>
      </c>
      <c r="Z27" s="34"/>
      <c r="AA27" s="40"/>
      <c r="AB27" s="40"/>
      <c r="AC27" s="38" t="s">
        <v>159</v>
      </c>
      <c r="AD27" s="48"/>
      <c r="AE27" s="53" t="e">
        <f t="shared" si="0"/>
        <v>#N/A</v>
      </c>
      <c r="AF27" s="37" t="s">
        <v>157</v>
      </c>
      <c r="AG27" s="65" t="e">
        <f t="shared" si="2"/>
        <v>#N/A</v>
      </c>
    </row>
    <row r="28" spans="4:33" ht="13" thickBot="1">
      <c r="D28">
        <v>11</v>
      </c>
      <c r="E28" s="10"/>
      <c r="F28" s="11"/>
      <c r="G28" s="10"/>
      <c r="H28" s="10"/>
      <c r="I28" s="10"/>
      <c r="J28" s="14"/>
      <c r="K28" s="10"/>
      <c r="L28" s="10"/>
      <c r="M28" s="10"/>
      <c r="N28" s="14"/>
      <c r="O28" s="10"/>
      <c r="T28">
        <v>24</v>
      </c>
      <c r="U28" s="28">
        <f>E34</f>
        <v>0</v>
      </c>
      <c r="V28" t="s">
        <v>77</v>
      </c>
      <c r="W28" s="29" t="s">
        <v>163</v>
      </c>
      <c r="Z28" s="34"/>
      <c r="AA28" s="40"/>
      <c r="AB28" s="40"/>
      <c r="AC28" s="38" t="s">
        <v>159</v>
      </c>
      <c r="AD28" s="48"/>
      <c r="AE28" s="53" t="e">
        <f t="shared" si="0"/>
        <v>#N/A</v>
      </c>
      <c r="AF28" s="37" t="s">
        <v>157</v>
      </c>
      <c r="AG28" s="65" t="e">
        <f t="shared" si="2"/>
        <v>#N/A</v>
      </c>
    </row>
    <row r="29" spans="4:33" ht="13" thickBot="1">
      <c r="E29" s="12"/>
      <c r="F29" s="13" t="s">
        <v>210</v>
      </c>
      <c r="G29" s="9" t="str">
        <f>IF(OR(F28="",F30=""),"",+IF(F28&gt;F30,E28,E30))</f>
        <v/>
      </c>
      <c r="H29" s="11"/>
      <c r="I29" s="10"/>
      <c r="J29" s="14"/>
      <c r="K29" s="10"/>
      <c r="L29" s="10"/>
      <c r="M29" s="10"/>
      <c r="N29" s="14"/>
      <c r="O29" s="10"/>
      <c r="T29">
        <v>25</v>
      </c>
      <c r="U29" s="28" t="s">
        <v>84</v>
      </c>
      <c r="V29" t="s">
        <v>77</v>
      </c>
      <c r="W29" s="29">
        <f>E45</f>
        <v>0</v>
      </c>
      <c r="Z29" s="34"/>
      <c r="AA29" s="40"/>
      <c r="AB29" s="40"/>
      <c r="AC29" s="38" t="s">
        <v>159</v>
      </c>
      <c r="AD29" s="48"/>
      <c r="AE29" s="53" t="e">
        <f t="shared" si="0"/>
        <v>#N/A</v>
      </c>
      <c r="AF29" s="37" t="s">
        <v>157</v>
      </c>
      <c r="AG29" s="65" t="e">
        <f t="shared" si="2"/>
        <v>#N/A</v>
      </c>
    </row>
    <row r="30" spans="4:33" ht="13" thickBot="1">
      <c r="D30">
        <v>12</v>
      </c>
      <c r="E30" s="9"/>
      <c r="F30" s="16"/>
      <c r="G30" s="10"/>
      <c r="H30" s="13"/>
      <c r="I30" s="10"/>
      <c r="J30" s="14"/>
      <c r="K30" s="10"/>
      <c r="L30" s="10"/>
      <c r="M30" s="10"/>
      <c r="N30" s="14"/>
      <c r="O30" s="10"/>
      <c r="T30">
        <v>26</v>
      </c>
      <c r="U30" s="28" t="s">
        <v>164</v>
      </c>
      <c r="V30" t="s">
        <v>77</v>
      </c>
      <c r="W30" s="29" t="s">
        <v>200</v>
      </c>
      <c r="Z30" s="34"/>
      <c r="AA30" s="40"/>
      <c r="AB30" s="40"/>
      <c r="AC30" s="38" t="s">
        <v>159</v>
      </c>
      <c r="AD30" s="48"/>
      <c r="AE30" s="53" t="e">
        <f t="shared" si="0"/>
        <v>#N/A</v>
      </c>
      <c r="AF30" s="37" t="s">
        <v>157</v>
      </c>
      <c r="AG30" s="65" t="e">
        <f t="shared" si="2"/>
        <v>#N/A</v>
      </c>
    </row>
    <row r="31" spans="4:33" ht="13" thickBot="1">
      <c r="E31" s="10"/>
      <c r="F31" s="10"/>
      <c r="G31" s="10"/>
      <c r="H31" s="14" t="s">
        <v>248</v>
      </c>
      <c r="I31" s="9" t="str">
        <f>IF(OR(H29="",H32=""),"",+IF(H29&gt;H32,G29,E32))</f>
        <v/>
      </c>
      <c r="J31" s="16"/>
      <c r="K31" s="10"/>
      <c r="L31" s="10"/>
      <c r="M31" s="10"/>
      <c r="N31" s="14"/>
      <c r="O31" s="10"/>
      <c r="T31">
        <v>27</v>
      </c>
      <c r="U31" s="29" t="s">
        <v>87</v>
      </c>
      <c r="V31" t="s">
        <v>77</v>
      </c>
      <c r="W31" s="29">
        <f>E59</f>
        <v>0</v>
      </c>
      <c r="Z31" s="34"/>
      <c r="AA31" s="40"/>
      <c r="AB31" s="40"/>
      <c r="AC31" s="38" t="s">
        <v>159</v>
      </c>
      <c r="AD31" s="48"/>
      <c r="AE31" s="53" t="e">
        <f t="shared" si="0"/>
        <v>#N/A</v>
      </c>
      <c r="AF31" s="37" t="s">
        <v>157</v>
      </c>
      <c r="AG31" s="65" t="e">
        <f t="shared" ref="AG31:AG38" si="3">LOOKUP(AD31,T$5:T$78,W$5:W$56)</f>
        <v>#N/A</v>
      </c>
    </row>
    <row r="32" spans="4:33" ht="13" thickBot="1">
      <c r="D32">
        <v>13</v>
      </c>
      <c r="E32" s="9"/>
      <c r="F32" s="9"/>
      <c r="G32" s="9">
        <f>E32</f>
        <v>0</v>
      </c>
      <c r="H32" s="16"/>
      <c r="I32" s="10"/>
      <c r="J32" s="10"/>
      <c r="K32" s="10"/>
      <c r="L32" s="10"/>
      <c r="M32" s="10"/>
      <c r="N32" s="14"/>
      <c r="O32" s="10"/>
      <c r="T32">
        <v>28</v>
      </c>
      <c r="U32" s="28">
        <f>E62</f>
        <v>0</v>
      </c>
      <c r="V32" t="s">
        <v>77</v>
      </c>
      <c r="W32" s="29" t="s">
        <v>88</v>
      </c>
      <c r="Z32" s="34"/>
      <c r="AA32" s="40"/>
      <c r="AB32" s="40"/>
      <c r="AC32" s="38" t="s">
        <v>159</v>
      </c>
      <c r="AD32" s="48"/>
      <c r="AE32" s="53" t="e">
        <f t="shared" si="0"/>
        <v>#N/A</v>
      </c>
      <c r="AF32" s="37" t="s">
        <v>157</v>
      </c>
      <c r="AG32" s="65" t="e">
        <f t="shared" si="3"/>
        <v>#N/A</v>
      </c>
    </row>
    <row r="33" spans="4:33" ht="13" thickBot="1">
      <c r="E33" s="10"/>
      <c r="F33" s="10"/>
      <c r="G33" s="10"/>
      <c r="H33" s="10"/>
      <c r="I33" s="10"/>
      <c r="J33" s="10"/>
      <c r="K33" s="10"/>
      <c r="L33" s="10"/>
      <c r="M33" s="10"/>
      <c r="N33" s="14" t="s">
        <v>218</v>
      </c>
      <c r="O33" s="9" t="str">
        <f>IF(OR(N20="",N47=""),"",+IF(N20&gt;N47,M20,M47))</f>
        <v/>
      </c>
      <c r="P33" s="7"/>
      <c r="T33">
        <v>29</v>
      </c>
      <c r="U33" s="28" t="s">
        <v>89</v>
      </c>
      <c r="V33" t="s">
        <v>77</v>
      </c>
      <c r="W33" s="29">
        <f>E73</f>
        <v>0</v>
      </c>
      <c r="Z33" s="34"/>
      <c r="AA33" s="40"/>
      <c r="AB33" s="40"/>
      <c r="AC33" s="38" t="s">
        <v>159</v>
      </c>
      <c r="AD33" s="48"/>
      <c r="AE33" s="53" t="e">
        <f t="shared" si="0"/>
        <v>#N/A</v>
      </c>
      <c r="AF33" s="37" t="s">
        <v>157</v>
      </c>
      <c r="AG33" s="65" t="e">
        <f t="shared" si="3"/>
        <v>#N/A</v>
      </c>
    </row>
    <row r="34" spans="4:33" ht="13" thickBot="1">
      <c r="D34">
        <v>14</v>
      </c>
      <c r="E34" s="10"/>
      <c r="F34" s="9"/>
      <c r="G34" s="9">
        <f>E34</f>
        <v>0</v>
      </c>
      <c r="H34" s="11"/>
      <c r="I34" s="10"/>
      <c r="J34" s="10"/>
      <c r="K34" s="10"/>
      <c r="L34" s="10"/>
      <c r="M34" s="10"/>
      <c r="N34" s="14"/>
      <c r="O34" s="10"/>
      <c r="Q34" s="8"/>
      <c r="T34">
        <v>30</v>
      </c>
      <c r="U34" s="28">
        <f>E75</f>
        <v>0</v>
      </c>
      <c r="V34" t="s">
        <v>77</v>
      </c>
      <c r="W34" s="29" t="s">
        <v>90</v>
      </c>
      <c r="Z34" s="34"/>
      <c r="AA34" s="40"/>
      <c r="AB34" s="40"/>
      <c r="AC34" s="38" t="s">
        <v>159</v>
      </c>
      <c r="AD34" s="48"/>
      <c r="AE34" s="53" t="e">
        <f t="shared" si="0"/>
        <v>#N/A</v>
      </c>
      <c r="AF34" s="37" t="s">
        <v>157</v>
      </c>
      <c r="AG34" s="65" t="e">
        <f t="shared" si="3"/>
        <v>#N/A</v>
      </c>
    </row>
    <row r="35" spans="4:33">
      <c r="E35" s="12"/>
      <c r="F35" s="10"/>
      <c r="G35" s="10"/>
      <c r="H35" s="13"/>
      <c r="I35" s="10"/>
      <c r="J35" s="10"/>
      <c r="K35" s="10"/>
      <c r="L35" s="10"/>
      <c r="M35" s="10"/>
      <c r="N35" s="14"/>
      <c r="O35" s="10"/>
      <c r="Q35" s="8"/>
      <c r="T35">
        <v>31</v>
      </c>
      <c r="U35" s="28" t="s">
        <v>91</v>
      </c>
      <c r="V35" t="s">
        <v>77</v>
      </c>
      <c r="W35" s="29">
        <f>E86</f>
        <v>0</v>
      </c>
      <c r="Z35" s="34"/>
      <c r="AA35" s="40"/>
      <c r="AB35" s="40"/>
      <c r="AC35" s="38" t="s">
        <v>159</v>
      </c>
      <c r="AD35" s="48"/>
      <c r="AE35" s="53" t="e">
        <f t="shared" si="0"/>
        <v>#N/A</v>
      </c>
      <c r="AF35" s="37" t="s">
        <v>157</v>
      </c>
      <c r="AG35" s="65" t="e">
        <f t="shared" si="3"/>
        <v>#N/A</v>
      </c>
    </row>
    <row r="36" spans="4:33" ht="13" thickBot="1">
      <c r="E36" s="10"/>
      <c r="F36" s="10"/>
      <c r="G36" s="10"/>
      <c r="H36" s="14" t="s">
        <v>250</v>
      </c>
      <c r="I36" s="9" t="str">
        <f>IF(OR(H34="",H38=""),"",+IF(H34&gt;H38,G34,G38))</f>
        <v/>
      </c>
      <c r="J36" s="11"/>
      <c r="K36" s="10"/>
      <c r="L36" s="10"/>
      <c r="M36" s="10"/>
      <c r="N36" s="14"/>
      <c r="O36" s="10"/>
      <c r="Q36" s="8"/>
      <c r="T36">
        <v>32</v>
      </c>
      <c r="U36" s="28">
        <f>E88</f>
        <v>0</v>
      </c>
      <c r="V36" t="s">
        <v>77</v>
      </c>
      <c r="W36" s="28" t="s">
        <v>92</v>
      </c>
      <c r="Z36" s="34"/>
      <c r="AA36" s="40"/>
      <c r="AB36" s="40"/>
      <c r="AC36" s="38" t="s">
        <v>159</v>
      </c>
      <c r="AD36" s="48"/>
      <c r="AE36" s="53" t="e">
        <f t="shared" si="0"/>
        <v>#N/A</v>
      </c>
      <c r="AF36" s="37" t="s">
        <v>157</v>
      </c>
      <c r="AG36" s="65" t="e">
        <f t="shared" si="3"/>
        <v>#N/A</v>
      </c>
    </row>
    <row r="37" spans="4:33" ht="13" thickBot="1">
      <c r="D37">
        <v>15</v>
      </c>
      <c r="E37" s="10"/>
      <c r="F37" s="11"/>
      <c r="G37" s="10"/>
      <c r="H37" s="14"/>
      <c r="I37" s="10"/>
      <c r="J37" s="13"/>
      <c r="K37" s="10"/>
      <c r="L37" s="10"/>
      <c r="M37" s="10"/>
      <c r="N37" s="14"/>
      <c r="O37" s="10"/>
      <c r="Q37" s="8"/>
      <c r="R37" s="29"/>
      <c r="T37">
        <v>33</v>
      </c>
      <c r="U37" s="28" t="s">
        <v>165</v>
      </c>
      <c r="V37" t="s">
        <v>77</v>
      </c>
      <c r="W37" s="29">
        <f>E99</f>
        <v>0</v>
      </c>
      <c r="Z37" s="34"/>
      <c r="AA37" s="40"/>
      <c r="AB37" s="40"/>
      <c r="AC37" s="38" t="s">
        <v>159</v>
      </c>
      <c r="AD37" s="48"/>
      <c r="AE37" s="53" t="e">
        <f t="shared" si="0"/>
        <v>#N/A</v>
      </c>
      <c r="AF37" s="37" t="s">
        <v>157</v>
      </c>
      <c r="AG37" s="65" t="e">
        <f t="shared" si="3"/>
        <v>#N/A</v>
      </c>
    </row>
    <row r="38" spans="4:33" ht="13" thickBot="1">
      <c r="E38" s="12"/>
      <c r="F38" s="13" t="s">
        <v>212</v>
      </c>
      <c r="G38" s="9" t="str">
        <f>IF(OR(F37="",F39=""),"",+IF(F37&gt;F39,E37,E39))</f>
        <v/>
      </c>
      <c r="H38" s="16"/>
      <c r="I38" s="10"/>
      <c r="J38" s="14"/>
      <c r="K38" s="10"/>
      <c r="L38" s="10"/>
      <c r="M38" s="10"/>
      <c r="N38" s="14"/>
      <c r="O38" s="10"/>
      <c r="Q38" s="8"/>
      <c r="T38">
        <v>34</v>
      </c>
      <c r="U38" s="28" t="s">
        <v>94</v>
      </c>
      <c r="V38" t="s">
        <v>77</v>
      </c>
      <c r="W38" s="28" t="s">
        <v>95</v>
      </c>
      <c r="Z38" s="34"/>
      <c r="AA38" s="40"/>
      <c r="AB38" s="40"/>
      <c r="AC38" s="38" t="s">
        <v>159</v>
      </c>
      <c r="AD38" s="48"/>
      <c r="AE38" s="53" t="e">
        <f t="shared" si="0"/>
        <v>#N/A</v>
      </c>
      <c r="AF38" s="37" t="s">
        <v>157</v>
      </c>
      <c r="AG38" s="65" t="e">
        <f t="shared" si="3"/>
        <v>#N/A</v>
      </c>
    </row>
    <row r="39" spans="4:33" ht="13" thickBot="1">
      <c r="D39">
        <v>16</v>
      </c>
      <c r="E39" s="10"/>
      <c r="F39" s="16"/>
      <c r="G39" s="10"/>
      <c r="H39" s="10"/>
      <c r="I39" s="10"/>
      <c r="J39" s="14"/>
      <c r="K39" s="10"/>
      <c r="L39" s="10"/>
      <c r="M39" s="10"/>
      <c r="N39" s="14"/>
      <c r="O39" s="10"/>
      <c r="Q39" s="8"/>
      <c r="R39" s="29"/>
      <c r="T39">
        <v>35</v>
      </c>
      <c r="U39" s="28" t="s">
        <v>96</v>
      </c>
      <c r="V39" t="s">
        <v>77</v>
      </c>
      <c r="W39" s="29">
        <f>E113</f>
        <v>0</v>
      </c>
      <c r="Z39" s="34"/>
      <c r="AA39" s="41"/>
      <c r="AB39" s="33"/>
      <c r="AC39" s="33"/>
      <c r="AD39" s="50"/>
      <c r="AE39" s="54"/>
      <c r="AF39" s="33"/>
      <c r="AG39" s="58"/>
    </row>
    <row r="40" spans="4:33" ht="13" thickBot="1">
      <c r="E40" s="12"/>
      <c r="F40" s="10"/>
      <c r="G40" s="10"/>
      <c r="H40" s="10"/>
      <c r="I40" s="10"/>
      <c r="J40" s="14" t="s">
        <v>231</v>
      </c>
      <c r="K40" s="9" t="str">
        <f>IF(OR(J36="",J44=""),"",+IF(J36&gt;J44,I36,I44))</f>
        <v/>
      </c>
      <c r="L40" s="17"/>
      <c r="M40" s="10"/>
      <c r="N40" s="14"/>
      <c r="O40" s="10"/>
      <c r="Q40" s="8"/>
      <c r="T40">
        <v>36</v>
      </c>
      <c r="U40" s="28" t="s">
        <v>97</v>
      </c>
      <c r="V40" t="s">
        <v>77</v>
      </c>
      <c r="W40" s="28" t="s">
        <v>98</v>
      </c>
      <c r="Z40" s="34"/>
      <c r="AA40" s="40"/>
      <c r="AB40" s="40"/>
      <c r="AC40" s="38" t="s">
        <v>159</v>
      </c>
      <c r="AD40" s="48">
        <v>31</v>
      </c>
      <c r="AE40" s="53" t="str">
        <f ca="1">LOOKUP(AD40,T$5:T$78,U$5:U$57)</f>
        <v>Venc.J14</v>
      </c>
      <c r="AF40" s="37" t="s">
        <v>157</v>
      </c>
      <c r="AG40" s="65">
        <f ca="1">LOOKUP(AD40,T$5:T$78,W$5:W$56)</f>
        <v>0</v>
      </c>
    </row>
    <row r="41" spans="4:33" ht="13" thickBot="1">
      <c r="D41">
        <v>17</v>
      </c>
      <c r="E41" s="10"/>
      <c r="F41" s="11"/>
      <c r="G41" s="10"/>
      <c r="H41" s="10"/>
      <c r="I41" s="10"/>
      <c r="J41" s="14"/>
      <c r="K41" s="10"/>
      <c r="L41" s="13"/>
      <c r="M41" s="10"/>
      <c r="N41" s="14"/>
      <c r="O41" s="10"/>
      <c r="Q41" s="8"/>
      <c r="R41" s="29"/>
      <c r="T41">
        <v>37</v>
      </c>
      <c r="U41" s="28" t="s">
        <v>99</v>
      </c>
      <c r="V41" t="s">
        <v>77</v>
      </c>
      <c r="W41" s="28" t="s">
        <v>100</v>
      </c>
      <c r="Z41" s="34"/>
      <c r="AA41" s="40"/>
      <c r="AB41" s="40"/>
      <c r="AC41" s="38" t="s">
        <v>159</v>
      </c>
      <c r="AD41" s="48">
        <v>48</v>
      </c>
      <c r="AE41" s="53" t="str">
        <f ca="1">LOOKUP(AD41,T$5:T$78,U$5:U$57)</f>
        <v>Venc.J44</v>
      </c>
      <c r="AF41" s="37" t="s">
        <v>157</v>
      </c>
      <c r="AG41" s="65" t="str">
        <f ca="1">LOOKUP(AD41,T$5:T$78,W$5:W$56)</f>
        <v>Venc.J45</v>
      </c>
    </row>
    <row r="42" spans="4:33" ht="13" thickBot="1">
      <c r="E42" s="12"/>
      <c r="F42" s="13" t="s">
        <v>214</v>
      </c>
      <c r="G42" s="9" t="str">
        <f>IF(OR(F41="",F43=""),"",+IF(F41&gt;F43,E41,E43))</f>
        <v/>
      </c>
      <c r="H42" s="11"/>
      <c r="I42" s="10"/>
      <c r="J42" s="14"/>
      <c r="K42" s="10"/>
      <c r="L42" s="14"/>
      <c r="M42" s="10"/>
      <c r="N42" s="14"/>
      <c r="O42" s="10"/>
      <c r="Q42" s="8"/>
      <c r="T42">
        <v>38</v>
      </c>
      <c r="U42" s="28" t="s">
        <v>101</v>
      </c>
      <c r="V42" t="s">
        <v>77</v>
      </c>
      <c r="W42" s="28" t="s">
        <v>102</v>
      </c>
      <c r="Z42" s="34"/>
      <c r="AA42" s="40"/>
      <c r="AB42" s="40"/>
      <c r="AC42" s="38" t="s">
        <v>159</v>
      </c>
      <c r="AD42" s="48">
        <v>49</v>
      </c>
      <c r="AE42" s="53" t="str">
        <f ca="1">LOOKUP(AD42,T$5:T$78,U$5:U$57)</f>
        <v>Venc.J46</v>
      </c>
      <c r="AF42" s="37" t="s">
        <v>157</v>
      </c>
      <c r="AG42" s="65" t="str">
        <f ca="1">LOOKUP(AD42,T$5:T$78,W$5:W$56)</f>
        <v>Venc.J47</v>
      </c>
    </row>
    <row r="43" spans="4:33" ht="13" thickBot="1">
      <c r="D43">
        <v>18</v>
      </c>
      <c r="E43" s="9"/>
      <c r="F43" s="16"/>
      <c r="G43" s="10"/>
      <c r="H43" s="13"/>
      <c r="I43" s="10"/>
      <c r="J43" s="14"/>
      <c r="K43" s="10"/>
      <c r="L43" s="14"/>
      <c r="M43" s="10"/>
      <c r="N43" s="14"/>
      <c r="O43" s="10"/>
      <c r="Q43" s="8"/>
      <c r="T43">
        <v>39</v>
      </c>
      <c r="U43" s="28" t="s">
        <v>103</v>
      </c>
      <c r="V43" t="s">
        <v>77</v>
      </c>
      <c r="W43" s="28" t="s">
        <v>104</v>
      </c>
      <c r="Z43" s="42"/>
      <c r="AA43" s="43"/>
      <c r="AB43" s="43"/>
      <c r="AC43" s="43"/>
      <c r="AD43" s="61"/>
      <c r="AE43" s="62"/>
      <c r="AF43" s="63"/>
      <c r="AG43" s="60"/>
    </row>
    <row r="44" spans="4:33" ht="13" thickBot="1">
      <c r="E44" s="10"/>
      <c r="F44" s="10"/>
      <c r="G44" s="10"/>
      <c r="H44" s="14" t="s">
        <v>252</v>
      </c>
      <c r="I44" s="9" t="str">
        <f>IF(OR(H42="",H45=""),"",+IF(H42&gt;H45,G42,E45))</f>
        <v/>
      </c>
      <c r="J44" s="16"/>
      <c r="K44" s="10"/>
      <c r="L44" s="14"/>
      <c r="M44" s="10"/>
      <c r="N44" s="14"/>
      <c r="O44" s="10"/>
      <c r="Q44" s="8"/>
      <c r="T44">
        <v>40</v>
      </c>
      <c r="U44" s="28" t="s">
        <v>105</v>
      </c>
      <c r="V44" t="s">
        <v>77</v>
      </c>
      <c r="W44" s="28" t="s">
        <v>106</v>
      </c>
    </row>
    <row r="45" spans="4:33" ht="13" thickBot="1">
      <c r="D45">
        <v>19</v>
      </c>
      <c r="E45" s="9"/>
      <c r="F45" s="9"/>
      <c r="G45" s="9">
        <f>E45</f>
        <v>0</v>
      </c>
      <c r="H45" s="16"/>
      <c r="I45" s="10"/>
      <c r="J45" s="10"/>
      <c r="K45" s="10"/>
      <c r="L45" s="14"/>
      <c r="M45" s="10"/>
      <c r="N45" s="14"/>
      <c r="O45" s="10"/>
      <c r="Q45" s="8"/>
      <c r="T45">
        <v>41</v>
      </c>
      <c r="U45" s="28" t="s">
        <v>107</v>
      </c>
      <c r="V45" t="s">
        <v>77</v>
      </c>
      <c r="W45" s="28" t="s">
        <v>108</v>
      </c>
    </row>
    <row r="46" spans="4:33">
      <c r="E46" s="10"/>
      <c r="F46" s="10"/>
      <c r="G46" s="10"/>
      <c r="H46" s="10"/>
      <c r="I46" s="10"/>
      <c r="J46" s="10"/>
      <c r="K46" s="10"/>
      <c r="L46" s="14"/>
      <c r="M46" s="10"/>
      <c r="N46" s="14"/>
      <c r="O46" s="10"/>
      <c r="Q46" s="8"/>
      <c r="T46">
        <v>42</v>
      </c>
      <c r="U46" s="28" t="s">
        <v>109</v>
      </c>
      <c r="V46" t="s">
        <v>77</v>
      </c>
      <c r="W46" s="28" t="s">
        <v>110</v>
      </c>
    </row>
    <row r="47" spans="4:33" ht="13" thickBot="1">
      <c r="D47">
        <v>20</v>
      </c>
      <c r="E47" s="10"/>
      <c r="F47" s="11"/>
      <c r="G47" s="10"/>
      <c r="H47" s="10"/>
      <c r="I47" s="10"/>
      <c r="J47" s="10"/>
      <c r="K47" s="10"/>
      <c r="L47" s="14" t="s">
        <v>259</v>
      </c>
      <c r="M47" s="9" t="str">
        <f>IF(OR(L40="",L53=""),"",+IF(L39&gt;L53,K40,K53))</f>
        <v/>
      </c>
      <c r="N47" s="16"/>
      <c r="O47" s="10"/>
      <c r="Q47" s="8"/>
      <c r="T47">
        <v>43</v>
      </c>
      <c r="U47" s="28" t="s">
        <v>111</v>
      </c>
      <c r="V47" t="s">
        <v>77</v>
      </c>
      <c r="W47" s="28" t="s">
        <v>112</v>
      </c>
    </row>
    <row r="48" spans="4:33" ht="13" thickBot="1">
      <c r="E48" s="12"/>
      <c r="F48" s="13" t="s">
        <v>217</v>
      </c>
      <c r="G48" s="9" t="str">
        <f>IF(OR(F47="",F49=""),"",+IF(F47&gt;F49,E47,E49))</f>
        <v/>
      </c>
      <c r="H48" s="17"/>
      <c r="I48" s="10"/>
      <c r="J48" s="10"/>
      <c r="K48" s="10"/>
      <c r="L48" s="14"/>
      <c r="M48" s="10"/>
      <c r="N48" s="10"/>
      <c r="O48" s="10"/>
      <c r="Q48" s="8"/>
      <c r="T48">
        <v>44</v>
      </c>
      <c r="U48" s="28" t="s">
        <v>113</v>
      </c>
      <c r="V48" t="s">
        <v>77</v>
      </c>
      <c r="W48" s="28" t="s">
        <v>114</v>
      </c>
    </row>
    <row r="49" spans="4:23" ht="13" thickBot="1">
      <c r="D49">
        <v>21</v>
      </c>
      <c r="E49" s="10"/>
      <c r="F49" s="16"/>
      <c r="G49" s="10"/>
      <c r="H49" s="14"/>
      <c r="I49" s="10"/>
      <c r="J49" s="10"/>
      <c r="K49" s="10"/>
      <c r="L49" s="14"/>
      <c r="M49" s="10"/>
      <c r="N49" s="10"/>
      <c r="O49" s="10"/>
      <c r="Q49" s="8"/>
      <c r="T49">
        <v>45</v>
      </c>
      <c r="U49" s="28" t="s">
        <v>115</v>
      </c>
      <c r="V49" t="s">
        <v>77</v>
      </c>
      <c r="W49" s="28" t="s">
        <v>116</v>
      </c>
    </row>
    <row r="50" spans="4:23" ht="13" thickBot="1">
      <c r="E50" s="12"/>
      <c r="F50" s="10"/>
      <c r="G50" s="10"/>
      <c r="H50" s="14" t="s">
        <v>254</v>
      </c>
      <c r="I50" s="9" t="str">
        <f>IF(OR(H48="",H52=""),"",+IF(H48&gt;H52,G48,G52))</f>
        <v/>
      </c>
      <c r="J50" s="17"/>
      <c r="K50" s="10"/>
      <c r="L50" s="14"/>
      <c r="M50" s="10"/>
      <c r="N50" s="10"/>
      <c r="O50" s="10"/>
      <c r="Q50" s="8"/>
      <c r="T50">
        <v>46</v>
      </c>
      <c r="U50" s="28" t="s">
        <v>117</v>
      </c>
      <c r="V50" t="s">
        <v>77</v>
      </c>
      <c r="W50" s="28" t="s">
        <v>118</v>
      </c>
    </row>
    <row r="51" spans="4:23" ht="13" thickBot="1">
      <c r="D51">
        <v>22</v>
      </c>
      <c r="E51" s="10"/>
      <c r="F51" s="11"/>
      <c r="G51" s="10"/>
      <c r="H51" s="14"/>
      <c r="I51" s="10"/>
      <c r="J51" s="14"/>
      <c r="K51" s="10"/>
      <c r="L51" s="14"/>
      <c r="M51" s="10"/>
      <c r="N51" s="10"/>
      <c r="O51" s="10"/>
      <c r="Q51" s="8"/>
      <c r="T51">
        <v>47</v>
      </c>
      <c r="U51" s="28" t="s">
        <v>119</v>
      </c>
      <c r="V51" t="s">
        <v>77</v>
      </c>
      <c r="W51" s="28" t="s">
        <v>120</v>
      </c>
    </row>
    <row r="52" spans="4:23" ht="13" thickBot="1">
      <c r="E52" s="12"/>
      <c r="F52" s="13" t="s">
        <v>219</v>
      </c>
      <c r="G52" s="9" t="str">
        <f>IF(OR(F51="",F53=""),"",+IF(F51&gt;F53,E51,E53))</f>
        <v/>
      </c>
      <c r="H52" s="16"/>
      <c r="I52" s="10"/>
      <c r="J52" s="14"/>
      <c r="K52" s="10"/>
      <c r="L52" s="14"/>
      <c r="M52" s="10"/>
      <c r="N52" s="10"/>
      <c r="O52" s="10"/>
      <c r="Q52" s="8"/>
      <c r="T52">
        <v>48</v>
      </c>
      <c r="U52" s="28" t="s">
        <v>121</v>
      </c>
      <c r="V52" t="s">
        <v>77</v>
      </c>
      <c r="W52" s="28" t="s">
        <v>122</v>
      </c>
    </row>
    <row r="53" spans="4:23" ht="13" thickBot="1">
      <c r="D53">
        <v>23</v>
      </c>
      <c r="E53" s="10"/>
      <c r="F53" s="16"/>
      <c r="G53" s="10"/>
      <c r="H53" s="10"/>
      <c r="I53" s="10"/>
      <c r="J53" s="14" t="s">
        <v>235</v>
      </c>
      <c r="K53" s="9" t="str">
        <f>IF(OR(J50="",J58=""),"",+IF(J50&gt;J58,I50,I58))</f>
        <v/>
      </c>
      <c r="L53" s="16"/>
      <c r="M53" s="10"/>
      <c r="N53" s="10"/>
      <c r="O53" s="10"/>
      <c r="Q53" s="8"/>
      <c r="T53">
        <v>49</v>
      </c>
      <c r="U53" s="28" t="s">
        <v>123</v>
      </c>
      <c r="V53" t="s">
        <v>77</v>
      </c>
      <c r="W53" s="28" t="s">
        <v>124</v>
      </c>
    </row>
    <row r="54" spans="4:23">
      <c r="E54" s="12"/>
      <c r="F54" s="10"/>
      <c r="G54" s="10"/>
      <c r="H54" s="10"/>
      <c r="I54" s="10"/>
      <c r="J54" s="14"/>
      <c r="K54" s="10"/>
      <c r="L54" s="10"/>
      <c r="M54" s="10"/>
      <c r="N54" s="10"/>
      <c r="O54" s="10"/>
      <c r="Q54" s="8"/>
      <c r="T54">
        <v>50</v>
      </c>
      <c r="U54" s="28" t="s">
        <v>125</v>
      </c>
      <c r="V54" t="s">
        <v>77</v>
      </c>
      <c r="W54" s="28" t="s">
        <v>126</v>
      </c>
    </row>
    <row r="55" spans="4:23" ht="13" thickBot="1">
      <c r="D55">
        <v>24</v>
      </c>
      <c r="E55" s="10"/>
      <c r="F55" s="11"/>
      <c r="G55" s="10"/>
      <c r="H55" s="10"/>
      <c r="I55" s="10"/>
      <c r="J55" s="14"/>
      <c r="K55" s="10"/>
      <c r="L55" s="10"/>
      <c r="M55" s="10"/>
      <c r="N55" s="10"/>
      <c r="O55" s="10"/>
      <c r="Q55" s="8"/>
    </row>
    <row r="56" spans="4:23" ht="13" thickBot="1">
      <c r="E56" s="12"/>
      <c r="F56" s="13" t="s">
        <v>221</v>
      </c>
      <c r="G56" s="9" t="str">
        <f>IF(OR(F55="",F57=""),"",+IF(F55&gt;F57,E55,E57))</f>
        <v/>
      </c>
      <c r="H56" s="11"/>
      <c r="I56" s="10"/>
      <c r="J56" s="14"/>
      <c r="K56" s="10"/>
      <c r="L56" s="10"/>
      <c r="M56" s="10"/>
      <c r="N56" s="10"/>
      <c r="O56" s="10"/>
      <c r="Q56" s="8"/>
      <c r="R56" s="29"/>
    </row>
    <row r="57" spans="4:23" ht="13" thickBot="1">
      <c r="D57">
        <v>25</v>
      </c>
      <c r="E57" s="69"/>
      <c r="F57" s="16"/>
      <c r="G57" s="10"/>
      <c r="H57" s="13"/>
      <c r="I57" s="10"/>
      <c r="J57" s="14"/>
      <c r="K57" s="10"/>
      <c r="L57" s="10"/>
      <c r="M57" s="10"/>
      <c r="N57" s="10"/>
      <c r="O57" s="10"/>
      <c r="Q57" s="8"/>
    </row>
    <row r="58" spans="4:23" ht="13" thickBot="1">
      <c r="E58" s="10"/>
      <c r="F58" s="10"/>
      <c r="G58" s="10"/>
      <c r="H58" s="14" t="s">
        <v>256</v>
      </c>
      <c r="I58" s="9" t="str">
        <f>IF(OR(H56="",H59=""),"",+IF(H56&gt;H59,G56,E59))</f>
        <v/>
      </c>
      <c r="J58" s="16"/>
      <c r="K58" s="10"/>
      <c r="L58" s="10"/>
      <c r="M58" s="10"/>
      <c r="N58" s="10"/>
      <c r="O58" s="10"/>
      <c r="Q58" s="8"/>
    </row>
    <row r="59" spans="4:23" ht="13" thickBot="1">
      <c r="D59">
        <v>26</v>
      </c>
      <c r="E59" s="9"/>
      <c r="F59" s="9"/>
      <c r="G59" s="9">
        <f>E59</f>
        <v>0</v>
      </c>
      <c r="H59" s="16"/>
      <c r="I59" s="10"/>
      <c r="J59" s="10"/>
      <c r="K59" s="10"/>
      <c r="L59" s="10"/>
      <c r="M59" s="10"/>
      <c r="N59" s="10"/>
      <c r="O59" s="10"/>
      <c r="Q59" s="8"/>
    </row>
    <row r="60" spans="4:23">
      <c r="Q60" s="8"/>
    </row>
    <row r="61" spans="4:23">
      <c r="Q61" s="8"/>
    </row>
    <row r="62" spans="4:23" ht="13" thickBot="1">
      <c r="D62">
        <v>27</v>
      </c>
      <c r="E62" s="10"/>
      <c r="F62" s="9"/>
      <c r="G62" s="9">
        <f>E62</f>
        <v>0</v>
      </c>
      <c r="H62" s="11"/>
      <c r="I62" s="10"/>
      <c r="J62" s="10"/>
      <c r="K62" s="10"/>
      <c r="L62" s="10"/>
      <c r="M62" s="10"/>
      <c r="N62" s="10"/>
      <c r="O62" s="10"/>
      <c r="P62" t="s">
        <v>233</v>
      </c>
      <c r="Q62" s="27"/>
      <c r="R62" s="7"/>
      <c r="S62" s="7"/>
    </row>
    <row r="63" spans="4:23">
      <c r="E63" s="12"/>
      <c r="F63" s="10"/>
      <c r="G63" s="10"/>
      <c r="H63" s="13"/>
      <c r="I63" s="10"/>
      <c r="J63" s="10"/>
      <c r="K63" s="10"/>
      <c r="L63" s="10"/>
      <c r="M63" s="10"/>
      <c r="N63" s="10"/>
      <c r="O63" s="10"/>
      <c r="Q63" s="8"/>
    </row>
    <row r="64" spans="4:23" ht="13" thickBot="1">
      <c r="E64" s="10"/>
      <c r="F64" s="10"/>
      <c r="G64" s="10"/>
      <c r="H64" s="14" t="s">
        <v>258</v>
      </c>
      <c r="I64" s="9" t="str">
        <f>IF(OR(H62="",H66=""),"",+IF(H62&gt;H66,G62,G66))</f>
        <v/>
      </c>
      <c r="J64" s="11"/>
      <c r="K64" s="10"/>
      <c r="L64" s="10"/>
      <c r="M64" s="10"/>
      <c r="N64" s="10"/>
      <c r="O64" s="10"/>
      <c r="Q64" s="8"/>
    </row>
    <row r="65" spans="4:17" ht="13" thickBot="1">
      <c r="D65">
        <v>28</v>
      </c>
      <c r="E65" s="10"/>
      <c r="F65" s="11"/>
      <c r="G65" s="10"/>
      <c r="H65" s="14"/>
      <c r="I65" s="10"/>
      <c r="J65" s="13"/>
      <c r="K65" s="10"/>
      <c r="L65" s="10"/>
      <c r="M65" s="10"/>
      <c r="N65" s="10"/>
      <c r="O65" s="10"/>
      <c r="Q65" s="8"/>
    </row>
    <row r="66" spans="4:17" ht="13" thickBot="1">
      <c r="E66" s="12"/>
      <c r="F66" s="13" t="s">
        <v>223</v>
      </c>
      <c r="G66" s="9" t="str">
        <f>IF(OR(F65="",F67=""),"",+IF(F65&gt;F67,E65,E67))</f>
        <v/>
      </c>
      <c r="H66" s="16"/>
      <c r="I66" s="10"/>
      <c r="J66" s="14"/>
      <c r="K66" s="10"/>
      <c r="L66" s="10"/>
      <c r="M66" s="10"/>
      <c r="N66" s="10"/>
      <c r="O66" s="10"/>
      <c r="Q66" s="8"/>
    </row>
    <row r="67" spans="4:17" ht="13" thickBot="1">
      <c r="D67">
        <v>29</v>
      </c>
      <c r="E67" s="10"/>
      <c r="F67" s="16"/>
      <c r="G67" s="10"/>
      <c r="H67" s="10"/>
      <c r="I67" s="10"/>
      <c r="J67" s="14"/>
      <c r="K67" s="10"/>
      <c r="L67" s="10"/>
      <c r="M67" s="10"/>
      <c r="N67" s="10"/>
      <c r="O67" s="10"/>
      <c r="Q67" s="8"/>
    </row>
    <row r="68" spans="4:17" ht="13" thickBot="1">
      <c r="E68" s="12"/>
      <c r="F68" s="10"/>
      <c r="G68" s="10"/>
      <c r="H68" s="10"/>
      <c r="I68" s="10"/>
      <c r="J68" s="14" t="s">
        <v>239</v>
      </c>
      <c r="K68" s="9" t="str">
        <f>IF(OR(J64="",J72=""),"",+IF(J64&gt;J72,I64,I72))</f>
        <v/>
      </c>
      <c r="L68" s="17"/>
      <c r="M68" s="10"/>
      <c r="N68" s="10"/>
      <c r="O68" s="10"/>
      <c r="Q68" s="8"/>
    </row>
    <row r="69" spans="4:17" ht="13" thickBot="1">
      <c r="D69">
        <v>30</v>
      </c>
      <c r="E69" s="10"/>
      <c r="F69" s="11"/>
      <c r="G69" s="10"/>
      <c r="H69" s="10"/>
      <c r="I69" s="10"/>
      <c r="J69" s="14"/>
      <c r="K69" s="10"/>
      <c r="L69" s="13"/>
      <c r="M69" s="10"/>
      <c r="N69" s="10"/>
      <c r="O69" s="10"/>
      <c r="Q69" s="8"/>
    </row>
    <row r="70" spans="4:17" ht="13" thickBot="1">
      <c r="E70" s="12"/>
      <c r="F70" s="13" t="s">
        <v>225</v>
      </c>
      <c r="G70" s="9" t="str">
        <f>IF(OR(F69="",F71=""),"",+IF(F69&gt;F71,E69,E71))</f>
        <v/>
      </c>
      <c r="H70" s="11"/>
      <c r="I70" s="10"/>
      <c r="J70" s="14"/>
      <c r="K70" s="10"/>
      <c r="L70" s="14"/>
      <c r="M70" s="10"/>
      <c r="N70" s="10"/>
      <c r="O70" s="10"/>
      <c r="Q70" s="8"/>
    </row>
    <row r="71" spans="4:17" ht="13" thickBot="1">
      <c r="D71">
        <v>31</v>
      </c>
      <c r="E71" s="9"/>
      <c r="F71" s="16"/>
      <c r="G71" s="10"/>
      <c r="H71" s="13"/>
      <c r="I71" s="10"/>
      <c r="J71" s="14"/>
      <c r="K71" s="10"/>
      <c r="L71" s="14"/>
      <c r="M71" s="10"/>
      <c r="N71" s="10"/>
      <c r="O71" s="10"/>
      <c r="Q71" s="8"/>
    </row>
    <row r="72" spans="4:17" ht="13" thickBot="1">
      <c r="E72" s="10"/>
      <c r="F72" s="10"/>
      <c r="G72" s="10"/>
      <c r="H72" s="14" t="s">
        <v>260</v>
      </c>
      <c r="I72" s="9" t="str">
        <f>IF(OR(H70="",H73=""),"",+IF(H70&gt;H73,G70,E73))</f>
        <v/>
      </c>
      <c r="J72" s="16"/>
      <c r="K72" s="10"/>
      <c r="L72" s="14"/>
      <c r="M72" s="10"/>
      <c r="N72" s="10"/>
      <c r="O72" s="10"/>
      <c r="Q72" s="8"/>
    </row>
    <row r="73" spans="4:17" ht="13" thickBot="1">
      <c r="D73">
        <v>32</v>
      </c>
      <c r="E73" s="9"/>
      <c r="F73" s="9"/>
      <c r="G73" s="9">
        <f>E73</f>
        <v>0</v>
      </c>
      <c r="H73" s="16"/>
      <c r="I73" s="10"/>
      <c r="J73" s="10"/>
      <c r="K73" s="10"/>
      <c r="L73" s="14"/>
      <c r="M73" s="10"/>
      <c r="N73" s="10"/>
      <c r="O73" s="10"/>
      <c r="Q73" s="8"/>
    </row>
    <row r="74" spans="4:17">
      <c r="E74" s="10"/>
      <c r="F74" s="10"/>
      <c r="G74" s="10"/>
      <c r="H74" s="10"/>
      <c r="I74" s="10"/>
      <c r="J74" s="10"/>
      <c r="K74" s="10"/>
      <c r="L74" s="14"/>
      <c r="M74" s="10"/>
      <c r="N74" s="10"/>
      <c r="O74" s="10"/>
      <c r="Q74" s="8"/>
    </row>
    <row r="75" spans="4:17" ht="13" thickBot="1">
      <c r="D75">
        <v>33</v>
      </c>
      <c r="E75" s="10"/>
      <c r="F75" s="9"/>
      <c r="G75" s="9">
        <f>E75</f>
        <v>0</v>
      </c>
      <c r="H75" s="11"/>
      <c r="I75" s="10"/>
      <c r="J75" s="10"/>
      <c r="K75" s="10"/>
      <c r="L75" s="14" t="s">
        <v>203</v>
      </c>
      <c r="M75" s="9" t="str">
        <f>IF(OR(L68="",L81=""),"",+IF(L68&gt;L81,K68,K81))</f>
        <v/>
      </c>
      <c r="N75" s="17"/>
      <c r="O75" s="10"/>
      <c r="Q75" s="8"/>
    </row>
    <row r="76" spans="4:17">
      <c r="E76" s="12"/>
      <c r="F76" s="10"/>
      <c r="G76" s="10"/>
      <c r="H76" s="13"/>
      <c r="I76" s="10"/>
      <c r="J76" s="10"/>
      <c r="K76" s="10"/>
      <c r="L76" s="14"/>
      <c r="M76" s="10"/>
      <c r="N76" s="13"/>
      <c r="O76" s="10"/>
      <c r="Q76" s="8"/>
    </row>
    <row r="77" spans="4:17" ht="13" thickBot="1">
      <c r="E77" s="10"/>
      <c r="F77" s="10"/>
      <c r="G77" s="10"/>
      <c r="H77" s="14" t="s">
        <v>201</v>
      </c>
      <c r="I77" s="9" t="str">
        <f>IF(OR(H75="",H79=""),"",+IF(H75&gt;H79,G75,G79))</f>
        <v/>
      </c>
      <c r="J77" s="11"/>
      <c r="K77" s="10"/>
      <c r="L77" s="14"/>
      <c r="M77" s="10"/>
      <c r="N77" s="14"/>
      <c r="O77" s="10"/>
      <c r="Q77" s="8"/>
    </row>
    <row r="78" spans="4:17" ht="13" thickBot="1">
      <c r="D78">
        <v>34</v>
      </c>
      <c r="E78" s="10"/>
      <c r="F78" s="11"/>
      <c r="G78" s="10"/>
      <c r="H78" s="14"/>
      <c r="I78" s="10"/>
      <c r="J78" s="13"/>
      <c r="K78" s="10"/>
      <c r="L78" s="14"/>
      <c r="M78" s="10"/>
      <c r="N78" s="14"/>
      <c r="O78" s="10"/>
      <c r="Q78" s="8"/>
    </row>
    <row r="79" spans="4:17" ht="13" thickBot="1">
      <c r="E79" s="12"/>
      <c r="F79" s="13" t="s">
        <v>227</v>
      </c>
      <c r="G79" s="9" t="str">
        <f>IF(OR(F78="",F80=""),"",+IF(F78&gt;F80,E78,E80))</f>
        <v/>
      </c>
      <c r="H79" s="16"/>
      <c r="I79" s="10"/>
      <c r="J79" s="14"/>
      <c r="K79" s="10"/>
      <c r="L79" s="14"/>
      <c r="M79" s="10"/>
      <c r="N79" s="14"/>
      <c r="O79" s="10"/>
      <c r="Q79" s="8"/>
    </row>
    <row r="80" spans="4:17" ht="13" thickBot="1">
      <c r="D80">
        <v>35</v>
      </c>
      <c r="E80" s="10"/>
      <c r="F80" s="16"/>
      <c r="G80" s="10"/>
      <c r="H80" s="10"/>
      <c r="I80" s="10"/>
      <c r="J80" s="14"/>
      <c r="K80" s="10"/>
      <c r="L80" s="14"/>
      <c r="M80" s="10"/>
      <c r="N80" s="14"/>
      <c r="O80" s="10"/>
      <c r="Q80" s="8"/>
    </row>
    <row r="81" spans="4:17" ht="13" thickBot="1">
      <c r="E81" s="12"/>
      <c r="F81" s="10"/>
      <c r="G81" s="10"/>
      <c r="H81" s="10"/>
      <c r="I81" s="10"/>
      <c r="J81" s="14" t="s">
        <v>243</v>
      </c>
      <c r="K81" s="9" t="str">
        <f>IF(OR(J77="",J85=""),"",+IF(J77&gt;J85,I77,I85))</f>
        <v/>
      </c>
      <c r="L81" s="16"/>
      <c r="M81" s="10"/>
      <c r="N81" s="14"/>
      <c r="O81" s="10"/>
      <c r="Q81" s="8"/>
    </row>
    <row r="82" spans="4:17" ht="13" thickBot="1">
      <c r="D82">
        <v>36</v>
      </c>
      <c r="E82" s="10"/>
      <c r="F82" s="11"/>
      <c r="G82" s="10"/>
      <c r="H82" s="10"/>
      <c r="I82" s="10"/>
      <c r="J82" s="14"/>
      <c r="K82" s="10"/>
      <c r="L82" s="10"/>
      <c r="M82" s="10"/>
      <c r="N82" s="14"/>
      <c r="O82" s="10"/>
      <c r="Q82" s="8"/>
    </row>
    <row r="83" spans="4:17" ht="13" thickBot="1">
      <c r="E83" s="12"/>
      <c r="F83" s="13" t="s">
        <v>229</v>
      </c>
      <c r="G83" s="9" t="str">
        <f>IF(OR(F82="",F84=""),"",+IF(F82&gt;F84,E82,E84))</f>
        <v/>
      </c>
      <c r="H83" s="11"/>
      <c r="I83" s="10"/>
      <c r="J83" s="14"/>
      <c r="K83" s="10"/>
      <c r="L83" s="10"/>
      <c r="M83" s="10"/>
      <c r="N83" s="14"/>
      <c r="O83" s="10"/>
      <c r="Q83" s="8"/>
    </row>
    <row r="84" spans="4:17" ht="13" thickBot="1">
      <c r="D84">
        <v>37</v>
      </c>
      <c r="E84" s="9"/>
      <c r="F84" s="16"/>
      <c r="G84" s="10"/>
      <c r="H84" s="13"/>
      <c r="I84" s="10"/>
      <c r="J84" s="14"/>
      <c r="K84" s="10"/>
      <c r="L84" s="10"/>
      <c r="M84" s="10"/>
      <c r="N84" s="14"/>
      <c r="O84" s="10"/>
      <c r="Q84" s="8"/>
    </row>
    <row r="85" spans="4:17" ht="13" thickBot="1">
      <c r="E85" s="10"/>
      <c r="F85" s="10"/>
      <c r="G85" s="10"/>
      <c r="H85" s="14" t="s">
        <v>205</v>
      </c>
      <c r="I85" s="9" t="str">
        <f>IF(OR(H83="",H86=""),"",+IF(H83&gt;H86,G83,E86))</f>
        <v/>
      </c>
      <c r="J85" s="16"/>
      <c r="K85" s="10"/>
      <c r="L85" s="10"/>
      <c r="M85" s="10"/>
      <c r="N85" s="14"/>
      <c r="O85" s="10"/>
      <c r="Q85" s="8"/>
    </row>
    <row r="86" spans="4:17" ht="13" thickBot="1">
      <c r="D86">
        <v>38</v>
      </c>
      <c r="E86" s="9"/>
      <c r="F86" s="9"/>
      <c r="G86" s="9">
        <f>E86</f>
        <v>0</v>
      </c>
      <c r="H86" s="16"/>
      <c r="I86" s="10"/>
      <c r="J86" s="10"/>
      <c r="K86" s="10"/>
      <c r="L86" s="10"/>
      <c r="M86" s="10"/>
      <c r="N86" s="14"/>
      <c r="O86" s="10"/>
      <c r="Q86" s="8"/>
    </row>
    <row r="87" spans="4:17" ht="13" thickBot="1">
      <c r="E87" s="10"/>
      <c r="F87" s="10"/>
      <c r="G87" s="10"/>
      <c r="H87" s="10"/>
      <c r="I87" s="10"/>
      <c r="J87" s="10"/>
      <c r="K87" s="10"/>
      <c r="L87" s="10"/>
      <c r="M87" s="10"/>
      <c r="N87" s="14" t="s">
        <v>226</v>
      </c>
      <c r="O87" s="9" t="str">
        <f>IF(OR(N75="",N101=""),"",+IF(N75&gt;N101,M75,M101))</f>
        <v/>
      </c>
      <c r="P87" s="7"/>
      <c r="Q87" s="8"/>
    </row>
    <row r="88" spans="4:17" ht="13" thickBot="1">
      <c r="D88">
        <v>39</v>
      </c>
      <c r="E88" s="10"/>
      <c r="F88" s="9"/>
      <c r="G88" s="9">
        <f>E88</f>
        <v>0</v>
      </c>
      <c r="H88" s="11"/>
      <c r="I88" s="10"/>
      <c r="J88" s="10"/>
      <c r="K88" s="10"/>
      <c r="L88" s="10"/>
      <c r="M88" s="10"/>
      <c r="N88" s="14"/>
      <c r="O88" s="10"/>
    </row>
    <row r="89" spans="4:17">
      <c r="E89" s="12"/>
      <c r="F89" s="10"/>
      <c r="G89" s="10"/>
      <c r="H89" s="13"/>
      <c r="I89" s="10"/>
      <c r="J89" s="10"/>
      <c r="K89" s="10"/>
      <c r="L89" s="10"/>
      <c r="M89" s="10"/>
      <c r="N89" s="14"/>
      <c r="O89" s="10"/>
    </row>
    <row r="90" spans="4:17" ht="13" thickBot="1">
      <c r="E90" s="10"/>
      <c r="F90" s="10"/>
      <c r="G90" s="10"/>
      <c r="H90" s="14" t="s">
        <v>209</v>
      </c>
      <c r="I90" s="9" t="str">
        <f>IF(OR(H88="",H92=""),"",+IF(H88&gt;H92,G88,G92))</f>
        <v/>
      </c>
      <c r="J90" s="11"/>
      <c r="K90" s="10"/>
      <c r="L90" s="10"/>
      <c r="M90" s="10"/>
      <c r="N90" s="14"/>
      <c r="O90" s="10"/>
    </row>
    <row r="91" spans="4:17" ht="13" thickBot="1">
      <c r="D91">
        <v>40</v>
      </c>
      <c r="E91" s="10"/>
      <c r="F91" s="11"/>
      <c r="G91" s="10"/>
      <c r="H91" s="14"/>
      <c r="I91" s="10"/>
      <c r="J91" s="13"/>
      <c r="K91" s="10"/>
      <c r="L91" s="10"/>
      <c r="M91" s="10"/>
      <c r="N91" s="14"/>
      <c r="O91" s="10"/>
    </row>
    <row r="92" spans="4:17" ht="13" thickBot="1">
      <c r="E92" s="12"/>
      <c r="F92" s="13" t="s">
        <v>232</v>
      </c>
      <c r="G92" s="9" t="str">
        <f>IF(OR(F91="",F93=""),"",+IF(F91&gt;F93,E91,E93))</f>
        <v/>
      </c>
      <c r="H92" s="16"/>
      <c r="I92" s="10"/>
      <c r="J92" s="14"/>
      <c r="K92" s="10"/>
      <c r="L92" s="10"/>
      <c r="M92" s="10"/>
      <c r="N92" s="14"/>
      <c r="O92" s="10"/>
    </row>
    <row r="93" spans="4:17" ht="13" thickBot="1">
      <c r="D93">
        <v>41</v>
      </c>
      <c r="E93" s="10"/>
      <c r="F93" s="16"/>
      <c r="G93" s="10"/>
      <c r="H93" s="10"/>
      <c r="I93" s="10"/>
      <c r="J93" s="14"/>
      <c r="K93" s="10"/>
      <c r="L93" s="10"/>
      <c r="M93" s="10"/>
      <c r="N93" s="14"/>
      <c r="O93" s="10"/>
    </row>
    <row r="94" spans="4:17" ht="13" thickBot="1">
      <c r="E94" s="12"/>
      <c r="F94" s="10"/>
      <c r="G94" s="10"/>
      <c r="H94" s="10"/>
      <c r="I94" s="10"/>
      <c r="J94" s="14" t="s">
        <v>247</v>
      </c>
      <c r="K94" s="9" t="str">
        <f>IF(OR(J90="",J98=""),"",+IF(J90&gt;J98,I90,I98))</f>
        <v/>
      </c>
      <c r="L94" s="17"/>
      <c r="M94" s="10"/>
      <c r="N94" s="14"/>
      <c r="O94" s="10"/>
    </row>
    <row r="95" spans="4:17" ht="13" thickBot="1">
      <c r="D95">
        <v>42</v>
      </c>
      <c r="E95" s="10"/>
      <c r="F95" s="11"/>
      <c r="G95" s="10"/>
      <c r="H95" s="10"/>
      <c r="I95" s="10"/>
      <c r="J95" s="14"/>
      <c r="K95" s="10"/>
      <c r="L95" s="13"/>
      <c r="M95" s="10"/>
      <c r="N95" s="14"/>
      <c r="O95" s="10"/>
    </row>
    <row r="96" spans="4:17" ht="13" thickBot="1">
      <c r="E96" s="12"/>
      <c r="F96" s="13" t="s">
        <v>234</v>
      </c>
      <c r="G96" s="9" t="str">
        <f>IF(OR(F95="",F97=""),"",+IF(F95&gt;F97,E95,E97))</f>
        <v/>
      </c>
      <c r="H96" s="11"/>
      <c r="I96" s="10"/>
      <c r="J96" s="14"/>
      <c r="K96" s="10"/>
      <c r="L96" s="14"/>
      <c r="M96" s="10"/>
      <c r="N96" s="14"/>
      <c r="O96" s="10"/>
    </row>
    <row r="97" spans="4:15" ht="13" thickBot="1">
      <c r="D97">
        <v>43</v>
      </c>
      <c r="E97" s="9"/>
      <c r="F97" s="16"/>
      <c r="G97" s="10"/>
      <c r="H97" s="13"/>
      <c r="I97" s="10"/>
      <c r="J97" s="14"/>
      <c r="K97" s="10"/>
      <c r="L97" s="14"/>
      <c r="M97" s="10"/>
      <c r="N97" s="14"/>
      <c r="O97" s="10"/>
    </row>
    <row r="98" spans="4:15" ht="13" thickBot="1">
      <c r="E98" s="10"/>
      <c r="F98" s="10"/>
      <c r="G98" s="10"/>
      <c r="H98" s="14" t="s">
        <v>213</v>
      </c>
      <c r="I98" s="9" t="str">
        <f>IF(OR(H96="",H99=""),"",+IF(H96&gt;H99,G96,E99))</f>
        <v/>
      </c>
      <c r="J98" s="16"/>
      <c r="K98" s="10"/>
      <c r="L98" s="14"/>
      <c r="M98" s="10"/>
      <c r="N98" s="14"/>
      <c r="O98" s="10"/>
    </row>
    <row r="99" spans="4:15" ht="13" thickBot="1">
      <c r="D99">
        <v>44</v>
      </c>
      <c r="E99" s="9"/>
      <c r="F99" s="9"/>
      <c r="G99" s="9">
        <f>E99</f>
        <v>0</v>
      </c>
      <c r="H99" s="16"/>
      <c r="I99" s="10"/>
      <c r="J99" s="10"/>
      <c r="K99" s="10"/>
      <c r="L99" s="14"/>
      <c r="M99" s="10"/>
      <c r="N99" s="14"/>
      <c r="O99" s="10"/>
    </row>
    <row r="100" spans="4:15">
      <c r="E100" s="10"/>
      <c r="F100" s="10"/>
      <c r="G100" s="10"/>
      <c r="H100" s="10"/>
      <c r="I100" s="10"/>
      <c r="J100" s="10"/>
      <c r="K100" s="10"/>
      <c r="L100" s="14"/>
      <c r="M100" s="10"/>
      <c r="N100" s="14"/>
      <c r="O100" s="10"/>
    </row>
    <row r="101" spans="4:15" ht="13" thickBot="1">
      <c r="D101">
        <v>45</v>
      </c>
      <c r="E101" s="10"/>
      <c r="F101" s="11"/>
      <c r="G101" s="10"/>
      <c r="H101" s="10"/>
      <c r="I101" s="10"/>
      <c r="J101" s="10"/>
      <c r="K101" s="10"/>
      <c r="L101" s="14" t="s">
        <v>211</v>
      </c>
      <c r="M101" s="9" t="str">
        <f>IF(OR(L94="",L107=""),"",+IF(L93&gt;L107,K94,K107))</f>
        <v/>
      </c>
      <c r="N101" s="16"/>
      <c r="O101" s="10"/>
    </row>
    <row r="102" spans="4:15" ht="13" thickBot="1">
      <c r="E102" s="12"/>
      <c r="F102" s="13" t="s">
        <v>236</v>
      </c>
      <c r="G102" s="9" t="str">
        <f>IF(OR(F101="",F103=""),"",+IF(F101&gt;F103,E101,E103))</f>
        <v/>
      </c>
      <c r="H102" s="17"/>
      <c r="I102" s="10"/>
      <c r="J102" s="10"/>
      <c r="K102" s="10"/>
      <c r="L102" s="14"/>
      <c r="M102" s="10"/>
      <c r="N102" s="10"/>
      <c r="O102" s="10"/>
    </row>
    <row r="103" spans="4:15" ht="13" thickBot="1">
      <c r="D103">
        <v>46</v>
      </c>
      <c r="E103" s="10"/>
      <c r="F103" s="16"/>
      <c r="G103" s="10"/>
      <c r="H103" s="14"/>
      <c r="I103" s="10"/>
      <c r="J103" s="10"/>
      <c r="K103" s="10"/>
      <c r="L103" s="14"/>
      <c r="M103" s="10"/>
      <c r="N103" s="10"/>
      <c r="O103" s="10"/>
    </row>
    <row r="104" spans="4:15" ht="13" thickBot="1">
      <c r="E104" s="12"/>
      <c r="F104" s="10"/>
      <c r="G104" s="10"/>
      <c r="H104" s="14" t="s">
        <v>216</v>
      </c>
      <c r="I104" s="9" t="str">
        <f>IF(OR(H102="",H106=""),"",+IF(H102&gt;H106,G102,G106))</f>
        <v/>
      </c>
      <c r="J104" s="17"/>
      <c r="K104" s="10"/>
      <c r="L104" s="14"/>
      <c r="M104" s="10"/>
      <c r="N104" s="10"/>
      <c r="O104" s="10"/>
    </row>
    <row r="105" spans="4:15" ht="13" thickBot="1">
      <c r="D105">
        <v>47</v>
      </c>
      <c r="E105" s="10"/>
      <c r="F105" s="11"/>
      <c r="G105" s="10"/>
      <c r="H105" s="14"/>
      <c r="I105" s="10"/>
      <c r="J105" s="14"/>
      <c r="K105" s="10"/>
      <c r="L105" s="14"/>
      <c r="M105" s="10"/>
      <c r="N105" s="10"/>
      <c r="O105" s="10"/>
    </row>
    <row r="106" spans="4:15" ht="13" thickBot="1">
      <c r="E106" s="12"/>
      <c r="F106" s="13" t="s">
        <v>238</v>
      </c>
      <c r="G106" s="9" t="str">
        <f>IF(OR(F105="",F107=""),"",+IF(F105&gt;F107,E105,E107))</f>
        <v/>
      </c>
      <c r="H106" s="16"/>
      <c r="I106" s="10"/>
      <c r="J106" s="14"/>
      <c r="K106" s="10"/>
      <c r="L106" s="14"/>
      <c r="M106" s="10"/>
      <c r="N106" s="10"/>
      <c r="O106" s="10"/>
    </row>
    <row r="107" spans="4:15" ht="13" thickBot="1">
      <c r="D107">
        <v>48</v>
      </c>
      <c r="E107" s="10"/>
      <c r="F107" s="16"/>
      <c r="G107" s="10"/>
      <c r="H107" s="10"/>
      <c r="I107" s="10"/>
      <c r="J107" s="14" t="s">
        <v>251</v>
      </c>
      <c r="K107" s="9" t="str">
        <f>IF(OR(J104="",J112=""),"",+IF(J104&gt;J112,I104,I112))</f>
        <v/>
      </c>
      <c r="L107" s="16"/>
      <c r="M107" s="10"/>
      <c r="N107" s="10"/>
      <c r="O107" s="10"/>
    </row>
    <row r="108" spans="4:15">
      <c r="E108" s="12"/>
      <c r="F108" s="10"/>
      <c r="G108" s="10"/>
      <c r="H108" s="10"/>
      <c r="I108" s="10"/>
      <c r="J108" s="14"/>
      <c r="K108" s="10"/>
      <c r="L108" s="10"/>
      <c r="M108" s="10"/>
      <c r="N108" s="10"/>
      <c r="O108" s="10"/>
    </row>
    <row r="109" spans="4:15" ht="13" thickBot="1">
      <c r="D109">
        <v>49</v>
      </c>
      <c r="E109" s="10"/>
      <c r="F109" s="11"/>
      <c r="G109" s="10"/>
      <c r="H109" s="10"/>
      <c r="I109" s="10"/>
      <c r="J109" s="14"/>
      <c r="K109" s="10"/>
      <c r="L109" s="10"/>
      <c r="M109" s="10"/>
      <c r="N109" s="10"/>
      <c r="O109" s="10"/>
    </row>
    <row r="110" spans="4:15" ht="13" thickBot="1">
      <c r="E110" s="12"/>
      <c r="F110" s="13" t="s">
        <v>240</v>
      </c>
      <c r="G110" s="9" t="str">
        <f>IF(OR(F109="",F111=""),"",+IF(F109&gt;F111,E109,E111))</f>
        <v/>
      </c>
      <c r="H110" s="11"/>
      <c r="I110" s="10"/>
      <c r="J110" s="14"/>
      <c r="K110" s="10"/>
      <c r="L110" s="10"/>
      <c r="M110" s="10"/>
      <c r="N110" s="10"/>
      <c r="O110" s="10"/>
    </row>
    <row r="111" spans="4:15" ht="13" thickBot="1">
      <c r="D111">
        <v>50</v>
      </c>
      <c r="E111" s="9"/>
      <c r="F111" s="16"/>
      <c r="G111" s="10"/>
      <c r="H111" s="13"/>
      <c r="I111" s="10"/>
      <c r="J111" s="14"/>
      <c r="K111" s="10"/>
      <c r="L111" s="10"/>
      <c r="M111" s="10"/>
      <c r="N111" s="10"/>
      <c r="O111" s="10"/>
    </row>
    <row r="112" spans="4:15" ht="13" thickBot="1">
      <c r="E112" s="10"/>
      <c r="F112" s="10"/>
      <c r="G112" s="10"/>
      <c r="H112" s="14" t="s">
        <v>220</v>
      </c>
      <c r="I112" s="9" t="str">
        <f>IF(OR(H110="",H113=""),"",+IF(H110&gt;H113,G110,E113))</f>
        <v/>
      </c>
      <c r="J112" s="16"/>
      <c r="K112" s="10"/>
      <c r="L112" s="10"/>
      <c r="M112" s="10"/>
      <c r="N112" s="10"/>
      <c r="O112" s="10"/>
    </row>
    <row r="113" spans="4:15" ht="13" thickBot="1">
      <c r="D113">
        <v>51</v>
      </c>
      <c r="E113" s="9"/>
      <c r="F113" s="9"/>
      <c r="G113" s="9">
        <f>E113</f>
        <v>0</v>
      </c>
      <c r="H113" s="16"/>
      <c r="I113" s="10"/>
      <c r="J113" s="10"/>
      <c r="K113" s="10"/>
      <c r="L113" s="10"/>
      <c r="M113" s="10"/>
      <c r="N113" s="10"/>
      <c r="O113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Plan74"/>
  <dimension ref="D4:AG125"/>
  <sheetViews>
    <sheetView showGridLines="0" topLeftCell="A74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3515625" customWidth="1"/>
    <col min="14" max="14" width="3.64453125" customWidth="1"/>
    <col min="15" max="15" width="15.64453125" customWidth="1"/>
    <col min="16" max="16" width="4.11718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 t="e">
        <f>E10</f>
        <v>#REF!</v>
      </c>
      <c r="V5" t="s">
        <v>77</v>
      </c>
      <c r="W5" s="29" t="e">
        <f>E12</f>
        <v>#REF!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 t="e">
        <f>E14</f>
        <v>#REF!</v>
      </c>
      <c r="V6" t="s">
        <v>77</v>
      </c>
      <c r="W6" s="29" t="e">
        <f>E16</f>
        <v>#REF!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 t="e">
        <f>#REF!</f>
        <v>#REF!</v>
      </c>
      <c r="F7" s="9"/>
      <c r="G7" s="9" t="e">
        <f>E7</f>
        <v>#REF!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 t="e">
        <f>E23</f>
        <v>#REF!</v>
      </c>
      <c r="V7" t="s">
        <v>77</v>
      </c>
      <c r="W7" s="29" t="e">
        <f>E25</f>
        <v>#REF!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 t="e">
        <f>E27</f>
        <v>#REF!</v>
      </c>
      <c r="V8" t="s">
        <v>77</v>
      </c>
      <c r="W8" s="29" t="e">
        <f>E29</f>
        <v>#REF!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240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 t="e">
        <f>E36</f>
        <v>#REF!</v>
      </c>
      <c r="V9" t="s">
        <v>77</v>
      </c>
      <c r="W9" s="29" t="e">
        <f>E38</f>
        <v>#REF!</v>
      </c>
      <c r="Z9" s="34"/>
      <c r="AA9" s="40"/>
      <c r="AB9" s="40"/>
      <c r="AC9" s="38" t="s">
        <v>159</v>
      </c>
      <c r="AD9" s="48"/>
      <c r="AE9" s="53" t="e">
        <f>LOOKUP(AD9,T$5:T$78,U$5:U$56)</f>
        <v>#N/A</v>
      </c>
      <c r="AF9" s="37" t="s">
        <v>157</v>
      </c>
      <c r="AG9" s="65" t="e">
        <f>LOOKUP(AD9,T$5:T$78,W$5:W$55)</f>
        <v>#N/A</v>
      </c>
    </row>
    <row r="10" spans="4:33" ht="13" thickBot="1">
      <c r="D10">
        <v>2</v>
      </c>
      <c r="E10" s="10" t="e">
        <f>#REF!</f>
        <v>#REF!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 t="e">
        <f>E40</f>
        <v>#REF!</v>
      </c>
      <c r="V10" t="s">
        <v>77</v>
      </c>
      <c r="W10" s="29" t="e">
        <f>E42</f>
        <v>#REF!</v>
      </c>
      <c r="Z10" s="34"/>
      <c r="AA10" s="40"/>
      <c r="AB10" s="40"/>
      <c r="AC10" s="38" t="s">
        <v>159</v>
      </c>
      <c r="AD10" s="48"/>
      <c r="AE10" s="53" t="e">
        <f>LOOKUP(AD10,T$5:T$78,U$5:U$56)</f>
        <v>#N/A</v>
      </c>
      <c r="AF10" s="37" t="s">
        <v>157</v>
      </c>
      <c r="AG10" s="65" t="e">
        <f>LOOKUP(AD10,T$5:T$78,W$5:W$55)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 t="e">
        <f>E46</f>
        <v>#REF!</v>
      </c>
      <c r="V11" t="s">
        <v>77</v>
      </c>
      <c r="W11" s="29" t="e">
        <f>E48</f>
        <v>#REF!</v>
      </c>
      <c r="Z11" s="34"/>
      <c r="AA11" s="40"/>
      <c r="AB11" s="40"/>
      <c r="AC11" s="38" t="s">
        <v>159</v>
      </c>
      <c r="AD11" s="48"/>
      <c r="AE11" s="53" t="e">
        <f>LOOKUP(AD11,T$5:T$78,U$5:U$56)</f>
        <v>#N/A</v>
      </c>
      <c r="AF11" s="37" t="s">
        <v>157</v>
      </c>
      <c r="AG11" s="65" t="e">
        <f>LOOKUP(AD11,T$5:T$78,W$5:W$55)</f>
        <v>#N/A</v>
      </c>
    </row>
    <row r="12" spans="4:33" ht="13" thickBot="1">
      <c r="D12">
        <v>3</v>
      </c>
      <c r="E12" s="10" t="e">
        <f>#REF!</f>
        <v>#REF!</v>
      </c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 t="e">
        <f>E50</f>
        <v>#REF!</v>
      </c>
      <c r="V12" t="s">
        <v>77</v>
      </c>
      <c r="W12" s="29" t="e">
        <f>E52</f>
        <v>#REF!</v>
      </c>
      <c r="Z12" s="34"/>
      <c r="AA12" s="40"/>
      <c r="AB12" s="40"/>
      <c r="AC12" s="38" t="s">
        <v>159</v>
      </c>
      <c r="AD12" s="48"/>
      <c r="AE12" s="53" t="e">
        <f>LOOKUP(AD12,T$5:T$78,U$5:U$56)</f>
        <v>#N/A</v>
      </c>
      <c r="AF12" s="37" t="s">
        <v>157</v>
      </c>
      <c r="AG12" s="65" t="e">
        <f>LOOKUP(AD12,T$5:T$78,W$5:W$55)</f>
        <v>#N/A</v>
      </c>
    </row>
    <row r="13" spans="4:33" ht="13" thickBot="1">
      <c r="E13" s="12"/>
      <c r="F13" s="10"/>
      <c r="G13" s="10"/>
      <c r="H13" s="10"/>
      <c r="I13" s="10"/>
      <c r="J13" s="14" t="s">
        <v>220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 t="e">
        <f>E54</f>
        <v>#REF!</v>
      </c>
      <c r="V13" t="s">
        <v>77</v>
      </c>
      <c r="W13" s="29" t="e">
        <f>E56</f>
        <v>#REF!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 t="e">
        <f>#REF!</f>
        <v>#REF!</v>
      </c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 t="e">
        <f>E64</f>
        <v>#REF!</v>
      </c>
      <c r="V14" t="s">
        <v>77</v>
      </c>
      <c r="W14" s="29" t="e">
        <f>E66</f>
        <v>#REF!</v>
      </c>
      <c r="Z14" s="34"/>
      <c r="AA14" s="40"/>
      <c r="AB14" s="40"/>
      <c r="AC14" s="38" t="s">
        <v>159</v>
      </c>
      <c r="AD14" s="48"/>
      <c r="AE14" s="53" t="e">
        <f>LOOKUP(AD14,T$5:T$78,U$5:U$56)</f>
        <v>#N/A</v>
      </c>
      <c r="AF14" s="37" t="s">
        <v>157</v>
      </c>
      <c r="AG14" s="65" t="e">
        <f>LOOKUP(AD14,T$5:T$78,W$5:W$55)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N15" s="10"/>
      <c r="O15" s="10"/>
      <c r="T15">
        <v>11</v>
      </c>
      <c r="U15" s="28" t="e">
        <f>E68</f>
        <v>#REF!</v>
      </c>
      <c r="V15" t="s">
        <v>77</v>
      </c>
      <c r="W15" s="29" t="e">
        <f>E70</f>
        <v>#REF!</v>
      </c>
      <c r="Z15" s="34"/>
      <c r="AA15" s="40"/>
      <c r="AB15" s="40"/>
      <c r="AC15" s="38" t="s">
        <v>159</v>
      </c>
      <c r="AD15" s="48"/>
      <c r="AE15" s="53" t="e">
        <f>LOOKUP(AD15,T$5:T$78,U$5:U$56)</f>
        <v>#N/A</v>
      </c>
      <c r="AF15" s="37" t="s">
        <v>157</v>
      </c>
      <c r="AG15" s="65" t="e">
        <f>LOOKUP(AD15,T$5:T$78,W$5:W$55)</f>
        <v>#N/A</v>
      </c>
    </row>
    <row r="16" spans="4:33" ht="13" thickBot="1">
      <c r="D16">
        <v>5</v>
      </c>
      <c r="E16" s="9" t="e">
        <f>#REF!</f>
        <v>#REF!</v>
      </c>
      <c r="F16" s="16"/>
      <c r="G16" s="10"/>
      <c r="H16" s="13"/>
      <c r="I16" s="10"/>
      <c r="J16" s="14"/>
      <c r="K16" s="10"/>
      <c r="L16" s="14"/>
      <c r="M16" s="10"/>
      <c r="N16" s="10"/>
      <c r="O16" s="10"/>
      <c r="T16">
        <v>12</v>
      </c>
      <c r="U16" s="28" t="e">
        <f>E77</f>
        <v>#REF!</v>
      </c>
      <c r="V16" t="s">
        <v>77</v>
      </c>
      <c r="W16" s="29" t="e">
        <f>E79</f>
        <v>#REF!</v>
      </c>
      <c r="Z16" s="34"/>
      <c r="AA16" s="40"/>
      <c r="AB16" s="40"/>
      <c r="AC16" s="38" t="s">
        <v>159</v>
      </c>
      <c r="AD16" s="48"/>
      <c r="AE16" s="53" t="e">
        <f>LOOKUP(AD16,T$5:T$78,U$5:U$56)</f>
        <v>#N/A</v>
      </c>
      <c r="AF16" s="37" t="s">
        <v>157</v>
      </c>
      <c r="AG16" s="65" t="e">
        <f>LOOKUP(AD16,T$5:T$78,W$5:W$55)</f>
        <v>#N/A</v>
      </c>
    </row>
    <row r="17" spans="4:33" ht="13" thickBot="1">
      <c r="E17" s="10"/>
      <c r="F17" s="10"/>
      <c r="G17" s="10"/>
      <c r="H17" s="14" t="s">
        <v>242</v>
      </c>
      <c r="I17" s="9" t="str">
        <f>IF(OR(H15="",H18=""),"",+IF(H15&gt;H18,G15,E18))</f>
        <v/>
      </c>
      <c r="J17" s="16"/>
      <c r="K17" s="10"/>
      <c r="L17" s="14"/>
      <c r="M17" s="10"/>
      <c r="N17" s="10"/>
      <c r="O17" s="10"/>
      <c r="T17">
        <v>13</v>
      </c>
      <c r="U17" s="28" t="e">
        <f>E81</f>
        <v>#REF!</v>
      </c>
      <c r="V17" t="s">
        <v>77</v>
      </c>
      <c r="W17" s="29" t="e">
        <f>E83</f>
        <v>#REF!</v>
      </c>
      <c r="Z17" s="34"/>
      <c r="AA17" s="40"/>
      <c r="AB17" s="40"/>
      <c r="AC17" s="38" t="s">
        <v>159</v>
      </c>
      <c r="AD17" s="48"/>
      <c r="AE17" s="53" t="e">
        <f>LOOKUP(AD17,T$5:T$78,U$5:U$56)</f>
        <v>#N/A</v>
      </c>
      <c r="AF17" s="37" t="s">
        <v>157</v>
      </c>
      <c r="AG17" s="65" t="e">
        <f>LOOKUP(AD17,T$5:T$78,W$5:W$55)</f>
        <v>#N/A</v>
      </c>
    </row>
    <row r="18" spans="4:33" ht="13" thickBot="1">
      <c r="D18">
        <v>6</v>
      </c>
      <c r="E18" s="9" t="e">
        <f>#REF!</f>
        <v>#REF!</v>
      </c>
      <c r="F18" s="9"/>
      <c r="G18" s="9" t="e">
        <f>E18</f>
        <v>#REF!</v>
      </c>
      <c r="H18" s="16"/>
      <c r="I18" s="10"/>
      <c r="J18" s="10"/>
      <c r="K18" s="10"/>
      <c r="L18" s="14"/>
      <c r="M18" s="10"/>
      <c r="N18" s="10"/>
      <c r="O18" s="10"/>
      <c r="T18">
        <v>14</v>
      </c>
      <c r="U18" s="28" t="e">
        <f>E90</f>
        <v>#REF!</v>
      </c>
      <c r="V18" t="s">
        <v>77</v>
      </c>
      <c r="W18" s="29" t="e">
        <f>E92</f>
        <v>#REF!</v>
      </c>
      <c r="Z18" s="34"/>
      <c r="AA18" s="41"/>
      <c r="AB18" s="33"/>
      <c r="AC18" s="33"/>
      <c r="AD18" s="50"/>
      <c r="AE18" s="54"/>
      <c r="AF18" s="33"/>
      <c r="AG18" s="58"/>
    </row>
    <row r="19" spans="4:33">
      <c r="E19" s="10"/>
      <c r="F19" s="10"/>
      <c r="G19" s="10"/>
      <c r="H19" s="10"/>
      <c r="I19" s="10"/>
      <c r="J19" s="10"/>
      <c r="K19" s="10"/>
      <c r="L19" s="14"/>
      <c r="M19" s="10"/>
      <c r="N19" s="10"/>
      <c r="O19" s="10"/>
      <c r="T19">
        <v>15</v>
      </c>
      <c r="U19" s="28" t="e">
        <f>E94</f>
        <v>#REF!</v>
      </c>
      <c r="V19" t="s">
        <v>77</v>
      </c>
      <c r="W19" s="29" t="e">
        <f>E96</f>
        <v>#REF!</v>
      </c>
      <c r="Z19" s="34"/>
      <c r="AA19" s="40"/>
      <c r="AB19" s="40"/>
      <c r="AC19" s="38" t="s">
        <v>159</v>
      </c>
      <c r="AD19" s="48"/>
      <c r="AE19" s="53" t="e">
        <f>LOOKUP(AD19,T$5:T$78,U$5:U$56)</f>
        <v>#N/A</v>
      </c>
      <c r="AF19" s="37" t="s">
        <v>157</v>
      </c>
      <c r="AG19" s="65" t="e">
        <f>LOOKUP(AD19,T$5:T$78,W$5:W$55)</f>
        <v>#N/A</v>
      </c>
    </row>
    <row r="20" spans="4:33" ht="13" thickBot="1">
      <c r="D20">
        <v>7</v>
      </c>
      <c r="E20" s="10" t="e">
        <f>#REF!</f>
        <v>#REF!</v>
      </c>
      <c r="F20" s="9"/>
      <c r="G20" s="9" t="e">
        <f>E20</f>
        <v>#REF!</v>
      </c>
      <c r="H20" s="11"/>
      <c r="I20" s="10"/>
      <c r="J20" s="10"/>
      <c r="K20" s="10"/>
      <c r="L20" s="14" t="s">
        <v>251</v>
      </c>
      <c r="M20" s="9" t="str">
        <f>IF(OR(L13="",L26=""),"",+IF(L13&gt;L26,K13,K26))</f>
        <v/>
      </c>
      <c r="N20" s="17"/>
      <c r="O20" s="10"/>
      <c r="T20">
        <v>16</v>
      </c>
      <c r="U20" s="28" t="e">
        <f>E100</f>
        <v>#REF!</v>
      </c>
      <c r="V20" t="s">
        <v>77</v>
      </c>
      <c r="W20" s="29" t="e">
        <f>E102</f>
        <v>#REF!</v>
      </c>
      <c r="Z20" s="34"/>
      <c r="AA20" s="40"/>
      <c r="AB20" s="40"/>
      <c r="AC20" s="38" t="s">
        <v>159</v>
      </c>
      <c r="AD20" s="48"/>
      <c r="AE20" s="53" t="e">
        <f>LOOKUP(AD20,T$5:T$78,U$5:U$56)</f>
        <v>#N/A</v>
      </c>
      <c r="AF20" s="37" t="s">
        <v>157</v>
      </c>
      <c r="AG20" s="65" t="e">
        <f>LOOKUP(AD20,T$5:T$78,W$5:W$55)</f>
        <v>#N/A</v>
      </c>
    </row>
    <row r="21" spans="4:33">
      <c r="E21" s="12"/>
      <c r="F21" s="10"/>
      <c r="G21" s="10"/>
      <c r="H21" s="13"/>
      <c r="I21" s="10"/>
      <c r="J21" s="10"/>
      <c r="K21" s="10"/>
      <c r="L21" s="14"/>
      <c r="M21" s="10"/>
      <c r="N21" s="13"/>
      <c r="O21" s="10"/>
      <c r="T21">
        <v>17</v>
      </c>
      <c r="U21" s="28" t="e">
        <f>E104</f>
        <v>#REF!</v>
      </c>
      <c r="V21" t="s">
        <v>77</v>
      </c>
      <c r="W21" s="29" t="e">
        <f>E106</f>
        <v>#REF!</v>
      </c>
      <c r="Z21" s="34"/>
      <c r="AA21" s="40"/>
      <c r="AB21" s="40"/>
      <c r="AC21" s="38" t="s">
        <v>159</v>
      </c>
      <c r="AD21" s="48"/>
      <c r="AE21" s="53" t="e">
        <f>LOOKUP(AD21,T$5:T$78,U$5:U$56)</f>
        <v>#N/A</v>
      </c>
      <c r="AF21" s="37" t="s">
        <v>157</v>
      </c>
      <c r="AG21" s="65" t="e">
        <f>LOOKUP(AD21,T$5:T$78,W$5:W$55)</f>
        <v>#N/A</v>
      </c>
    </row>
    <row r="22" spans="4:33" ht="13" thickBot="1">
      <c r="E22" s="10"/>
      <c r="F22" s="10"/>
      <c r="G22" s="10"/>
      <c r="H22" s="14" t="s">
        <v>244</v>
      </c>
      <c r="I22" s="9" t="str">
        <f>IF(OR(H20="",H24=""),"",+IF(H20&gt;H24,G20,G24))</f>
        <v/>
      </c>
      <c r="J22" s="11"/>
      <c r="K22" s="10"/>
      <c r="L22" s="14"/>
      <c r="M22" s="10"/>
      <c r="N22" s="14"/>
      <c r="O22" s="10"/>
      <c r="T22">
        <v>18</v>
      </c>
      <c r="U22" s="28" t="e">
        <f>E108</f>
        <v>#REF!</v>
      </c>
      <c r="V22" t="s">
        <v>77</v>
      </c>
      <c r="W22" s="29" t="e">
        <f>E110</f>
        <v>#REF!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D23">
        <v>8</v>
      </c>
      <c r="E23" s="10" t="e">
        <f>#REF!</f>
        <v>#REF!</v>
      </c>
      <c r="F23" s="11"/>
      <c r="G23" s="10"/>
      <c r="H23" s="14"/>
      <c r="I23" s="10"/>
      <c r="J23" s="13"/>
      <c r="K23" s="10"/>
      <c r="L23" s="14"/>
      <c r="M23" s="10"/>
      <c r="N23" s="14"/>
      <c r="O23" s="10"/>
      <c r="T23">
        <v>19</v>
      </c>
      <c r="U23" s="28" t="e">
        <f>E7</f>
        <v>#REF!</v>
      </c>
      <c r="V23" t="s">
        <v>77</v>
      </c>
      <c r="W23" s="29" t="s">
        <v>78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E24" s="12"/>
      <c r="F24" s="13" t="s">
        <v>206</v>
      </c>
      <c r="G24" s="9" t="str">
        <f>IF(OR(F23="",F25=""),"",+IF(F23&gt;F25,E23,E25))</f>
        <v/>
      </c>
      <c r="H24" s="16"/>
      <c r="I24" s="10"/>
      <c r="J24" s="14"/>
      <c r="K24" s="10"/>
      <c r="L24" s="14"/>
      <c r="M24" s="10"/>
      <c r="N24" s="14"/>
      <c r="O24" s="10"/>
      <c r="T24">
        <v>20</v>
      </c>
      <c r="U24" s="28" t="s">
        <v>160</v>
      </c>
      <c r="V24" t="s">
        <v>77</v>
      </c>
      <c r="W24" s="29" t="e">
        <f>E18</f>
        <v>#REF!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D25">
        <v>9</v>
      </c>
      <c r="E25" s="10" t="e">
        <f>#REF!</f>
        <v>#REF!</v>
      </c>
      <c r="F25" s="16"/>
      <c r="G25" s="10"/>
      <c r="H25" s="10"/>
      <c r="I25" s="10"/>
      <c r="J25" s="14"/>
      <c r="K25" s="10"/>
      <c r="L25" s="14"/>
      <c r="M25" s="10"/>
      <c r="N25" s="14"/>
      <c r="O25" s="10"/>
      <c r="T25">
        <v>21</v>
      </c>
      <c r="U25" s="28" t="e">
        <f>E20</f>
        <v>#REF!</v>
      </c>
      <c r="V25" t="s">
        <v>77</v>
      </c>
      <c r="W25" s="29" t="s">
        <v>161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E26" s="12"/>
      <c r="F26" s="10"/>
      <c r="G26" s="10"/>
      <c r="H26" s="10"/>
      <c r="I26" s="10"/>
      <c r="J26" s="14" t="s">
        <v>224</v>
      </c>
      <c r="K26" s="9" t="str">
        <f>IF(OR(J22="",J30=""),"",+IF(J22&gt;J30,I22,I30))</f>
        <v/>
      </c>
      <c r="L26" s="16"/>
      <c r="M26" s="10"/>
      <c r="N26" s="14"/>
      <c r="O26" s="10"/>
      <c r="R26" s="29"/>
      <c r="S26" s="28"/>
      <c r="T26">
        <v>22</v>
      </c>
      <c r="U26" s="28" t="s">
        <v>81</v>
      </c>
      <c r="V26" t="s">
        <v>77</v>
      </c>
      <c r="W26" s="29" t="e">
        <f>E31</f>
        <v>#REF!</v>
      </c>
      <c r="Z26" s="34"/>
      <c r="AA26" s="40"/>
      <c r="AB26" s="40"/>
      <c r="AC26" s="38" t="s">
        <v>159</v>
      </c>
      <c r="AD26" s="48"/>
      <c r="AE26" s="53" t="e">
        <f>LOOKUP(AD26,T$5:T$78,U$5:U$56)</f>
        <v>#N/A</v>
      </c>
      <c r="AF26" s="37" t="s">
        <v>157</v>
      </c>
      <c r="AG26" s="65" t="e">
        <f t="shared" ref="AG26:AG39" si="0">LOOKUP(AD26,T$5:T$78,W$5:W$55)</f>
        <v>#N/A</v>
      </c>
    </row>
    <row r="27" spans="4:33" ht="13" thickBot="1">
      <c r="D27">
        <v>10</v>
      </c>
      <c r="E27" s="10" t="e">
        <f>#REF!</f>
        <v>#REF!</v>
      </c>
      <c r="F27" s="11"/>
      <c r="G27" s="10"/>
      <c r="H27" s="10"/>
      <c r="I27" s="10"/>
      <c r="J27" s="14"/>
      <c r="K27" s="10"/>
      <c r="L27" s="10"/>
      <c r="M27" s="10"/>
      <c r="N27" s="14"/>
      <c r="O27" s="10"/>
      <c r="T27">
        <v>23</v>
      </c>
      <c r="U27" s="28" t="e">
        <f>E33</f>
        <v>#REF!</v>
      </c>
      <c r="V27" t="s">
        <v>77</v>
      </c>
      <c r="W27" s="29" t="s">
        <v>162</v>
      </c>
      <c r="Z27" s="34"/>
      <c r="AA27" s="40"/>
      <c r="AB27" s="40"/>
      <c r="AC27" s="38" t="s">
        <v>159</v>
      </c>
      <c r="AD27" s="48"/>
      <c r="AE27" s="53" t="e">
        <f>LOOKUP(AD27,T$5:T$78,U$5:U$56)</f>
        <v>#N/A</v>
      </c>
      <c r="AF27" s="37" t="s">
        <v>157</v>
      </c>
      <c r="AG27" s="65" t="e">
        <f t="shared" si="0"/>
        <v>#N/A</v>
      </c>
    </row>
    <row r="28" spans="4:33" ht="13" thickBot="1">
      <c r="E28" s="12"/>
      <c r="F28" s="13" t="s">
        <v>208</v>
      </c>
      <c r="G28" s="9" t="str">
        <f>IF(OR(F27="",F29=""),"",+IF(F27&gt;F29,E27,E29))</f>
        <v/>
      </c>
      <c r="H28" s="11"/>
      <c r="I28" s="10"/>
      <c r="J28" s="14"/>
      <c r="K28" s="10"/>
      <c r="L28" s="10"/>
      <c r="M28" s="10"/>
      <c r="N28" s="14"/>
      <c r="O28" s="10"/>
      <c r="R28" s="29"/>
      <c r="T28">
        <v>24</v>
      </c>
      <c r="U28" s="28" t="s">
        <v>163</v>
      </c>
      <c r="V28" t="s">
        <v>77</v>
      </c>
      <c r="W28" s="29" t="e">
        <f>E44</f>
        <v>#REF!</v>
      </c>
      <c r="Z28" s="34"/>
      <c r="AA28" s="40"/>
      <c r="AB28" s="40"/>
      <c r="AC28" s="38" t="s">
        <v>159</v>
      </c>
      <c r="AD28" s="48"/>
      <c r="AE28" s="53" t="e">
        <f>LOOKUP(AD28,T$5:T$78,U$5:U$56)</f>
        <v>#N/A</v>
      </c>
      <c r="AF28" s="37" t="s">
        <v>157</v>
      </c>
      <c r="AG28" s="65" t="e">
        <f t="shared" si="0"/>
        <v>#N/A</v>
      </c>
    </row>
    <row r="29" spans="4:33" ht="13" thickBot="1">
      <c r="D29">
        <v>11</v>
      </c>
      <c r="E29" s="9" t="e">
        <f>#REF!</f>
        <v>#REF!</v>
      </c>
      <c r="F29" s="16"/>
      <c r="G29" s="10"/>
      <c r="H29" s="13"/>
      <c r="I29" s="10"/>
      <c r="J29" s="14"/>
      <c r="K29" s="10"/>
      <c r="L29" s="10"/>
      <c r="M29" s="10"/>
      <c r="N29" s="14"/>
      <c r="O29" s="10"/>
      <c r="T29">
        <v>25</v>
      </c>
      <c r="U29" s="28" t="s">
        <v>84</v>
      </c>
      <c r="V29" t="s">
        <v>77</v>
      </c>
      <c r="W29" s="29" t="s">
        <v>164</v>
      </c>
      <c r="Z29" s="34"/>
      <c r="AA29" s="40"/>
      <c r="AB29" s="40"/>
      <c r="AC29" s="38" t="s">
        <v>159</v>
      </c>
      <c r="AD29" s="48"/>
      <c r="AE29" s="53" t="e">
        <f>LOOKUP(AD29,T$5:T$78,U$5:U$56)</f>
        <v>#N/A</v>
      </c>
      <c r="AF29" s="37" t="s">
        <v>157</v>
      </c>
      <c r="AG29" s="65" t="e">
        <f t="shared" si="0"/>
        <v>#N/A</v>
      </c>
    </row>
    <row r="30" spans="4:33" ht="13" thickBot="1">
      <c r="E30" s="10"/>
      <c r="F30" s="10"/>
      <c r="G30" s="10"/>
      <c r="H30" s="14" t="s">
        <v>246</v>
      </c>
      <c r="I30" s="9" t="str">
        <f>IF(OR(H28="",H31=""),"",+IF(H28&gt;H31,G28,E31))</f>
        <v/>
      </c>
      <c r="J30" s="16"/>
      <c r="K30" s="10"/>
      <c r="L30" s="10"/>
      <c r="M30" s="10"/>
      <c r="N30" s="14"/>
      <c r="O30" s="10"/>
      <c r="R30" s="29"/>
      <c r="S30" s="28"/>
      <c r="T30">
        <v>26</v>
      </c>
      <c r="U30" s="28" t="s">
        <v>200</v>
      </c>
      <c r="V30" t="s">
        <v>77</v>
      </c>
      <c r="W30" s="29" t="e">
        <f>E58</f>
        <v>#REF!</v>
      </c>
      <c r="Z30" s="34"/>
      <c r="AA30" s="41"/>
      <c r="AB30" s="33"/>
      <c r="AC30" s="33"/>
      <c r="AD30" s="50"/>
      <c r="AE30" s="54"/>
      <c r="AF30" s="33"/>
      <c r="AG30" s="58" t="e">
        <f t="shared" si="0"/>
        <v>#N/A</v>
      </c>
    </row>
    <row r="31" spans="4:33" ht="13" thickBot="1">
      <c r="D31">
        <v>12</v>
      </c>
      <c r="E31" s="9" t="e">
        <f>#REF!</f>
        <v>#REF!</v>
      </c>
      <c r="F31" s="9"/>
      <c r="G31" s="9" t="e">
        <f>E31</f>
        <v>#REF!</v>
      </c>
      <c r="H31" s="16"/>
      <c r="I31" s="10"/>
      <c r="J31" s="10"/>
      <c r="K31" s="10"/>
      <c r="L31" s="10"/>
      <c r="M31" s="10"/>
      <c r="N31" s="14"/>
      <c r="O31" s="10"/>
      <c r="T31">
        <v>27</v>
      </c>
      <c r="U31" s="28" t="e">
        <f>E61</f>
        <v>#REF!</v>
      </c>
      <c r="V31" t="s">
        <v>77</v>
      </c>
      <c r="W31" s="29" t="s">
        <v>87</v>
      </c>
      <c r="Z31" s="34"/>
      <c r="AA31" s="40"/>
      <c r="AB31" s="40"/>
      <c r="AC31" s="38" t="s">
        <v>159</v>
      </c>
      <c r="AD31" s="48"/>
      <c r="AE31" s="53" t="e">
        <f t="shared" ref="AE31:AE39" si="1">LOOKUP(AD31,T$5:T$78,U$5:U$56)</f>
        <v>#N/A</v>
      </c>
      <c r="AF31" s="37" t="s">
        <v>157</v>
      </c>
      <c r="AG31" s="65" t="e">
        <f t="shared" si="0"/>
        <v>#N/A</v>
      </c>
    </row>
    <row r="32" spans="4:33" ht="13" thickBot="1">
      <c r="E32" s="10"/>
      <c r="F32" s="10"/>
      <c r="G32" s="10"/>
      <c r="H32" s="10"/>
      <c r="I32" s="10"/>
      <c r="J32" s="10"/>
      <c r="K32" s="10"/>
      <c r="L32" s="10"/>
      <c r="M32" s="10"/>
      <c r="N32" s="14" t="s">
        <v>211</v>
      </c>
      <c r="O32" s="9" t="str">
        <f>IF(OR(N20="",N46=""),"",+IF(N20&gt;N46,M20,M46))</f>
        <v/>
      </c>
      <c r="P32" s="7"/>
      <c r="R32" s="29"/>
      <c r="S32" s="28"/>
      <c r="T32">
        <v>28</v>
      </c>
      <c r="U32" s="28" t="s">
        <v>88</v>
      </c>
      <c r="V32" t="s">
        <v>77</v>
      </c>
      <c r="W32" s="29" t="e">
        <f>E72</f>
        <v>#REF!</v>
      </c>
      <c r="Z32" s="34"/>
      <c r="AA32" s="40"/>
      <c r="AB32" s="40"/>
      <c r="AC32" s="38" t="s">
        <v>159</v>
      </c>
      <c r="AD32" s="48"/>
      <c r="AE32" s="53" t="e">
        <f t="shared" si="1"/>
        <v>#N/A</v>
      </c>
      <c r="AF32" s="37" t="s">
        <v>157</v>
      </c>
      <c r="AG32" s="65" t="e">
        <f t="shared" si="0"/>
        <v>#N/A</v>
      </c>
    </row>
    <row r="33" spans="4:33" ht="13" thickBot="1">
      <c r="D33">
        <v>13</v>
      </c>
      <c r="E33" s="10" t="e">
        <f>#REF!</f>
        <v>#REF!</v>
      </c>
      <c r="F33" s="9"/>
      <c r="G33" s="9" t="e">
        <f>E33</f>
        <v>#REF!</v>
      </c>
      <c r="H33" s="11"/>
      <c r="I33" s="10"/>
      <c r="J33" s="10"/>
      <c r="K33" s="10"/>
      <c r="L33" s="10"/>
      <c r="M33" s="10"/>
      <c r="N33" s="14"/>
      <c r="O33" s="10"/>
      <c r="Q33" s="8"/>
      <c r="T33">
        <v>29</v>
      </c>
      <c r="U33" s="28" t="e">
        <f>E74</f>
        <v>#REF!</v>
      </c>
      <c r="V33" t="s">
        <v>77</v>
      </c>
      <c r="W33" s="29" t="s">
        <v>89</v>
      </c>
      <c r="Z33" s="34"/>
      <c r="AA33" s="40"/>
      <c r="AB33" s="40"/>
      <c r="AC33" s="38" t="s">
        <v>159</v>
      </c>
      <c r="AD33" s="48"/>
      <c r="AE33" s="53" t="e">
        <f t="shared" si="1"/>
        <v>#N/A</v>
      </c>
      <c r="AF33" s="37" t="s">
        <v>157</v>
      </c>
      <c r="AG33" s="65" t="e">
        <f t="shared" si="0"/>
        <v>#N/A</v>
      </c>
    </row>
    <row r="34" spans="4:33">
      <c r="E34" s="12"/>
      <c r="F34" s="10"/>
      <c r="G34" s="10"/>
      <c r="H34" s="13"/>
      <c r="I34" s="10"/>
      <c r="J34" s="10"/>
      <c r="K34" s="10"/>
      <c r="L34" s="10"/>
      <c r="M34" s="10"/>
      <c r="N34" s="14"/>
      <c r="O34" s="10"/>
      <c r="Q34" s="8"/>
      <c r="R34" s="29"/>
      <c r="S34" s="28"/>
      <c r="T34">
        <v>30</v>
      </c>
      <c r="U34" s="28" t="s">
        <v>90</v>
      </c>
      <c r="V34" t="s">
        <v>77</v>
      </c>
      <c r="W34" s="29" t="e">
        <f>E85</f>
        <v>#REF!</v>
      </c>
      <c r="Z34" s="34"/>
      <c r="AA34" s="40"/>
      <c r="AB34" s="40"/>
      <c r="AC34" s="38" t="s">
        <v>159</v>
      </c>
      <c r="AD34" s="48"/>
      <c r="AE34" s="53" t="e">
        <f t="shared" si="1"/>
        <v>#N/A</v>
      </c>
      <c r="AF34" s="37" t="s">
        <v>157</v>
      </c>
      <c r="AG34" s="65" t="e">
        <f t="shared" si="0"/>
        <v>#N/A</v>
      </c>
    </row>
    <row r="35" spans="4:33" ht="13" thickBot="1">
      <c r="E35" s="10"/>
      <c r="F35" s="10"/>
      <c r="G35" s="10"/>
      <c r="H35" s="14" t="s">
        <v>248</v>
      </c>
      <c r="I35" s="9" t="str">
        <f>IF(OR(H33="",H37=""),"",+IF(H33&gt;H37,G33,G37))</f>
        <v/>
      </c>
      <c r="J35" s="11"/>
      <c r="K35" s="10"/>
      <c r="L35" s="10"/>
      <c r="M35" s="10"/>
      <c r="N35" s="14"/>
      <c r="O35" s="10"/>
      <c r="Q35" s="8"/>
      <c r="T35">
        <v>31</v>
      </c>
      <c r="U35" s="28" t="e">
        <f>E87</f>
        <v>#REF!</v>
      </c>
      <c r="V35" t="s">
        <v>77</v>
      </c>
      <c r="W35" s="29" t="s">
        <v>91</v>
      </c>
      <c r="Z35" s="34"/>
      <c r="AA35" s="41"/>
      <c r="AB35" s="33"/>
      <c r="AC35" s="33"/>
      <c r="AD35" s="50"/>
      <c r="AE35" s="54" t="e">
        <f t="shared" si="1"/>
        <v>#N/A</v>
      </c>
      <c r="AF35" s="33"/>
      <c r="AG35" s="58" t="e">
        <f t="shared" si="0"/>
        <v>#N/A</v>
      </c>
    </row>
    <row r="36" spans="4:33" ht="13" thickBot="1">
      <c r="D36">
        <v>14</v>
      </c>
      <c r="E36" s="10" t="e">
        <f>#REF!</f>
        <v>#REF!</v>
      </c>
      <c r="F36" s="11"/>
      <c r="G36" s="10"/>
      <c r="H36" s="14"/>
      <c r="I36" s="10"/>
      <c r="J36" s="13"/>
      <c r="K36" s="10"/>
      <c r="L36" s="10"/>
      <c r="M36" s="10"/>
      <c r="N36" s="14"/>
      <c r="O36" s="10"/>
      <c r="Q36" s="8"/>
      <c r="R36" s="29"/>
      <c r="T36">
        <v>32</v>
      </c>
      <c r="U36" s="28" t="s">
        <v>92</v>
      </c>
      <c r="V36" t="s">
        <v>77</v>
      </c>
      <c r="W36" s="29" t="e">
        <f>E98</f>
        <v>#REF!</v>
      </c>
      <c r="Z36" s="34"/>
      <c r="AA36" s="40"/>
      <c r="AB36" s="40"/>
      <c r="AC36" s="38" t="s">
        <v>159</v>
      </c>
      <c r="AD36" s="48"/>
      <c r="AE36" s="53" t="e">
        <f t="shared" si="1"/>
        <v>#N/A</v>
      </c>
      <c r="AF36" s="37" t="s">
        <v>157</v>
      </c>
      <c r="AG36" s="65" t="e">
        <f t="shared" si="0"/>
        <v>#N/A</v>
      </c>
    </row>
    <row r="37" spans="4:33" ht="13" thickBot="1">
      <c r="E37" s="12"/>
      <c r="F37" s="13" t="s">
        <v>210</v>
      </c>
      <c r="G37" s="9" t="str">
        <f>IF(OR(F36="",F38=""),"",+IF(F36&gt;F38,E36,E38))</f>
        <v/>
      </c>
      <c r="H37" s="16"/>
      <c r="I37" s="10"/>
      <c r="J37" s="14"/>
      <c r="K37" s="10"/>
      <c r="L37" s="10"/>
      <c r="M37" s="10"/>
      <c r="N37" s="14"/>
      <c r="O37" s="10"/>
      <c r="Q37" s="8"/>
      <c r="T37">
        <v>33</v>
      </c>
      <c r="U37" s="28" t="s">
        <v>165</v>
      </c>
      <c r="V37" t="s">
        <v>77</v>
      </c>
      <c r="W37" s="29" t="s">
        <v>94</v>
      </c>
      <c r="Z37" s="34"/>
      <c r="AA37" s="40"/>
      <c r="AB37" s="40"/>
      <c r="AC37" s="38" t="s">
        <v>159</v>
      </c>
      <c r="AD37" s="48"/>
      <c r="AE37" s="53" t="e">
        <f t="shared" si="1"/>
        <v>#N/A</v>
      </c>
      <c r="AF37" s="37" t="s">
        <v>157</v>
      </c>
      <c r="AG37" s="65" t="e">
        <f t="shared" si="0"/>
        <v>#N/A</v>
      </c>
    </row>
    <row r="38" spans="4:33" ht="13" thickBot="1">
      <c r="D38">
        <v>15</v>
      </c>
      <c r="E38" s="10" t="e">
        <f>#REF!</f>
        <v>#REF!</v>
      </c>
      <c r="F38" s="16"/>
      <c r="G38" s="10"/>
      <c r="H38" s="10"/>
      <c r="I38" s="10"/>
      <c r="J38" s="14"/>
      <c r="K38" s="10"/>
      <c r="L38" s="10"/>
      <c r="M38" s="10"/>
      <c r="N38" s="14"/>
      <c r="O38" s="10"/>
      <c r="Q38" s="8"/>
      <c r="R38" s="29"/>
      <c r="T38">
        <v>34</v>
      </c>
      <c r="U38" s="28" t="s">
        <v>95</v>
      </c>
      <c r="V38" t="s">
        <v>77</v>
      </c>
      <c r="W38" s="29" t="e">
        <f>E112</f>
        <v>#REF!</v>
      </c>
      <c r="Z38" s="34"/>
      <c r="AA38" s="40"/>
      <c r="AB38" s="40"/>
      <c r="AC38" s="38" t="s">
        <v>159</v>
      </c>
      <c r="AD38" s="48"/>
      <c r="AE38" s="53" t="e">
        <f t="shared" si="1"/>
        <v>#N/A</v>
      </c>
      <c r="AF38" s="37" t="s">
        <v>157</v>
      </c>
      <c r="AG38" s="65" t="e">
        <f t="shared" si="0"/>
        <v>#N/A</v>
      </c>
    </row>
    <row r="39" spans="4:33" ht="13" thickBot="1">
      <c r="E39" s="12"/>
      <c r="F39" s="10"/>
      <c r="G39" s="10"/>
      <c r="H39" s="10"/>
      <c r="I39" s="10"/>
      <c r="J39" s="14" t="s">
        <v>228</v>
      </c>
      <c r="K39" s="9" t="str">
        <f>IF(OR(J35="",J43=""),"",+IF(J35&gt;J43,I35,I43))</f>
        <v/>
      </c>
      <c r="L39" s="17"/>
      <c r="M39" s="10"/>
      <c r="N39" s="14"/>
      <c r="O39" s="10"/>
      <c r="Q39" s="8"/>
      <c r="T39">
        <v>35</v>
      </c>
      <c r="U39" s="28" t="s">
        <v>96</v>
      </c>
      <c r="V39" t="s">
        <v>77</v>
      </c>
      <c r="W39" s="29" t="s">
        <v>97</v>
      </c>
      <c r="Z39" s="34"/>
      <c r="AA39" s="33"/>
      <c r="AB39" s="33"/>
      <c r="AC39" s="33"/>
      <c r="AD39" s="50"/>
      <c r="AE39" s="64" t="e">
        <f t="shared" si="1"/>
        <v>#N/A</v>
      </c>
      <c r="AF39" s="33"/>
      <c r="AG39" s="59" t="e">
        <f t="shared" si="0"/>
        <v>#N/A</v>
      </c>
    </row>
    <row r="40" spans="4:33" ht="13" thickBot="1">
      <c r="D40">
        <v>16</v>
      </c>
      <c r="E40" s="10" t="e">
        <f>#REF!</f>
        <v>#REF!</v>
      </c>
      <c r="F40" s="11"/>
      <c r="G40" s="10"/>
      <c r="H40" s="10"/>
      <c r="I40" s="10"/>
      <c r="J40" s="14"/>
      <c r="K40" s="10"/>
      <c r="L40" s="13"/>
      <c r="M40" s="10"/>
      <c r="N40" s="14"/>
      <c r="O40" s="10"/>
      <c r="Q40" s="8"/>
      <c r="T40">
        <v>36</v>
      </c>
      <c r="U40" s="28" t="s">
        <v>98</v>
      </c>
      <c r="V40" t="s">
        <v>77</v>
      </c>
      <c r="W40" s="29" t="s">
        <v>99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2"/>
      <c r="F41" s="13" t="s">
        <v>212</v>
      </c>
      <c r="G41" s="9" t="str">
        <f>IF(OR(F40="",F42=""),"",+IF(F40&gt;F42,E40,E42))</f>
        <v/>
      </c>
      <c r="H41" s="11"/>
      <c r="I41" s="10"/>
      <c r="J41" s="14"/>
      <c r="K41" s="10"/>
      <c r="L41" s="14"/>
      <c r="M41" s="10"/>
      <c r="N41" s="14"/>
      <c r="O41" s="10"/>
      <c r="Q41" s="8"/>
      <c r="T41">
        <v>37</v>
      </c>
      <c r="U41" s="28" t="s">
        <v>100</v>
      </c>
      <c r="V41" t="s">
        <v>77</v>
      </c>
      <c r="W41" s="29" t="s">
        <v>101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17</v>
      </c>
      <c r="E42" s="9" t="e">
        <f>#REF!</f>
        <v>#REF!</v>
      </c>
      <c r="F42" s="16"/>
      <c r="G42" s="10"/>
      <c r="H42" s="13"/>
      <c r="I42" s="10"/>
      <c r="J42" s="14"/>
      <c r="K42" s="10"/>
      <c r="L42" s="14"/>
      <c r="M42" s="10"/>
      <c r="N42" s="14"/>
      <c r="O42" s="10"/>
      <c r="Q42" s="8"/>
      <c r="T42">
        <v>38</v>
      </c>
      <c r="U42" s="28" t="s">
        <v>102</v>
      </c>
      <c r="V42" t="s">
        <v>77</v>
      </c>
      <c r="W42" s="29" t="s">
        <v>103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E43" s="10"/>
      <c r="F43" s="10"/>
      <c r="G43" s="10"/>
      <c r="H43" s="14" t="s">
        <v>250</v>
      </c>
      <c r="I43" s="9" t="str">
        <f>IF(OR(H41="",H44=""),"",+IF(H41&gt;H44,G41,E44))</f>
        <v/>
      </c>
      <c r="J43" s="16"/>
      <c r="K43" s="10"/>
      <c r="L43" s="14"/>
      <c r="M43" s="10"/>
      <c r="N43" s="14"/>
      <c r="O43" s="10"/>
      <c r="Q43" s="8"/>
      <c r="T43">
        <v>39</v>
      </c>
      <c r="U43" s="28" t="s">
        <v>104</v>
      </c>
      <c r="V43" t="s">
        <v>77</v>
      </c>
      <c r="W43" s="29" t="s">
        <v>105</v>
      </c>
      <c r="Z43" s="34"/>
      <c r="AA43" s="40"/>
      <c r="AB43" s="40"/>
      <c r="AC43" s="38" t="s">
        <v>159</v>
      </c>
      <c r="AD43" s="48"/>
      <c r="AE43" s="53" t="e">
        <f>LOOKUP(AD43,T$5:T$78,U$5:U$56)</f>
        <v>#N/A</v>
      </c>
      <c r="AF43" s="37" t="s">
        <v>157</v>
      </c>
      <c r="AG43" s="65" t="e">
        <f>LOOKUP(AD43,T$5:T$78,W$5:W$55)</f>
        <v>#N/A</v>
      </c>
    </row>
    <row r="44" spans="4:33" ht="13" thickBot="1">
      <c r="D44">
        <v>18</v>
      </c>
      <c r="E44" s="9" t="e">
        <f>#REF!</f>
        <v>#REF!</v>
      </c>
      <c r="F44" s="9"/>
      <c r="G44" s="9" t="e">
        <f>E44</f>
        <v>#REF!</v>
      </c>
      <c r="H44" s="16"/>
      <c r="I44" s="10"/>
      <c r="J44" s="10"/>
      <c r="K44" s="10"/>
      <c r="L44" s="14"/>
      <c r="M44" s="10"/>
      <c r="N44" s="14"/>
      <c r="O44" s="10"/>
      <c r="Q44" s="8"/>
      <c r="T44">
        <v>40</v>
      </c>
      <c r="U44" s="28" t="s">
        <v>106</v>
      </c>
      <c r="V44" t="s">
        <v>77</v>
      </c>
      <c r="W44" s="29" t="s">
        <v>107</v>
      </c>
      <c r="Z44" s="34"/>
      <c r="AA44" s="40"/>
      <c r="AB44" s="40"/>
      <c r="AC44" s="38" t="s">
        <v>159</v>
      </c>
      <c r="AD44" s="48"/>
      <c r="AE44" s="53" t="e">
        <f>LOOKUP(AD44,T$5:T$78,U$5:U$56)</f>
        <v>#N/A</v>
      </c>
      <c r="AF44" s="37" t="s">
        <v>157</v>
      </c>
      <c r="AG44" s="65" t="e">
        <f>LOOKUP(AD44,T$5:T$78,W$5:W$55)</f>
        <v>#N/A</v>
      </c>
    </row>
    <row r="45" spans="4:33">
      <c r="E45" s="10"/>
      <c r="F45" s="10"/>
      <c r="G45" s="10"/>
      <c r="H45" s="10"/>
      <c r="I45" s="10"/>
      <c r="J45" s="10"/>
      <c r="K45" s="10"/>
      <c r="L45" s="14"/>
      <c r="M45" s="10"/>
      <c r="N45" s="14"/>
      <c r="O45" s="10"/>
      <c r="Q45" s="8"/>
      <c r="T45">
        <v>41</v>
      </c>
      <c r="U45" s="28" t="s">
        <v>108</v>
      </c>
      <c r="V45" t="s">
        <v>77</v>
      </c>
      <c r="W45" s="29" t="s">
        <v>109</v>
      </c>
      <c r="Z45" s="34"/>
      <c r="AA45" s="40"/>
      <c r="AB45" s="40"/>
      <c r="AC45" s="38" t="s">
        <v>159</v>
      </c>
      <c r="AD45" s="48"/>
      <c r="AE45" s="53" t="e">
        <f>LOOKUP(AD45,T$5:T$78,U$5:U$56)</f>
        <v>#N/A</v>
      </c>
      <c r="AF45" s="37" t="s">
        <v>157</v>
      </c>
      <c r="AG45" s="65" t="e">
        <f>LOOKUP(AD45,T$5:T$78,W$5:W$55)</f>
        <v>#N/A</v>
      </c>
    </row>
    <row r="46" spans="4:33" ht="13" thickBot="1">
      <c r="D46">
        <v>19</v>
      </c>
      <c r="E46" s="10" t="e">
        <f>#REF!</f>
        <v>#REF!</v>
      </c>
      <c r="F46" s="11"/>
      <c r="G46" s="10"/>
      <c r="H46" s="10"/>
      <c r="I46" s="10"/>
      <c r="J46" s="10"/>
      <c r="K46" s="10"/>
      <c r="L46" s="14" t="s">
        <v>255</v>
      </c>
      <c r="M46" s="9" t="str">
        <f>IF(OR(L39="",L52=""),"",+IF(L38&gt;L52,K39,K52))</f>
        <v/>
      </c>
      <c r="N46" s="16"/>
      <c r="O46" s="10"/>
      <c r="Q46" s="8"/>
      <c r="T46">
        <v>42</v>
      </c>
      <c r="U46" s="28" t="s">
        <v>110</v>
      </c>
      <c r="V46" t="s">
        <v>77</v>
      </c>
      <c r="W46" s="29" t="s">
        <v>111</v>
      </c>
      <c r="Z46" s="34"/>
      <c r="AA46" s="40"/>
      <c r="AB46" s="40"/>
      <c r="AC46" s="38" t="s">
        <v>159</v>
      </c>
      <c r="AD46" s="48"/>
      <c r="AE46" s="53" t="e">
        <f>LOOKUP(AD46,T$5:T$78,U$5:U$56)</f>
        <v>#N/A</v>
      </c>
      <c r="AF46" s="37" t="s">
        <v>157</v>
      </c>
      <c r="AG46" s="65" t="e">
        <f>LOOKUP(AD46,T$5:T$78,W$5:W$55)</f>
        <v>#N/A</v>
      </c>
    </row>
    <row r="47" spans="4:33" ht="13" thickBot="1">
      <c r="E47" s="12"/>
      <c r="F47" s="13" t="s">
        <v>214</v>
      </c>
      <c r="G47" s="9" t="str">
        <f>IF(OR(F46="",F48=""),"",+IF(F46&gt;F48,E46,E48))</f>
        <v/>
      </c>
      <c r="H47" s="17"/>
      <c r="I47" s="10"/>
      <c r="J47" s="10"/>
      <c r="K47" s="10"/>
      <c r="L47" s="14"/>
      <c r="M47" s="10"/>
      <c r="N47" s="10"/>
      <c r="O47" s="10"/>
      <c r="Q47" s="8"/>
      <c r="T47">
        <v>43</v>
      </c>
      <c r="U47" s="28" t="s">
        <v>112</v>
      </c>
      <c r="V47" t="s">
        <v>77</v>
      </c>
      <c r="W47" s="29" t="s">
        <v>113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D48">
        <v>20</v>
      </c>
      <c r="E48" s="10" t="e">
        <f>#REF!</f>
        <v>#REF!</v>
      </c>
      <c r="F48" s="16"/>
      <c r="G48" s="10"/>
      <c r="H48" s="14"/>
      <c r="I48" s="10"/>
      <c r="J48" s="10"/>
      <c r="K48" s="10"/>
      <c r="L48" s="14"/>
      <c r="M48" s="10"/>
      <c r="N48" s="10"/>
      <c r="O48" s="10"/>
      <c r="Q48" s="8"/>
      <c r="T48">
        <v>44</v>
      </c>
      <c r="U48" s="28" t="s">
        <v>114</v>
      </c>
      <c r="V48" t="s">
        <v>77</v>
      </c>
      <c r="W48" s="29" t="s">
        <v>115</v>
      </c>
      <c r="Z48" s="34"/>
      <c r="AA48" s="40"/>
      <c r="AB48" s="40"/>
      <c r="AC48" s="38" t="s">
        <v>159</v>
      </c>
      <c r="AD48" s="48"/>
      <c r="AE48" s="53" t="e">
        <f>LOOKUP(AD48,T$5:T$78,U$5:U$56)</f>
        <v>#N/A</v>
      </c>
      <c r="AF48" s="37" t="s">
        <v>157</v>
      </c>
      <c r="AG48" s="65" t="e">
        <f>LOOKUP(AD48,T$5:T$78,W$5:W$55)</f>
        <v>#N/A</v>
      </c>
    </row>
    <row r="49" spans="4:33" ht="13" thickBot="1">
      <c r="E49" s="12"/>
      <c r="F49" s="10"/>
      <c r="G49" s="10"/>
      <c r="H49" s="14" t="s">
        <v>252</v>
      </c>
      <c r="I49" s="9" t="str">
        <f>IF(OR(H47="",H51=""),"",+IF(H47&gt;H51,G47,G51))</f>
        <v/>
      </c>
      <c r="J49" s="17"/>
      <c r="K49" s="10"/>
      <c r="L49" s="14"/>
      <c r="M49" s="10"/>
      <c r="N49" s="10"/>
      <c r="O49" s="10"/>
      <c r="Q49" s="8"/>
      <c r="T49">
        <v>45</v>
      </c>
      <c r="U49" s="28" t="s">
        <v>116</v>
      </c>
      <c r="V49" t="s">
        <v>77</v>
      </c>
      <c r="W49" s="29" t="s">
        <v>117</v>
      </c>
      <c r="Z49" s="34"/>
      <c r="AA49" s="40"/>
      <c r="AB49" s="40"/>
      <c r="AC49" s="38" t="s">
        <v>159</v>
      </c>
      <c r="AD49" s="48"/>
      <c r="AE49" s="53" t="e">
        <f>LOOKUP(AD49,T$5:T$78,U$5:U$56)</f>
        <v>#N/A</v>
      </c>
      <c r="AF49" s="37" t="s">
        <v>157</v>
      </c>
      <c r="AG49" s="65" t="e">
        <f>LOOKUP(AD49,T$5:T$78,W$5:W$55)</f>
        <v>#N/A</v>
      </c>
    </row>
    <row r="50" spans="4:33" ht="13" thickBot="1">
      <c r="D50">
        <v>21</v>
      </c>
      <c r="E50" s="10" t="e">
        <f>#REF!</f>
        <v>#REF!</v>
      </c>
      <c r="F50" s="11"/>
      <c r="G50" s="10"/>
      <c r="H50" s="14"/>
      <c r="I50" s="10"/>
      <c r="J50" s="14"/>
      <c r="K50" s="10"/>
      <c r="L50" s="14"/>
      <c r="M50" s="10"/>
      <c r="N50" s="10"/>
      <c r="O50" s="10"/>
      <c r="Q50" s="8"/>
      <c r="T50">
        <v>46</v>
      </c>
      <c r="U50" s="28" t="s">
        <v>118</v>
      </c>
      <c r="V50" t="s">
        <v>77</v>
      </c>
      <c r="W50" s="29" t="s">
        <v>119</v>
      </c>
      <c r="Z50" s="34"/>
      <c r="AA50" s="40"/>
      <c r="AB50" s="40"/>
      <c r="AC50" s="38" t="s">
        <v>159</v>
      </c>
      <c r="AD50" s="48"/>
      <c r="AE50" s="53" t="e">
        <f>LOOKUP(AD50,T$5:T$78,U$5:U$56)</f>
        <v>#N/A</v>
      </c>
      <c r="AF50" s="37" t="s">
        <v>157</v>
      </c>
      <c r="AG50" s="65" t="e">
        <f>LOOKUP(AD50,T$5:T$78,W$5:W$55)</f>
        <v>#N/A</v>
      </c>
    </row>
    <row r="51" spans="4:33" ht="13" thickBot="1">
      <c r="E51" s="12"/>
      <c r="F51" s="13" t="s">
        <v>217</v>
      </c>
      <c r="G51" s="9" t="str">
        <f>IF(OR(F50="",F52=""),"",+IF(F50&gt;F52,E50,E52))</f>
        <v/>
      </c>
      <c r="H51" s="16"/>
      <c r="I51" s="10"/>
      <c r="J51" s="14"/>
      <c r="K51" s="10"/>
      <c r="L51" s="14"/>
      <c r="M51" s="10"/>
      <c r="N51" s="10"/>
      <c r="O51" s="10"/>
      <c r="Q51" s="8"/>
      <c r="T51">
        <v>47</v>
      </c>
      <c r="U51" s="28" t="s">
        <v>120</v>
      </c>
      <c r="V51" t="s">
        <v>77</v>
      </c>
      <c r="W51" s="29" t="s">
        <v>121</v>
      </c>
      <c r="Z51" s="34"/>
      <c r="AA51" s="40"/>
      <c r="AB51" s="40"/>
      <c r="AC51" s="38" t="s">
        <v>159</v>
      </c>
      <c r="AD51" s="48"/>
      <c r="AE51" s="53" t="e">
        <f>LOOKUP(AD51,T$5:T$78,U$5:U$56)</f>
        <v>#N/A</v>
      </c>
      <c r="AF51" s="37" t="s">
        <v>157</v>
      </c>
      <c r="AG51" s="65" t="e">
        <f>LOOKUP(AD51,T$5:T$78,W$5:W$55)</f>
        <v>#N/A</v>
      </c>
    </row>
    <row r="52" spans="4:33" ht="13" thickBot="1">
      <c r="D52">
        <v>22</v>
      </c>
      <c r="E52" s="10" t="e">
        <f>#REF!</f>
        <v>#REF!</v>
      </c>
      <c r="F52" s="16"/>
      <c r="G52" s="10"/>
      <c r="H52" s="10"/>
      <c r="I52" s="10"/>
      <c r="J52" s="14" t="s">
        <v>231</v>
      </c>
      <c r="K52" s="9" t="str">
        <f>IF(OR(J49="",J57=""),"",+IF(J49&gt;J57,I49,I57))</f>
        <v/>
      </c>
      <c r="L52" s="16"/>
      <c r="M52" s="10"/>
      <c r="N52" s="10"/>
      <c r="O52" s="10"/>
      <c r="Q52" s="8"/>
      <c r="T52">
        <v>48</v>
      </c>
      <c r="U52" s="28" t="s">
        <v>122</v>
      </c>
      <c r="V52" t="s">
        <v>77</v>
      </c>
      <c r="W52" s="29" t="s">
        <v>123</v>
      </c>
      <c r="Z52" s="34"/>
      <c r="AA52" s="41"/>
      <c r="AB52" s="33"/>
      <c r="AC52" s="33"/>
      <c r="AD52" s="50"/>
      <c r="AE52" s="54"/>
      <c r="AF52" s="33"/>
      <c r="AG52" s="58"/>
    </row>
    <row r="53" spans="4:33">
      <c r="E53" s="12"/>
      <c r="F53" s="10"/>
      <c r="G53" s="10"/>
      <c r="H53" s="10"/>
      <c r="I53" s="10"/>
      <c r="J53" s="14"/>
      <c r="K53" s="10"/>
      <c r="L53" s="10"/>
      <c r="M53" s="10"/>
      <c r="N53" s="10"/>
      <c r="O53" s="10"/>
      <c r="Q53" s="8"/>
      <c r="T53">
        <v>49</v>
      </c>
      <c r="U53" s="28" t="s">
        <v>124</v>
      </c>
      <c r="V53" t="s">
        <v>77</v>
      </c>
      <c r="W53" s="29" t="s">
        <v>125</v>
      </c>
      <c r="Z53" s="34"/>
      <c r="AA53" s="40"/>
      <c r="AB53" s="40"/>
      <c r="AC53" s="38" t="s">
        <v>159</v>
      </c>
      <c r="AD53" s="48"/>
      <c r="AE53" s="53" t="e">
        <f>LOOKUP(AD53,T$5:T$78,U$5:U$56)</f>
        <v>#N/A</v>
      </c>
      <c r="AF53" s="37" t="s">
        <v>157</v>
      </c>
      <c r="AG53" s="65" t="e">
        <f>LOOKUP(AD53,T$5:T$78,W$5:W$55)</f>
        <v>#N/A</v>
      </c>
    </row>
    <row r="54" spans="4:33" ht="13" thickBot="1">
      <c r="D54">
        <v>23</v>
      </c>
      <c r="E54" s="10" t="e">
        <f>#REF!</f>
        <v>#REF!</v>
      </c>
      <c r="F54" s="11"/>
      <c r="G54" s="10"/>
      <c r="H54" s="10"/>
      <c r="I54" s="10"/>
      <c r="J54" s="14"/>
      <c r="K54" s="10"/>
      <c r="L54" s="10"/>
      <c r="M54" s="10"/>
      <c r="N54" s="10"/>
      <c r="O54" s="10"/>
      <c r="Q54" s="8"/>
      <c r="Z54" s="34"/>
      <c r="AA54" s="40"/>
      <c r="AB54" s="40"/>
      <c r="AC54" s="38" t="s">
        <v>159</v>
      </c>
      <c r="AD54" s="48"/>
      <c r="AE54" s="53" t="e">
        <f>LOOKUP(AD54,T$5:T$78,U$5:U$56)</f>
        <v>#N/A</v>
      </c>
      <c r="AF54" s="37" t="s">
        <v>157</v>
      </c>
      <c r="AG54" s="65" t="e">
        <f>LOOKUP(AD54,T$5:T$78,W$5:W$55)</f>
        <v>#N/A</v>
      </c>
    </row>
    <row r="55" spans="4:33" ht="13" thickBot="1">
      <c r="E55" s="12"/>
      <c r="F55" s="13" t="s">
        <v>219</v>
      </c>
      <c r="G55" s="9" t="str">
        <f>IF(OR(F54="",F56=""),"",+IF(F54&gt;F56,E54,E56))</f>
        <v/>
      </c>
      <c r="H55" s="11"/>
      <c r="I55" s="10"/>
      <c r="J55" s="14"/>
      <c r="K55" s="10"/>
      <c r="L55" s="10"/>
      <c r="M55" s="10"/>
      <c r="N55" s="10"/>
      <c r="O55" s="10"/>
      <c r="Q55" s="8"/>
      <c r="Z55" s="34"/>
      <c r="AA55" s="40"/>
      <c r="AB55" s="40"/>
      <c r="AC55" s="38" t="s">
        <v>159</v>
      </c>
      <c r="AD55" s="48"/>
      <c r="AE55" s="53" t="e">
        <f>LOOKUP(AD55,T$5:T$78,U$5:U$56)</f>
        <v>#N/A</v>
      </c>
      <c r="AF55" s="37" t="s">
        <v>157</v>
      </c>
      <c r="AG55" s="65" t="e">
        <f>LOOKUP(AD55,T$5:T$78,W$5:W$55)</f>
        <v>#N/A</v>
      </c>
    </row>
    <row r="56" spans="4:33" ht="13" thickBot="1">
      <c r="D56">
        <v>24</v>
      </c>
      <c r="E56" s="69" t="e">
        <f>#REF!</f>
        <v>#REF!</v>
      </c>
      <c r="F56" s="16"/>
      <c r="G56" s="10"/>
      <c r="H56" s="13"/>
      <c r="I56" s="10"/>
      <c r="J56" s="14"/>
      <c r="K56" s="10"/>
      <c r="L56" s="10"/>
      <c r="M56" s="10"/>
      <c r="N56" s="10"/>
      <c r="O56" s="10"/>
      <c r="Q56" s="8"/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E57" s="10"/>
      <c r="F57" s="10"/>
      <c r="G57" s="10"/>
      <c r="H57" s="14" t="s">
        <v>254</v>
      </c>
      <c r="I57" s="9" t="str">
        <f>IF(OR(H55="",H58=""),"",+IF(H55&gt;H58,G55,E58))</f>
        <v/>
      </c>
      <c r="J57" s="16"/>
      <c r="K57" s="10"/>
      <c r="L57" s="10"/>
      <c r="M57" s="10"/>
      <c r="N57" s="10"/>
      <c r="O57" s="10"/>
      <c r="Q57" s="8"/>
    </row>
    <row r="58" spans="4:33" ht="13" thickBot="1">
      <c r="D58">
        <v>25</v>
      </c>
      <c r="E58" s="9" t="e">
        <f>#REF!</f>
        <v>#REF!</v>
      </c>
      <c r="F58" s="9"/>
      <c r="G58" s="9" t="e">
        <f>E58</f>
        <v>#REF!</v>
      </c>
      <c r="H58" s="16"/>
      <c r="I58" s="10"/>
      <c r="J58" s="10"/>
      <c r="K58" s="10"/>
      <c r="L58" s="10"/>
      <c r="M58" s="10"/>
      <c r="N58" s="10"/>
      <c r="O58" s="10"/>
      <c r="Q58" s="8"/>
    </row>
    <row r="59" spans="4:33">
      <c r="Q59" s="8"/>
    </row>
    <row r="60" spans="4:33">
      <c r="Q60" s="8"/>
    </row>
    <row r="61" spans="4:33" ht="13" thickBot="1">
      <c r="D61">
        <v>26</v>
      </c>
      <c r="E61" s="10" t="e">
        <f>#REF!</f>
        <v>#REF!</v>
      </c>
      <c r="F61" s="9"/>
      <c r="G61" s="9" t="e">
        <f>E61</f>
        <v>#REF!</v>
      </c>
      <c r="H61" s="11"/>
      <c r="I61" s="10"/>
      <c r="J61" s="10"/>
      <c r="K61" s="10"/>
      <c r="L61" s="10"/>
      <c r="M61" s="10"/>
      <c r="N61" s="10"/>
      <c r="O61" s="10"/>
      <c r="P61" t="s">
        <v>226</v>
      </c>
      <c r="Q61" s="27"/>
      <c r="R61" s="7"/>
      <c r="S61" s="7"/>
    </row>
    <row r="62" spans="4:33">
      <c r="E62" s="12"/>
      <c r="F62" s="10"/>
      <c r="G62" s="10"/>
      <c r="H62" s="13"/>
      <c r="I62" s="10"/>
      <c r="J62" s="10"/>
      <c r="K62" s="10"/>
      <c r="L62" s="10"/>
      <c r="M62" s="10"/>
      <c r="N62" s="10"/>
      <c r="O62" s="10"/>
      <c r="Q62" s="8"/>
    </row>
    <row r="63" spans="4:33" ht="13" thickBot="1">
      <c r="E63" s="10"/>
      <c r="F63" s="10"/>
      <c r="G63" s="10"/>
      <c r="H63" s="14" t="s">
        <v>256</v>
      </c>
      <c r="I63" s="9" t="str">
        <f>IF(OR(H61="",H65=""),"",+IF(H61&gt;H65,G61,G65))</f>
        <v/>
      </c>
      <c r="J63" s="11"/>
      <c r="K63" s="10"/>
      <c r="L63" s="10"/>
      <c r="M63" s="10"/>
      <c r="N63" s="10"/>
      <c r="O63" s="10"/>
      <c r="Q63" s="8"/>
    </row>
    <row r="64" spans="4:33" ht="13" thickBot="1">
      <c r="D64">
        <v>27</v>
      </c>
      <c r="E64" s="10" t="e">
        <f>#REF!</f>
        <v>#REF!</v>
      </c>
      <c r="F64" s="11"/>
      <c r="G64" s="10"/>
      <c r="H64" s="14"/>
      <c r="I64" s="10"/>
      <c r="J64" s="13"/>
      <c r="K64" s="10"/>
      <c r="L64" s="10"/>
      <c r="M64" s="10"/>
      <c r="N64" s="10"/>
      <c r="O64" s="10"/>
      <c r="Q64" s="8"/>
    </row>
    <row r="65" spans="4:17" ht="13" thickBot="1">
      <c r="E65" s="12"/>
      <c r="F65" s="13" t="s">
        <v>221</v>
      </c>
      <c r="G65" s="9" t="str">
        <f>IF(OR(F64="",F66=""),"",+IF(F64&gt;F66,E64,E66))</f>
        <v/>
      </c>
      <c r="H65" s="16"/>
      <c r="I65" s="10"/>
      <c r="J65" s="14"/>
      <c r="K65" s="10"/>
      <c r="L65" s="10"/>
      <c r="M65" s="10"/>
      <c r="N65" s="10"/>
      <c r="O65" s="10"/>
      <c r="Q65" s="8"/>
    </row>
    <row r="66" spans="4:17" ht="13" thickBot="1">
      <c r="D66">
        <v>28</v>
      </c>
      <c r="E66" s="10" t="e">
        <f>#REF!</f>
        <v>#REF!</v>
      </c>
      <c r="F66" s="16"/>
      <c r="G66" s="10"/>
      <c r="H66" s="10"/>
      <c r="I66" s="10"/>
      <c r="J66" s="14"/>
      <c r="K66" s="10"/>
      <c r="L66" s="10"/>
      <c r="M66" s="10"/>
      <c r="N66" s="10"/>
      <c r="O66" s="10"/>
      <c r="Q66" s="8"/>
    </row>
    <row r="67" spans="4:17" ht="13" thickBot="1">
      <c r="E67" s="12"/>
      <c r="F67" s="10"/>
      <c r="G67" s="10"/>
      <c r="H67" s="10"/>
      <c r="I67" s="10"/>
      <c r="J67" s="14" t="s">
        <v>235</v>
      </c>
      <c r="K67" s="9" t="str">
        <f>IF(OR(J63="",J71=""),"",+IF(J63&gt;J71,I63,I71))</f>
        <v/>
      </c>
      <c r="L67" s="17"/>
      <c r="M67" s="10"/>
      <c r="N67" s="10"/>
      <c r="O67" s="10"/>
      <c r="Q67" s="8"/>
    </row>
    <row r="68" spans="4:17" ht="13" thickBot="1">
      <c r="D68">
        <v>29</v>
      </c>
      <c r="E68" s="10" t="e">
        <f>#REF!</f>
        <v>#REF!</v>
      </c>
      <c r="F68" s="11"/>
      <c r="G68" s="10"/>
      <c r="H68" s="10"/>
      <c r="I68" s="10"/>
      <c r="J68" s="14"/>
      <c r="K68" s="10"/>
      <c r="L68" s="13"/>
      <c r="M68" s="10"/>
      <c r="N68" s="10"/>
      <c r="O68" s="10"/>
      <c r="Q68" s="8"/>
    </row>
    <row r="69" spans="4:17" ht="13" thickBot="1">
      <c r="E69" s="12"/>
      <c r="F69" s="13" t="s">
        <v>223</v>
      </c>
      <c r="G69" s="9" t="str">
        <f>IF(OR(F68="",F70=""),"",+IF(F68&gt;F70,E68,E70))</f>
        <v/>
      </c>
      <c r="H69" s="11"/>
      <c r="I69" s="10"/>
      <c r="J69" s="14"/>
      <c r="K69" s="10"/>
      <c r="L69" s="14"/>
      <c r="M69" s="10"/>
      <c r="N69" s="10"/>
      <c r="O69" s="10"/>
      <c r="Q69" s="8"/>
    </row>
    <row r="70" spans="4:17" ht="13" thickBot="1">
      <c r="D70">
        <v>30</v>
      </c>
      <c r="E70" s="9" t="e">
        <f>#REF!</f>
        <v>#REF!</v>
      </c>
      <c r="F70" s="16"/>
      <c r="G70" s="10"/>
      <c r="H70" s="13"/>
      <c r="I70" s="10"/>
      <c r="J70" s="14"/>
      <c r="K70" s="10"/>
      <c r="L70" s="14"/>
      <c r="M70" s="10"/>
      <c r="N70" s="10"/>
      <c r="O70" s="10"/>
      <c r="Q70" s="8"/>
    </row>
    <row r="71" spans="4:17" ht="13" thickBot="1">
      <c r="E71" s="10"/>
      <c r="F71" s="10"/>
      <c r="G71" s="10"/>
      <c r="H71" s="14" t="s">
        <v>258</v>
      </c>
      <c r="I71" s="9" t="str">
        <f>IF(OR(H69="",H72=""),"",+IF(H69&gt;H72,G69,E72))</f>
        <v/>
      </c>
      <c r="J71" s="16"/>
      <c r="K71" s="10"/>
      <c r="L71" s="14"/>
      <c r="M71" s="10"/>
      <c r="N71" s="10"/>
      <c r="O71" s="10"/>
      <c r="Q71" s="8"/>
    </row>
    <row r="72" spans="4:17" ht="13" thickBot="1">
      <c r="D72">
        <v>31</v>
      </c>
      <c r="E72" s="9" t="e">
        <f>#REF!</f>
        <v>#REF!</v>
      </c>
      <c r="F72" s="9"/>
      <c r="G72" s="9" t="e">
        <f>E72</f>
        <v>#REF!</v>
      </c>
      <c r="H72" s="16"/>
      <c r="I72" s="10"/>
      <c r="J72" s="10"/>
      <c r="K72" s="10"/>
      <c r="L72" s="14"/>
      <c r="M72" s="10"/>
      <c r="N72" s="10"/>
      <c r="O72" s="10"/>
      <c r="Q72" s="8"/>
    </row>
    <row r="73" spans="4:17">
      <c r="E73" s="10"/>
      <c r="F73" s="10"/>
      <c r="G73" s="10"/>
      <c r="H73" s="10"/>
      <c r="I73" s="10"/>
      <c r="J73" s="10"/>
      <c r="K73" s="10"/>
      <c r="L73" s="14"/>
      <c r="M73" s="10"/>
      <c r="N73" s="10"/>
      <c r="O73" s="10"/>
      <c r="Q73" s="8"/>
    </row>
    <row r="74" spans="4:17" ht="13" thickBot="1">
      <c r="D74">
        <v>32</v>
      </c>
      <c r="E74" s="10" t="e">
        <f>#REF!</f>
        <v>#REF!</v>
      </c>
      <c r="F74" s="9"/>
      <c r="G74" s="9" t="e">
        <f>E74</f>
        <v>#REF!</v>
      </c>
      <c r="H74" s="11"/>
      <c r="I74" s="10"/>
      <c r="J74" s="10"/>
      <c r="K74" s="10"/>
      <c r="L74" s="14" t="s">
        <v>259</v>
      </c>
      <c r="M74" s="9" t="str">
        <f>IF(OR(L67="",L80=""),"",+IF(L67&gt;L80,K67,K80))</f>
        <v/>
      </c>
      <c r="N74" s="17"/>
      <c r="O74" s="10"/>
      <c r="Q74" s="8"/>
    </row>
    <row r="75" spans="4:17">
      <c r="E75" s="12"/>
      <c r="F75" s="10"/>
      <c r="G75" s="10"/>
      <c r="H75" s="13"/>
      <c r="I75" s="10"/>
      <c r="J75" s="10"/>
      <c r="K75" s="10"/>
      <c r="L75" s="14"/>
      <c r="M75" s="10"/>
      <c r="N75" s="13"/>
      <c r="O75" s="10"/>
      <c r="Q75" s="8"/>
    </row>
    <row r="76" spans="4:17" ht="13" thickBot="1">
      <c r="E76" s="10"/>
      <c r="F76" s="10"/>
      <c r="G76" s="10"/>
      <c r="H76" s="14" t="s">
        <v>260</v>
      </c>
      <c r="I76" s="9" t="str">
        <f>IF(OR(H74="",H78=""),"",+IF(H74&gt;H78,G74,G78))</f>
        <v/>
      </c>
      <c r="J76" s="11"/>
      <c r="K76" s="10"/>
      <c r="L76" s="14"/>
      <c r="M76" s="10"/>
      <c r="N76" s="14"/>
      <c r="O76" s="10"/>
      <c r="Q76" s="8"/>
    </row>
    <row r="77" spans="4:17" ht="13" thickBot="1">
      <c r="D77">
        <v>33</v>
      </c>
      <c r="E77" s="10" t="e">
        <f>#REF!</f>
        <v>#REF!</v>
      </c>
      <c r="F77" s="11"/>
      <c r="G77" s="10"/>
      <c r="H77" s="14"/>
      <c r="I77" s="10"/>
      <c r="J77" s="13"/>
      <c r="K77" s="10"/>
      <c r="L77" s="14"/>
      <c r="M77" s="10"/>
      <c r="N77" s="14"/>
      <c r="O77" s="10"/>
      <c r="Q77" s="8"/>
    </row>
    <row r="78" spans="4:17" ht="13" thickBot="1">
      <c r="E78" s="12"/>
      <c r="F78" s="13" t="s">
        <v>225</v>
      </c>
      <c r="G78" s="9" t="str">
        <f>IF(OR(F77="",F79=""),"",+IF(F77&gt;F79,E77,E79))</f>
        <v/>
      </c>
      <c r="H78" s="16"/>
      <c r="I78" s="10"/>
      <c r="J78" s="14"/>
      <c r="K78" s="10"/>
      <c r="L78" s="14"/>
      <c r="M78" s="10"/>
      <c r="N78" s="14"/>
      <c r="O78" s="10"/>
      <c r="Q78" s="8"/>
    </row>
    <row r="79" spans="4:17" ht="13" thickBot="1">
      <c r="D79">
        <v>34</v>
      </c>
      <c r="E79" s="10" t="e">
        <f>#REF!</f>
        <v>#REF!</v>
      </c>
      <c r="F79" s="16"/>
      <c r="G79" s="10"/>
      <c r="H79" s="10"/>
      <c r="I79" s="10"/>
      <c r="J79" s="14"/>
      <c r="K79" s="10"/>
      <c r="L79" s="14"/>
      <c r="M79" s="10"/>
      <c r="N79" s="14"/>
      <c r="O79" s="10"/>
      <c r="Q79" s="8"/>
    </row>
    <row r="80" spans="4:17" ht="13" thickBot="1">
      <c r="E80" s="12"/>
      <c r="F80" s="10"/>
      <c r="G80" s="10"/>
      <c r="H80" s="10"/>
      <c r="I80" s="10"/>
      <c r="J80" s="14" t="s">
        <v>239</v>
      </c>
      <c r="K80" s="9" t="str">
        <f>IF(OR(J76="",J84=""),"",+IF(J76&gt;J84,I76,I84))</f>
        <v/>
      </c>
      <c r="L80" s="16"/>
      <c r="M80" s="10"/>
      <c r="N80" s="14"/>
      <c r="O80" s="10"/>
      <c r="Q80" s="8"/>
    </row>
    <row r="81" spans="4:17" ht="13" thickBot="1">
      <c r="D81">
        <v>35</v>
      </c>
      <c r="E81" s="10" t="e">
        <f>#REF!</f>
        <v>#REF!</v>
      </c>
      <c r="F81" s="11"/>
      <c r="G81" s="10"/>
      <c r="H81" s="10"/>
      <c r="I81" s="10"/>
      <c r="J81" s="14"/>
      <c r="K81" s="10"/>
      <c r="L81" s="10"/>
      <c r="M81" s="10"/>
      <c r="N81" s="14"/>
      <c r="O81" s="10"/>
      <c r="Q81" s="8"/>
    </row>
    <row r="82" spans="4:17" ht="13" thickBot="1">
      <c r="E82" s="12"/>
      <c r="F82" s="13" t="s">
        <v>227</v>
      </c>
      <c r="G82" s="9" t="str">
        <f>IF(OR(F81="",F83=""),"",+IF(F81&gt;F83,E81,E83))</f>
        <v/>
      </c>
      <c r="H82" s="11"/>
      <c r="I82" s="10"/>
      <c r="J82" s="14"/>
      <c r="K82" s="10"/>
      <c r="L82" s="10"/>
      <c r="M82" s="10"/>
      <c r="N82" s="14"/>
      <c r="O82" s="10"/>
      <c r="Q82" s="8"/>
    </row>
    <row r="83" spans="4:17" ht="13" thickBot="1">
      <c r="D83">
        <v>36</v>
      </c>
      <c r="E83" s="9" t="e">
        <f>#REF!</f>
        <v>#REF!</v>
      </c>
      <c r="F83" s="16"/>
      <c r="G83" s="10"/>
      <c r="H83" s="13"/>
      <c r="I83" s="10"/>
      <c r="J83" s="14"/>
      <c r="K83" s="10"/>
      <c r="L83" s="10"/>
      <c r="M83" s="10"/>
      <c r="N83" s="14"/>
      <c r="O83" s="10"/>
      <c r="Q83" s="8"/>
    </row>
    <row r="84" spans="4:17" ht="13" thickBot="1">
      <c r="E84" s="10"/>
      <c r="F84" s="10"/>
      <c r="G84" s="10"/>
      <c r="H84" s="14" t="s">
        <v>201</v>
      </c>
      <c r="I84" s="9" t="str">
        <f>IF(OR(H82="",H85=""),"",+IF(H82&gt;H85,G82,E85))</f>
        <v/>
      </c>
      <c r="J84" s="16"/>
      <c r="K84" s="10"/>
      <c r="L84" s="10"/>
      <c r="M84" s="10"/>
      <c r="N84" s="14"/>
      <c r="O84" s="10"/>
      <c r="Q84" s="8"/>
    </row>
    <row r="85" spans="4:17" ht="13" thickBot="1">
      <c r="D85">
        <v>37</v>
      </c>
      <c r="E85" s="9" t="e">
        <f>#REF!</f>
        <v>#REF!</v>
      </c>
      <c r="F85" s="9"/>
      <c r="G85" s="9" t="e">
        <f>E85</f>
        <v>#REF!</v>
      </c>
      <c r="H85" s="16"/>
      <c r="I85" s="10"/>
      <c r="J85" s="10"/>
      <c r="K85" s="10"/>
      <c r="L85" s="10"/>
      <c r="M85" s="10"/>
      <c r="N85" s="14"/>
      <c r="O85" s="10"/>
      <c r="Q85" s="8"/>
    </row>
    <row r="86" spans="4:17" ht="13" thickBot="1">
      <c r="E86" s="10"/>
      <c r="F86" s="10"/>
      <c r="G86" s="10"/>
      <c r="H86" s="10"/>
      <c r="I86" s="10"/>
      <c r="J86" s="10"/>
      <c r="K86" s="10"/>
      <c r="L86" s="10"/>
      <c r="M86" s="10"/>
      <c r="N86" s="14" t="s">
        <v>218</v>
      </c>
      <c r="O86" s="9" t="str">
        <f>IF(OR(N74="",N100=""),"",+IF(N74&gt;N100,M74,M100))</f>
        <v/>
      </c>
      <c r="P86" s="7"/>
      <c r="Q86" s="8"/>
    </row>
    <row r="87" spans="4:17" ht="13" thickBot="1">
      <c r="D87">
        <v>38</v>
      </c>
      <c r="E87" s="10" t="e">
        <f>#REF!</f>
        <v>#REF!</v>
      </c>
      <c r="F87" s="9"/>
      <c r="G87" s="9" t="e">
        <f>E87</f>
        <v>#REF!</v>
      </c>
      <c r="H87" s="11"/>
      <c r="I87" s="10"/>
      <c r="J87" s="10"/>
      <c r="K87" s="10"/>
      <c r="L87" s="10"/>
      <c r="M87" s="10"/>
      <c r="N87" s="14"/>
      <c r="O87" s="10"/>
    </row>
    <row r="88" spans="4:17">
      <c r="E88" s="12"/>
      <c r="F88" s="10"/>
      <c r="G88" s="10"/>
      <c r="H88" s="13"/>
      <c r="I88" s="10"/>
      <c r="J88" s="10"/>
      <c r="K88" s="10"/>
      <c r="L88" s="10"/>
      <c r="M88" s="10"/>
      <c r="N88" s="14"/>
      <c r="O88" s="10"/>
    </row>
    <row r="89" spans="4:17" ht="13" thickBot="1">
      <c r="E89" s="10"/>
      <c r="F89" s="10"/>
      <c r="G89" s="10"/>
      <c r="H89" s="14" t="s">
        <v>205</v>
      </c>
      <c r="I89" s="9" t="str">
        <f>IF(OR(H87="",H91=""),"",+IF(H87&gt;H91,G87,G91))</f>
        <v/>
      </c>
      <c r="J89" s="11"/>
      <c r="K89" s="10"/>
      <c r="L89" s="10"/>
      <c r="M89" s="10"/>
      <c r="N89" s="14"/>
      <c r="O89" s="10"/>
    </row>
    <row r="90" spans="4:17" ht="13" thickBot="1">
      <c r="D90">
        <v>39</v>
      </c>
      <c r="E90" s="10" t="e">
        <f>#REF!</f>
        <v>#REF!</v>
      </c>
      <c r="F90" s="11"/>
      <c r="G90" s="10"/>
      <c r="H90" s="14"/>
      <c r="I90" s="10"/>
      <c r="J90" s="13"/>
      <c r="K90" s="10"/>
      <c r="L90" s="10"/>
      <c r="M90" s="10"/>
      <c r="N90" s="14"/>
      <c r="O90" s="10"/>
    </row>
    <row r="91" spans="4:17" ht="13" thickBot="1">
      <c r="E91" s="12"/>
      <c r="F91" s="13" t="s">
        <v>229</v>
      </c>
      <c r="G91" s="9" t="str">
        <f>IF(OR(F90="",F92=""),"",+IF(F90&gt;F92,E90,E92))</f>
        <v/>
      </c>
      <c r="H91" s="16"/>
      <c r="I91" s="10"/>
      <c r="J91" s="14"/>
      <c r="K91" s="10"/>
      <c r="L91" s="10"/>
      <c r="M91" s="10"/>
      <c r="N91" s="14"/>
      <c r="O91" s="10"/>
    </row>
    <row r="92" spans="4:17" ht="13" thickBot="1">
      <c r="D92">
        <v>40</v>
      </c>
      <c r="E92" s="10" t="e">
        <f>#REF!</f>
        <v>#REF!</v>
      </c>
      <c r="F92" s="16"/>
      <c r="G92" s="10"/>
      <c r="H92" s="10"/>
      <c r="I92" s="10"/>
      <c r="J92" s="14"/>
      <c r="K92" s="10"/>
      <c r="L92" s="10"/>
      <c r="M92" s="10"/>
      <c r="N92" s="14"/>
      <c r="O92" s="10"/>
    </row>
    <row r="93" spans="4:17" ht="13" thickBot="1">
      <c r="E93" s="12"/>
      <c r="F93" s="10"/>
      <c r="G93" s="10"/>
      <c r="H93" s="10"/>
      <c r="I93" s="10"/>
      <c r="J93" s="14" t="s">
        <v>243</v>
      </c>
      <c r="K93" s="9" t="str">
        <f>IF(OR(J89="",J97=""),"",+IF(J89&gt;J97,I89,I97))</f>
        <v/>
      </c>
      <c r="L93" s="17"/>
      <c r="M93" s="10"/>
      <c r="N93" s="14"/>
      <c r="O93" s="10"/>
    </row>
    <row r="94" spans="4:17" ht="13" thickBot="1">
      <c r="D94">
        <v>41</v>
      </c>
      <c r="E94" s="10" t="e">
        <f>#REF!</f>
        <v>#REF!</v>
      </c>
      <c r="F94" s="11"/>
      <c r="G94" s="10"/>
      <c r="H94" s="10"/>
      <c r="I94" s="10"/>
      <c r="J94" s="14"/>
      <c r="K94" s="10"/>
      <c r="L94" s="13"/>
      <c r="M94" s="10"/>
      <c r="N94" s="14"/>
      <c r="O94" s="10"/>
    </row>
    <row r="95" spans="4:17" ht="13" thickBot="1">
      <c r="E95" s="12"/>
      <c r="F95" s="13" t="s">
        <v>232</v>
      </c>
      <c r="G95" s="9" t="str">
        <f>IF(OR(F94="",F96=""),"",+IF(F94&gt;F96,E94,E96))</f>
        <v/>
      </c>
      <c r="H95" s="11"/>
      <c r="I95" s="10"/>
      <c r="J95" s="14"/>
      <c r="K95" s="10"/>
      <c r="L95" s="14"/>
      <c r="M95" s="10"/>
      <c r="N95" s="14"/>
      <c r="O95" s="10"/>
    </row>
    <row r="96" spans="4:17" ht="13" thickBot="1">
      <c r="D96">
        <v>42</v>
      </c>
      <c r="E96" s="9" t="e">
        <f>#REF!</f>
        <v>#REF!</v>
      </c>
      <c r="F96" s="16"/>
      <c r="G96" s="10"/>
      <c r="H96" s="13"/>
      <c r="I96" s="10"/>
      <c r="J96" s="14"/>
      <c r="K96" s="10"/>
      <c r="L96" s="14"/>
      <c r="M96" s="10"/>
      <c r="N96" s="14"/>
      <c r="O96" s="10"/>
    </row>
    <row r="97" spans="4:15" ht="13" thickBot="1">
      <c r="E97" s="10"/>
      <c r="F97" s="10"/>
      <c r="G97" s="10"/>
      <c r="H97" s="14" t="s">
        <v>209</v>
      </c>
      <c r="I97" s="9" t="str">
        <f>IF(OR(H95="",H98=""),"",+IF(H95&gt;H98,G95,E98))</f>
        <v/>
      </c>
      <c r="J97" s="16"/>
      <c r="K97" s="10"/>
      <c r="L97" s="14"/>
      <c r="M97" s="10"/>
      <c r="N97" s="14"/>
      <c r="O97" s="10"/>
    </row>
    <row r="98" spans="4:15" ht="13" thickBot="1">
      <c r="D98">
        <v>43</v>
      </c>
      <c r="E98" s="9" t="e">
        <f>#REF!</f>
        <v>#REF!</v>
      </c>
      <c r="F98" s="9"/>
      <c r="G98" s="9" t="e">
        <f>E98</f>
        <v>#REF!</v>
      </c>
      <c r="H98" s="16"/>
      <c r="I98" s="10"/>
      <c r="J98" s="10"/>
      <c r="K98" s="10"/>
      <c r="L98" s="14"/>
      <c r="M98" s="10"/>
      <c r="N98" s="14"/>
      <c r="O98" s="10"/>
    </row>
    <row r="99" spans="4:15">
      <c r="E99" s="10"/>
      <c r="F99" s="10"/>
      <c r="G99" s="10"/>
      <c r="H99" s="10"/>
      <c r="I99" s="10"/>
      <c r="J99" s="10"/>
      <c r="K99" s="10"/>
      <c r="L99" s="14"/>
      <c r="M99" s="10"/>
      <c r="N99" s="14"/>
      <c r="O99" s="10"/>
    </row>
    <row r="100" spans="4:15" ht="13" thickBot="1">
      <c r="D100">
        <v>44</v>
      </c>
      <c r="E100" s="10" t="e">
        <f>#REF!</f>
        <v>#REF!</v>
      </c>
      <c r="F100" s="11"/>
      <c r="G100" s="10"/>
      <c r="H100" s="10"/>
      <c r="I100" s="10"/>
      <c r="J100" s="10"/>
      <c r="K100" s="10"/>
      <c r="L100" s="14" t="s">
        <v>203</v>
      </c>
      <c r="M100" s="9" t="str">
        <f>IF(OR(L93="",L106=""),"",+IF(L92&gt;L106,K93,K106))</f>
        <v/>
      </c>
      <c r="N100" s="16"/>
      <c r="O100" s="10"/>
    </row>
    <row r="101" spans="4:15" ht="13" thickBot="1">
      <c r="E101" s="12"/>
      <c r="F101" s="13" t="s">
        <v>234</v>
      </c>
      <c r="G101" s="9" t="str">
        <f>IF(OR(F100="",F102=""),"",+IF(F100&gt;F102,E100,E102))</f>
        <v/>
      </c>
      <c r="H101" s="17"/>
      <c r="I101" s="10"/>
      <c r="J101" s="10"/>
      <c r="K101" s="10"/>
      <c r="L101" s="14"/>
      <c r="M101" s="10"/>
      <c r="N101" s="10"/>
      <c r="O101" s="10"/>
    </row>
    <row r="102" spans="4:15" ht="13" thickBot="1">
      <c r="D102">
        <v>45</v>
      </c>
      <c r="E102" s="10" t="e">
        <f>#REF!</f>
        <v>#REF!</v>
      </c>
      <c r="F102" s="16"/>
      <c r="G102" s="10"/>
      <c r="H102" s="14"/>
      <c r="I102" s="10"/>
      <c r="J102" s="10"/>
      <c r="K102" s="10"/>
      <c r="L102" s="14"/>
      <c r="M102" s="10"/>
      <c r="N102" s="10"/>
      <c r="O102" s="10"/>
    </row>
    <row r="103" spans="4:15" ht="13" thickBot="1">
      <c r="E103" s="12"/>
      <c r="F103" s="10"/>
      <c r="G103" s="10"/>
      <c r="H103" s="14" t="s">
        <v>213</v>
      </c>
      <c r="I103" s="9" t="str">
        <f>IF(OR(H101="",H105=""),"",+IF(H101&gt;H105,G101,G105))</f>
        <v/>
      </c>
      <c r="J103" s="17"/>
      <c r="K103" s="10"/>
      <c r="L103" s="14"/>
      <c r="M103" s="10"/>
      <c r="N103" s="10"/>
      <c r="O103" s="10"/>
    </row>
    <row r="104" spans="4:15" ht="13" thickBot="1">
      <c r="D104">
        <v>46</v>
      </c>
      <c r="E104" s="10" t="e">
        <f>#REF!</f>
        <v>#REF!</v>
      </c>
      <c r="F104" s="11"/>
      <c r="G104" s="10"/>
      <c r="H104" s="14"/>
      <c r="I104" s="10"/>
      <c r="J104" s="14"/>
      <c r="K104" s="10"/>
      <c r="L104" s="14"/>
      <c r="M104" s="10"/>
      <c r="N104" s="10"/>
      <c r="O104" s="10"/>
    </row>
    <row r="105" spans="4:15" ht="13" thickBot="1">
      <c r="E105" s="12"/>
      <c r="F105" s="13" t="s">
        <v>236</v>
      </c>
      <c r="G105" s="9" t="str">
        <f>IF(OR(F104="",F106=""),"",+IF(F104&gt;F106,E104,E106))</f>
        <v/>
      </c>
      <c r="H105" s="16"/>
      <c r="I105" s="10"/>
      <c r="J105" s="14"/>
      <c r="K105" s="10"/>
      <c r="L105" s="14"/>
      <c r="M105" s="10"/>
      <c r="N105" s="10"/>
      <c r="O105" s="10"/>
    </row>
    <row r="106" spans="4:15" ht="13" thickBot="1">
      <c r="D106">
        <v>47</v>
      </c>
      <c r="E106" s="10" t="e">
        <f>#REF!</f>
        <v>#REF!</v>
      </c>
      <c r="F106" s="16"/>
      <c r="G106" s="10"/>
      <c r="H106" s="10"/>
      <c r="I106" s="10"/>
      <c r="J106" s="14" t="s">
        <v>247</v>
      </c>
      <c r="K106" s="9" t="str">
        <f>IF(OR(J103="",J111=""),"",+IF(J103&gt;J111,I103,I111))</f>
        <v/>
      </c>
      <c r="L106" s="16"/>
      <c r="M106" s="10"/>
      <c r="N106" s="10"/>
      <c r="O106" s="10"/>
    </row>
    <row r="107" spans="4:15">
      <c r="E107" s="12"/>
      <c r="F107" s="10"/>
      <c r="G107" s="10"/>
      <c r="H107" s="10"/>
      <c r="I107" s="10"/>
      <c r="J107" s="14"/>
      <c r="K107" s="10"/>
      <c r="L107" s="10"/>
      <c r="M107" s="10"/>
      <c r="N107" s="10"/>
      <c r="O107" s="10"/>
    </row>
    <row r="108" spans="4:15" ht="13" thickBot="1">
      <c r="D108">
        <v>48</v>
      </c>
      <c r="E108" s="10" t="e">
        <f>#REF!</f>
        <v>#REF!</v>
      </c>
      <c r="F108" s="11"/>
      <c r="G108" s="10"/>
      <c r="H108" s="10"/>
      <c r="I108" s="10"/>
      <c r="J108" s="14"/>
      <c r="K108" s="10"/>
      <c r="L108" s="10"/>
      <c r="M108" s="10"/>
      <c r="N108" s="10"/>
      <c r="O108" s="10"/>
    </row>
    <row r="109" spans="4:15" ht="13" thickBot="1">
      <c r="E109" s="12"/>
      <c r="F109" s="13" t="s">
        <v>238</v>
      </c>
      <c r="G109" s="9" t="str">
        <f>IF(OR(F108="",F110=""),"",+IF(F108&gt;F110,E108,E110))</f>
        <v/>
      </c>
      <c r="H109" s="11"/>
      <c r="I109" s="10"/>
      <c r="J109" s="14"/>
      <c r="K109" s="10"/>
      <c r="L109" s="10"/>
      <c r="M109" s="10"/>
      <c r="N109" s="10"/>
      <c r="O109" s="10"/>
    </row>
    <row r="110" spans="4:15" ht="13" thickBot="1">
      <c r="D110">
        <v>49</v>
      </c>
      <c r="E110" s="9" t="e">
        <f>#REF!</f>
        <v>#REF!</v>
      </c>
      <c r="F110" s="16"/>
      <c r="G110" s="10"/>
      <c r="H110" s="13"/>
      <c r="I110" s="10"/>
      <c r="J110" s="14"/>
      <c r="K110" s="10"/>
      <c r="L110" s="10"/>
      <c r="M110" s="10"/>
      <c r="N110" s="10"/>
      <c r="O110" s="10"/>
    </row>
    <row r="111" spans="4:15" ht="13" thickBot="1">
      <c r="E111" s="10"/>
      <c r="F111" s="10"/>
      <c r="G111" s="10"/>
      <c r="H111" s="14" t="s">
        <v>216</v>
      </c>
      <c r="I111" s="9" t="str">
        <f>IF(OR(H109="",H112=""),"",+IF(H109&gt;H112,G109,E112))</f>
        <v/>
      </c>
      <c r="J111" s="16"/>
      <c r="K111" s="10"/>
      <c r="L111" s="10"/>
      <c r="M111" s="10"/>
      <c r="N111" s="10"/>
      <c r="O111" s="10"/>
    </row>
    <row r="112" spans="4:15" ht="13" thickBot="1">
      <c r="D112">
        <v>50</v>
      </c>
      <c r="E112" s="9" t="e">
        <f>#REF!</f>
        <v>#REF!</v>
      </c>
      <c r="F112" s="9"/>
      <c r="G112" s="9" t="e">
        <f>E112</f>
        <v>#REF!</v>
      </c>
      <c r="H112" s="16"/>
      <c r="I112" s="10"/>
      <c r="J112" s="10"/>
      <c r="K112" s="10"/>
      <c r="L112" s="10"/>
      <c r="M112" s="10"/>
      <c r="N112" s="10"/>
      <c r="O112" s="10"/>
    </row>
    <row r="125" spans="5:5">
      <c r="E125" s="23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Plan75"/>
  <dimension ref="E4:AH120"/>
  <sheetViews>
    <sheetView showGridLines="0" zoomScale="75" workbookViewId="0">
      <selection activeCell="I14" sqref="I14"/>
    </sheetView>
  </sheetViews>
  <sheetFormatPr defaultRowHeight="12.7"/>
  <cols>
    <col min="6" max="6" width="12.41015625" customWidth="1"/>
    <col min="7" max="7" width="3.64453125" customWidth="1"/>
    <col min="8" max="8" width="15.64453125" customWidth="1"/>
    <col min="9" max="9" width="3.64453125" customWidth="1"/>
    <col min="10" max="10" width="15.64453125" customWidth="1"/>
    <col min="11" max="11" width="3.64453125" customWidth="1"/>
    <col min="12" max="12" width="15.64453125" customWidth="1"/>
    <col min="13" max="13" width="3.64453125" customWidth="1"/>
    <col min="14" max="14" width="15.3515625" customWidth="1"/>
    <col min="15" max="15" width="3.64453125" customWidth="1"/>
    <col min="16" max="16" width="15.64453125" customWidth="1"/>
    <col min="17" max="17" width="4.1171875" customWidth="1"/>
    <col min="21" max="21" width="9.1171875"/>
    <col min="22" max="22" width="9.1171875" style="28"/>
    <col min="23" max="23" width="2.41015625" customWidth="1"/>
    <col min="24" max="24" width="9.1171875" style="29"/>
    <col min="25" max="27" width="9.1171875"/>
    <col min="28" max="28" width="7.52734375" bestFit="1" customWidth="1"/>
    <col min="29" max="29" width="6.52734375" bestFit="1" customWidth="1"/>
    <col min="30" max="30" width="2.3515625" bestFit="1" customWidth="1"/>
    <col min="31" max="31" width="3.52734375" style="10" bestFit="1" customWidth="1"/>
    <col min="32" max="32" width="15.64453125" style="28" customWidth="1"/>
    <col min="33" max="33" width="6.52734375" bestFit="1" customWidth="1"/>
    <col min="34" max="34" width="15.64453125" style="29" customWidth="1"/>
  </cols>
  <sheetData>
    <row r="4" spans="5:34" ht="13" thickBot="1"/>
    <row r="5" spans="5:34" ht="13" thickTop="1">
      <c r="U5">
        <v>1</v>
      </c>
      <c r="V5" s="28">
        <f>F10</f>
        <v>0</v>
      </c>
      <c r="W5" t="s">
        <v>77</v>
      </c>
      <c r="X5" s="29">
        <f>F12</f>
        <v>0</v>
      </c>
      <c r="AA5" s="30"/>
      <c r="AB5" s="31"/>
      <c r="AC5" s="31"/>
      <c r="AD5" s="31"/>
      <c r="AE5" s="49"/>
      <c r="AF5" s="51"/>
      <c r="AG5" s="31"/>
      <c r="AH5" s="56"/>
    </row>
    <row r="6" spans="5:34">
      <c r="U6">
        <v>2</v>
      </c>
      <c r="V6" s="28">
        <f>F14</f>
        <v>0</v>
      </c>
      <c r="W6" t="s">
        <v>77</v>
      </c>
      <c r="X6" s="29">
        <f>F16</f>
        <v>0</v>
      </c>
      <c r="AA6" s="34"/>
      <c r="AB6" s="35" t="s">
        <v>153</v>
      </c>
      <c r="AC6" s="100"/>
      <c r="AD6" s="100"/>
      <c r="AE6" s="100"/>
      <c r="AF6" s="100"/>
      <c r="AG6" s="100"/>
      <c r="AH6" s="101"/>
    </row>
    <row r="7" spans="5:34" ht="13" thickBot="1">
      <c r="E7">
        <v>1</v>
      </c>
      <c r="F7" s="10"/>
      <c r="G7" s="9"/>
      <c r="H7" s="9">
        <f>F7</f>
        <v>0</v>
      </c>
      <c r="I7" s="11"/>
      <c r="J7" s="10"/>
      <c r="K7" s="10"/>
      <c r="L7" s="10"/>
      <c r="M7" s="10"/>
      <c r="N7" s="10"/>
      <c r="O7" s="10"/>
      <c r="P7" s="10"/>
      <c r="U7">
        <v>3</v>
      </c>
      <c r="V7" s="28">
        <f>F23</f>
        <v>0</v>
      </c>
      <c r="W7" t="s">
        <v>77</v>
      </c>
      <c r="X7" s="29">
        <f>F25</f>
        <v>0</v>
      </c>
      <c r="AA7" s="34"/>
      <c r="AB7" s="102"/>
      <c r="AC7" s="103"/>
      <c r="AD7" s="103"/>
      <c r="AE7" s="103"/>
      <c r="AF7" s="103"/>
      <c r="AG7" s="103"/>
      <c r="AH7" s="104"/>
    </row>
    <row r="8" spans="5:34">
      <c r="F8" s="12"/>
      <c r="G8" s="10"/>
      <c r="H8" s="10"/>
      <c r="I8" s="13"/>
      <c r="J8" s="10"/>
      <c r="K8" s="10"/>
      <c r="L8" s="10"/>
      <c r="M8" s="10"/>
      <c r="N8" s="10"/>
      <c r="O8" s="10"/>
      <c r="P8" s="10"/>
      <c r="U8">
        <v>4</v>
      </c>
      <c r="V8" s="28">
        <f>F27</f>
        <v>0</v>
      </c>
      <c r="W8" t="s">
        <v>77</v>
      </c>
      <c r="X8" s="29">
        <f>F29</f>
        <v>0</v>
      </c>
      <c r="AA8" s="34"/>
      <c r="AB8" s="37" t="s">
        <v>154</v>
      </c>
      <c r="AC8" s="37" t="s">
        <v>155</v>
      </c>
      <c r="AD8" s="105" t="s">
        <v>158</v>
      </c>
      <c r="AE8" s="106"/>
      <c r="AF8" s="52"/>
      <c r="AG8" s="39" t="s">
        <v>156</v>
      </c>
      <c r="AH8" s="57"/>
    </row>
    <row r="9" spans="5:34" ht="13" thickBot="1">
      <c r="F9" s="10"/>
      <c r="G9" s="10"/>
      <c r="H9" s="10"/>
      <c r="I9" s="14" t="s">
        <v>238</v>
      </c>
      <c r="J9" s="9" t="str">
        <f>IF(OR(I7="",I11=""),"",+IF(I7&gt;I11,H7,H11))</f>
        <v/>
      </c>
      <c r="K9" s="11"/>
      <c r="L9" s="10"/>
      <c r="M9" s="10"/>
      <c r="N9" s="10"/>
      <c r="O9" s="10"/>
      <c r="P9" s="10"/>
      <c r="U9">
        <v>5</v>
      </c>
      <c r="V9" s="28">
        <f>F36</f>
        <v>0</v>
      </c>
      <c r="W9" t="s">
        <v>77</v>
      </c>
      <c r="X9" s="29">
        <f>F38</f>
        <v>0</v>
      </c>
      <c r="AA9" s="34"/>
      <c r="AB9" s="40"/>
      <c r="AC9" s="40"/>
      <c r="AD9" s="38" t="s">
        <v>159</v>
      </c>
      <c r="AE9" s="48"/>
      <c r="AF9" s="53" t="e">
        <f>LOOKUP(AE9,U$5:U$78,V$5:V$55)</f>
        <v>#N/A</v>
      </c>
      <c r="AG9" s="37" t="s">
        <v>157</v>
      </c>
      <c r="AH9" s="65" t="e">
        <f>LOOKUP(AE9,U$5:U$78,X$5:X$54)</f>
        <v>#N/A</v>
      </c>
    </row>
    <row r="10" spans="5:34" ht="13" thickBot="1">
      <c r="E10">
        <v>2</v>
      </c>
      <c r="F10" s="10"/>
      <c r="G10" s="11"/>
      <c r="H10" s="10"/>
      <c r="I10" s="14"/>
      <c r="J10" s="10"/>
      <c r="K10" s="13"/>
      <c r="L10" s="10"/>
      <c r="M10" s="10"/>
      <c r="N10" s="10"/>
      <c r="O10" s="10"/>
      <c r="P10" s="10"/>
      <c r="U10">
        <v>6</v>
      </c>
      <c r="V10" s="28">
        <f>F40</f>
        <v>0</v>
      </c>
      <c r="W10" t="s">
        <v>77</v>
      </c>
      <c r="X10" s="29">
        <f>F42</f>
        <v>0</v>
      </c>
      <c r="AA10" s="34"/>
      <c r="AB10" s="40"/>
      <c r="AC10" s="40"/>
      <c r="AD10" s="38" t="s">
        <v>159</v>
      </c>
      <c r="AE10" s="48"/>
      <c r="AF10" s="53" t="e">
        <f>LOOKUP(AE10,U$5:U$78,V$5:V$55)</f>
        <v>#N/A</v>
      </c>
      <c r="AG10" s="37" t="s">
        <v>157</v>
      </c>
      <c r="AH10" s="65" t="e">
        <f>LOOKUP(AE10,U$5:U$78,X$5:X$54)</f>
        <v>#N/A</v>
      </c>
    </row>
    <row r="11" spans="5:34" ht="13" thickBot="1">
      <c r="F11" s="12"/>
      <c r="G11" s="13" t="s">
        <v>202</v>
      </c>
      <c r="H11" s="9" t="str">
        <f>IF(OR(G10="",G12=""),"",+IF(G10&gt;G12,F10,F12))</f>
        <v/>
      </c>
      <c r="I11" s="16"/>
      <c r="J11" s="10"/>
      <c r="K11" s="14"/>
      <c r="L11" s="10"/>
      <c r="M11" s="10"/>
      <c r="N11" s="10"/>
      <c r="O11" s="10"/>
      <c r="P11" s="10"/>
      <c r="U11">
        <v>7</v>
      </c>
      <c r="V11" s="28">
        <f>F49</f>
        <v>0</v>
      </c>
      <c r="W11" t="s">
        <v>77</v>
      </c>
      <c r="X11" s="29">
        <f>F51</f>
        <v>0</v>
      </c>
      <c r="AA11" s="34"/>
      <c r="AB11" s="40"/>
      <c r="AC11" s="40"/>
      <c r="AD11" s="38" t="s">
        <v>159</v>
      </c>
      <c r="AE11" s="48"/>
      <c r="AF11" s="53" t="e">
        <f>LOOKUP(AE11,U$5:U$78,V$5:V$55)</f>
        <v>#N/A</v>
      </c>
      <c r="AG11" s="37" t="s">
        <v>157</v>
      </c>
      <c r="AH11" s="65" t="e">
        <f>LOOKUP(AE11,U$5:U$78,X$5:X$54)</f>
        <v>#N/A</v>
      </c>
    </row>
    <row r="12" spans="5:34" ht="13" thickBot="1">
      <c r="E12">
        <v>3</v>
      </c>
      <c r="F12" s="10"/>
      <c r="G12" s="16"/>
      <c r="H12" s="10"/>
      <c r="I12" s="10"/>
      <c r="J12" s="10"/>
      <c r="K12" s="14"/>
      <c r="L12" s="10"/>
      <c r="M12" s="10"/>
      <c r="N12" s="10"/>
      <c r="O12" s="10"/>
      <c r="P12" s="10"/>
      <c r="U12">
        <v>8</v>
      </c>
      <c r="V12" s="28">
        <f>F53</f>
        <v>0</v>
      </c>
      <c r="W12" t="s">
        <v>77</v>
      </c>
      <c r="X12" s="29">
        <f>F55</f>
        <v>0</v>
      </c>
      <c r="AA12" s="34"/>
      <c r="AB12" s="40"/>
      <c r="AC12" s="40"/>
      <c r="AD12" s="38" t="s">
        <v>159</v>
      </c>
      <c r="AE12" s="48"/>
      <c r="AF12" s="53" t="e">
        <f>LOOKUP(AE12,U$5:U$78,V$5:V$55)</f>
        <v>#N/A</v>
      </c>
      <c r="AG12" s="37" t="s">
        <v>157</v>
      </c>
      <c r="AH12" s="65" t="e">
        <f>LOOKUP(AE12,U$5:U$78,X$5:X$54)</f>
        <v>#N/A</v>
      </c>
    </row>
    <row r="13" spans="5:34" ht="13" thickBot="1">
      <c r="F13" s="12"/>
      <c r="G13" s="10"/>
      <c r="H13" s="10"/>
      <c r="I13" s="10"/>
      <c r="J13" s="10"/>
      <c r="K13" s="14" t="s">
        <v>216</v>
      </c>
      <c r="L13" s="9" t="str">
        <f>IF(OR(K9="",K17=""),"",+IF(K9&gt;K17,J9,J17))</f>
        <v/>
      </c>
      <c r="M13" s="17"/>
      <c r="N13" s="10"/>
      <c r="O13" s="10"/>
      <c r="P13" s="10"/>
      <c r="U13">
        <v>9</v>
      </c>
      <c r="V13" s="28">
        <f>F63</f>
        <v>0</v>
      </c>
      <c r="W13" t="s">
        <v>77</v>
      </c>
      <c r="X13" s="29">
        <f>F65</f>
        <v>0</v>
      </c>
      <c r="AA13" s="34"/>
      <c r="AB13" s="41"/>
      <c r="AC13" s="33"/>
      <c r="AD13" s="33"/>
      <c r="AE13" s="50"/>
      <c r="AF13" s="54"/>
      <c r="AG13" s="33"/>
      <c r="AH13" s="58"/>
    </row>
    <row r="14" spans="5:34" ht="13" thickBot="1">
      <c r="E14">
        <v>4</v>
      </c>
      <c r="F14" s="10"/>
      <c r="G14" s="11"/>
      <c r="H14" s="10"/>
      <c r="I14" s="10"/>
      <c r="J14" s="10"/>
      <c r="K14" s="14"/>
      <c r="L14" s="10"/>
      <c r="M14" s="13"/>
      <c r="N14" s="10"/>
      <c r="O14" s="10"/>
      <c r="P14" s="10"/>
      <c r="U14">
        <v>10</v>
      </c>
      <c r="V14" s="28">
        <f>F67</f>
        <v>0</v>
      </c>
      <c r="W14" t="s">
        <v>77</v>
      </c>
      <c r="X14" s="29">
        <f>F69</f>
        <v>0</v>
      </c>
      <c r="AA14" s="34"/>
      <c r="AB14" s="40"/>
      <c r="AC14" s="40"/>
      <c r="AD14" s="38" t="s">
        <v>159</v>
      </c>
      <c r="AE14" s="48"/>
      <c r="AF14" s="53" t="e">
        <f>LOOKUP(AE14,U$5:U$78,V$5:V$55)</f>
        <v>#N/A</v>
      </c>
      <c r="AG14" s="37" t="s">
        <v>157</v>
      </c>
      <c r="AH14" s="65" t="e">
        <f>LOOKUP(AE14,U$5:U$78,X$5:X$54)</f>
        <v>#N/A</v>
      </c>
    </row>
    <row r="15" spans="5:34" ht="13" thickBot="1">
      <c r="F15" s="12"/>
      <c r="G15" s="13" t="s">
        <v>204</v>
      </c>
      <c r="H15" s="9" t="str">
        <f>IF(OR(G14="",G16=""),"",+IF(G14&gt;G16,F14,F16))</f>
        <v/>
      </c>
      <c r="I15" s="11"/>
      <c r="J15" s="10"/>
      <c r="K15" s="14"/>
      <c r="L15" s="10"/>
      <c r="M15" s="14"/>
      <c r="N15" s="10"/>
      <c r="O15" s="10"/>
      <c r="P15" s="10"/>
      <c r="U15">
        <v>11</v>
      </c>
      <c r="V15" s="28">
        <f>F76</f>
        <v>0</v>
      </c>
      <c r="W15" t="s">
        <v>77</v>
      </c>
      <c r="X15" s="29">
        <f>F78</f>
        <v>0</v>
      </c>
      <c r="AA15" s="34"/>
      <c r="AB15" s="40"/>
      <c r="AC15" s="40"/>
      <c r="AD15" s="38" t="s">
        <v>159</v>
      </c>
      <c r="AE15" s="48"/>
      <c r="AF15" s="53" t="e">
        <f>LOOKUP(AE15,U$5:U$78,V$5:V$55)</f>
        <v>#N/A</v>
      </c>
      <c r="AG15" s="37" t="s">
        <v>157</v>
      </c>
      <c r="AH15" s="65" t="e">
        <f>LOOKUP(AE15,U$5:U$78,X$5:X$54)</f>
        <v>#N/A</v>
      </c>
    </row>
    <row r="16" spans="5:34" ht="13" thickBot="1">
      <c r="E16">
        <v>5</v>
      </c>
      <c r="F16" s="9"/>
      <c r="G16" s="16"/>
      <c r="H16" s="10"/>
      <c r="I16" s="13"/>
      <c r="J16" s="10"/>
      <c r="K16" s="14"/>
      <c r="L16" s="10"/>
      <c r="M16" s="14"/>
      <c r="N16" s="10"/>
      <c r="O16" s="10"/>
      <c r="P16" s="10"/>
      <c r="U16">
        <v>12</v>
      </c>
      <c r="V16" s="28">
        <f>F80</f>
        <v>0</v>
      </c>
      <c r="W16" t="s">
        <v>77</v>
      </c>
      <c r="X16" s="29">
        <f>F82</f>
        <v>0</v>
      </c>
      <c r="AA16" s="34"/>
      <c r="AB16" s="40"/>
      <c r="AC16" s="40"/>
      <c r="AD16" s="38" t="s">
        <v>159</v>
      </c>
      <c r="AE16" s="48"/>
      <c r="AF16" s="53" t="e">
        <f>LOOKUP(AE16,U$5:U$78,V$5:V$55)</f>
        <v>#N/A</v>
      </c>
      <c r="AG16" s="37" t="s">
        <v>157</v>
      </c>
      <c r="AH16" s="65" t="e">
        <f>LOOKUP(AE16,U$5:U$78,X$5:X$54)</f>
        <v>#N/A</v>
      </c>
    </row>
    <row r="17" spans="5:34" ht="13" thickBot="1">
      <c r="F17" s="10"/>
      <c r="G17" s="10"/>
      <c r="H17" s="10"/>
      <c r="I17" s="14" t="s">
        <v>240</v>
      </c>
      <c r="J17" s="9" t="str">
        <f>IF(OR(I15="",I18=""),"",+IF(I15&gt;I18,H15,F18))</f>
        <v/>
      </c>
      <c r="K17" s="16"/>
      <c r="L17" s="10"/>
      <c r="M17" s="14"/>
      <c r="N17" s="10"/>
      <c r="O17" s="10"/>
      <c r="P17" s="10"/>
      <c r="U17">
        <v>13</v>
      </c>
      <c r="V17" s="28">
        <f>F89</f>
        <v>0</v>
      </c>
      <c r="W17" t="s">
        <v>77</v>
      </c>
      <c r="X17" s="29">
        <f>F91</f>
        <v>0</v>
      </c>
      <c r="AA17" s="34"/>
      <c r="AB17" s="40"/>
      <c r="AC17" s="40"/>
      <c r="AD17" s="38" t="s">
        <v>159</v>
      </c>
      <c r="AE17" s="48"/>
      <c r="AF17" s="53" t="e">
        <f>LOOKUP(AE17,U$5:U$78,V$5:V$55)</f>
        <v>#N/A</v>
      </c>
      <c r="AG17" s="37" t="s">
        <v>157</v>
      </c>
      <c r="AH17" s="65" t="e">
        <f>LOOKUP(AE17,U$5:U$78,X$5:X$54)</f>
        <v>#N/A</v>
      </c>
    </row>
    <row r="18" spans="5:34" ht="13" thickBot="1">
      <c r="E18">
        <v>6</v>
      </c>
      <c r="F18" s="9"/>
      <c r="G18" s="9"/>
      <c r="H18" s="9">
        <f>F18</f>
        <v>0</v>
      </c>
      <c r="I18" s="16"/>
      <c r="J18" s="10"/>
      <c r="K18" s="10"/>
      <c r="L18" s="10"/>
      <c r="M18" s="14"/>
      <c r="N18" s="10"/>
      <c r="O18" s="10"/>
      <c r="P18" s="10"/>
      <c r="U18">
        <v>14</v>
      </c>
      <c r="V18" s="28">
        <f>F93</f>
        <v>0</v>
      </c>
      <c r="W18" t="s">
        <v>77</v>
      </c>
      <c r="X18" s="29">
        <f>F95</f>
        <v>0</v>
      </c>
      <c r="AA18" s="34"/>
      <c r="AB18" s="41"/>
      <c r="AC18" s="33"/>
      <c r="AD18" s="33"/>
      <c r="AE18" s="50"/>
      <c r="AF18" s="54"/>
      <c r="AG18" s="33"/>
      <c r="AH18" s="58"/>
    </row>
    <row r="19" spans="5:34">
      <c r="F19" s="10"/>
      <c r="G19" s="10"/>
      <c r="H19" s="10"/>
      <c r="I19" s="10"/>
      <c r="J19" s="10"/>
      <c r="K19" s="10"/>
      <c r="L19" s="10"/>
      <c r="M19" s="14"/>
      <c r="N19" s="10"/>
      <c r="O19" s="10"/>
      <c r="P19" s="10"/>
      <c r="U19">
        <v>15</v>
      </c>
      <c r="V19" s="28">
        <f>F99</f>
        <v>0</v>
      </c>
      <c r="W19" t="s">
        <v>77</v>
      </c>
      <c r="X19" s="29">
        <f>F101</f>
        <v>0</v>
      </c>
      <c r="AA19" s="34"/>
      <c r="AB19" s="40"/>
      <c r="AC19" s="40"/>
      <c r="AD19" s="38" t="s">
        <v>159</v>
      </c>
      <c r="AE19" s="48"/>
      <c r="AF19" s="53" t="e">
        <f>LOOKUP(AE19,U$5:U$78,V$5:V$55)</f>
        <v>#N/A</v>
      </c>
      <c r="AG19" s="37" t="s">
        <v>157</v>
      </c>
      <c r="AH19" s="65" t="e">
        <f>LOOKUP(AE19,U$5:U$78,X$5:X$54)</f>
        <v>#N/A</v>
      </c>
    </row>
    <row r="20" spans="5:34" ht="13" thickBot="1">
      <c r="E20">
        <v>7</v>
      </c>
      <c r="F20" s="10"/>
      <c r="G20" s="9"/>
      <c r="H20" s="9">
        <f>F20</f>
        <v>0</v>
      </c>
      <c r="I20" s="11"/>
      <c r="J20" s="10"/>
      <c r="K20" s="10"/>
      <c r="L20" s="10"/>
      <c r="M20" s="14" t="s">
        <v>247</v>
      </c>
      <c r="N20" s="9" t="str">
        <f>IF(OR(M13="",M26=""),"",+IF(M13&gt;M26,L13,L26))</f>
        <v/>
      </c>
      <c r="O20" s="17"/>
      <c r="P20" s="10"/>
      <c r="U20">
        <v>16</v>
      </c>
      <c r="V20" s="28">
        <f>F103</f>
        <v>0</v>
      </c>
      <c r="W20" t="s">
        <v>77</v>
      </c>
      <c r="X20" s="29">
        <f>F105</f>
        <v>0</v>
      </c>
      <c r="AA20" s="34"/>
      <c r="AB20" s="40"/>
      <c r="AC20" s="40"/>
      <c r="AD20" s="38" t="s">
        <v>159</v>
      </c>
      <c r="AE20" s="48"/>
      <c r="AF20" s="53" t="e">
        <f>LOOKUP(AE20,U$5:U$78,V$5:V$55)</f>
        <v>#N/A</v>
      </c>
      <c r="AG20" s="37" t="s">
        <v>157</v>
      </c>
      <c r="AH20" s="65" t="e">
        <f>LOOKUP(AE20,U$5:U$78,X$5:X$54)</f>
        <v>#N/A</v>
      </c>
    </row>
    <row r="21" spans="5:34">
      <c r="F21" s="12"/>
      <c r="G21" s="10"/>
      <c r="H21" s="10"/>
      <c r="I21" s="13"/>
      <c r="J21" s="10"/>
      <c r="K21" s="10"/>
      <c r="L21" s="10"/>
      <c r="M21" s="14"/>
      <c r="N21" s="10"/>
      <c r="O21" s="13"/>
      <c r="P21" s="10"/>
      <c r="U21">
        <v>17</v>
      </c>
      <c r="V21" s="28">
        <f>F107</f>
        <v>0</v>
      </c>
      <c r="W21" t="s">
        <v>77</v>
      </c>
      <c r="X21" s="29">
        <f>F109</f>
        <v>0</v>
      </c>
      <c r="AA21" s="34"/>
      <c r="AB21" s="40"/>
      <c r="AC21" s="40"/>
      <c r="AD21" s="38" t="s">
        <v>159</v>
      </c>
      <c r="AE21" s="48"/>
      <c r="AF21" s="53" t="e">
        <f>LOOKUP(AE21,U$5:U$78,V$5:V$55)</f>
        <v>#N/A</v>
      </c>
      <c r="AG21" s="37" t="s">
        <v>157</v>
      </c>
      <c r="AH21" s="65" t="e">
        <f>LOOKUP(AE21,U$5:U$78,X$5:X$54)</f>
        <v>#N/A</v>
      </c>
    </row>
    <row r="22" spans="5:34" ht="13" thickBot="1">
      <c r="F22" s="10"/>
      <c r="G22" s="10"/>
      <c r="H22" s="10"/>
      <c r="I22" s="14" t="s">
        <v>242</v>
      </c>
      <c r="J22" s="9" t="str">
        <f>IF(OR(I20="",I24=""),"",+IF(I20&gt;I24,H20,H24))</f>
        <v/>
      </c>
      <c r="K22" s="11"/>
      <c r="L22" s="10"/>
      <c r="M22" s="14"/>
      <c r="N22" s="10"/>
      <c r="O22" s="14"/>
      <c r="P22" s="10"/>
      <c r="U22">
        <v>18</v>
      </c>
      <c r="V22" s="28">
        <f>F7</f>
        <v>0</v>
      </c>
      <c r="W22" t="s">
        <v>77</v>
      </c>
      <c r="X22" s="29" t="s">
        <v>78</v>
      </c>
      <c r="AA22" s="34"/>
      <c r="AB22" s="33"/>
      <c r="AC22" s="33"/>
      <c r="AD22" s="33"/>
      <c r="AE22" s="50"/>
      <c r="AF22" s="64"/>
      <c r="AG22" s="33"/>
      <c r="AH22" s="59"/>
    </row>
    <row r="23" spans="5:34" ht="13" thickBot="1">
      <c r="E23">
        <v>8</v>
      </c>
      <c r="F23" s="10"/>
      <c r="G23" s="11"/>
      <c r="H23" s="10"/>
      <c r="I23" s="14"/>
      <c r="J23" s="10"/>
      <c r="K23" s="13"/>
      <c r="L23" s="10"/>
      <c r="M23" s="14"/>
      <c r="N23" s="10"/>
      <c r="O23" s="14"/>
      <c r="P23" s="10"/>
      <c r="U23">
        <v>19</v>
      </c>
      <c r="V23" s="28" t="s">
        <v>160</v>
      </c>
      <c r="W23" t="s">
        <v>77</v>
      </c>
      <c r="X23" s="29">
        <f>F18</f>
        <v>0</v>
      </c>
      <c r="AA23" s="34"/>
      <c r="AB23" s="35" t="s">
        <v>153</v>
      </c>
      <c r="AC23" s="100"/>
      <c r="AD23" s="100"/>
      <c r="AE23" s="100"/>
      <c r="AF23" s="100"/>
      <c r="AG23" s="100"/>
      <c r="AH23" s="101"/>
    </row>
    <row r="24" spans="5:34" ht="13" thickBot="1">
      <c r="F24" s="12"/>
      <c r="G24" s="13" t="s">
        <v>206</v>
      </c>
      <c r="H24" s="9" t="str">
        <f>IF(OR(G23="",G25=""),"",+IF(G23&gt;G25,F23,F25))</f>
        <v/>
      </c>
      <c r="I24" s="16"/>
      <c r="J24" s="10"/>
      <c r="K24" s="14"/>
      <c r="L24" s="10"/>
      <c r="M24" s="14"/>
      <c r="N24" s="10"/>
      <c r="O24" s="14"/>
      <c r="P24" s="10"/>
      <c r="U24">
        <v>20</v>
      </c>
      <c r="V24" s="28">
        <f>F20</f>
        <v>0</v>
      </c>
      <c r="W24" t="s">
        <v>77</v>
      </c>
      <c r="X24" s="29" t="s">
        <v>161</v>
      </c>
      <c r="AA24" s="34"/>
      <c r="AB24" s="102"/>
      <c r="AC24" s="103"/>
      <c r="AD24" s="103"/>
      <c r="AE24" s="103"/>
      <c r="AF24" s="103"/>
      <c r="AG24" s="103"/>
      <c r="AH24" s="104"/>
    </row>
    <row r="25" spans="5:34" ht="13" thickBot="1">
      <c r="E25">
        <v>9</v>
      </c>
      <c r="F25" s="10"/>
      <c r="G25" s="16"/>
      <c r="H25" s="10"/>
      <c r="I25" s="10"/>
      <c r="J25" s="10"/>
      <c r="K25" s="14"/>
      <c r="L25" s="10"/>
      <c r="M25" s="14"/>
      <c r="N25" s="10"/>
      <c r="O25" s="14"/>
      <c r="P25" s="10"/>
      <c r="U25">
        <v>21</v>
      </c>
      <c r="V25" s="28" t="s">
        <v>81</v>
      </c>
      <c r="W25" t="s">
        <v>77</v>
      </c>
      <c r="X25" s="29">
        <f>F31</f>
        <v>0</v>
      </c>
      <c r="AA25" s="34"/>
      <c r="AB25" s="37" t="s">
        <v>154</v>
      </c>
      <c r="AC25" s="37" t="s">
        <v>155</v>
      </c>
      <c r="AD25" s="105"/>
      <c r="AE25" s="106"/>
      <c r="AF25" s="55"/>
      <c r="AG25" s="39" t="s">
        <v>156</v>
      </c>
      <c r="AH25" s="57"/>
    </row>
    <row r="26" spans="5:34" ht="13" thickBot="1">
      <c r="F26" s="12"/>
      <c r="G26" s="10"/>
      <c r="H26" s="10"/>
      <c r="I26" s="10"/>
      <c r="J26" s="10"/>
      <c r="K26" s="14" t="s">
        <v>220</v>
      </c>
      <c r="L26" s="9" t="str">
        <f>IF(OR(K22="",K30=""),"",+IF(K22&gt;K30,J22,J30))</f>
        <v/>
      </c>
      <c r="M26" s="16"/>
      <c r="N26" s="10"/>
      <c r="O26" s="14"/>
      <c r="P26" s="10"/>
      <c r="U26">
        <v>22</v>
      </c>
      <c r="V26" s="28">
        <f>F33</f>
        <v>0</v>
      </c>
      <c r="W26" t="s">
        <v>77</v>
      </c>
      <c r="X26" s="29" t="s">
        <v>162</v>
      </c>
      <c r="AA26" s="34"/>
      <c r="AB26" s="40"/>
      <c r="AC26" s="40"/>
      <c r="AD26" s="38" t="s">
        <v>159</v>
      </c>
      <c r="AE26" s="48"/>
      <c r="AF26" s="53" t="e">
        <f t="shared" ref="AF26:AF39" si="0">LOOKUP(AE26,U$5:U$78,V$5:V$55)</f>
        <v>#N/A</v>
      </c>
      <c r="AG26" s="37" t="s">
        <v>157</v>
      </c>
      <c r="AH26" s="65" t="e">
        <f t="shared" ref="AH26:AH39" si="1">LOOKUP(AE26,U$5:U$78,X$5:X$54)</f>
        <v>#N/A</v>
      </c>
    </row>
    <row r="27" spans="5:34" ht="13" thickBot="1">
      <c r="E27">
        <v>10</v>
      </c>
      <c r="F27" s="10"/>
      <c r="G27" s="11"/>
      <c r="H27" s="10"/>
      <c r="I27" s="10"/>
      <c r="J27" s="10"/>
      <c r="K27" s="14"/>
      <c r="L27" s="10"/>
      <c r="M27" s="10"/>
      <c r="N27" s="10"/>
      <c r="O27" s="14"/>
      <c r="P27" s="10"/>
      <c r="U27">
        <v>23</v>
      </c>
      <c r="V27" s="28" t="s">
        <v>163</v>
      </c>
      <c r="W27" t="s">
        <v>77</v>
      </c>
      <c r="X27" s="29">
        <f>F44</f>
        <v>0</v>
      </c>
      <c r="AA27" s="34"/>
      <c r="AB27" s="40"/>
      <c r="AC27" s="40"/>
      <c r="AD27" s="38" t="s">
        <v>159</v>
      </c>
      <c r="AE27" s="48"/>
      <c r="AF27" s="53" t="e">
        <f t="shared" si="0"/>
        <v>#N/A</v>
      </c>
      <c r="AG27" s="37" t="s">
        <v>157</v>
      </c>
      <c r="AH27" s="65" t="e">
        <f t="shared" si="1"/>
        <v>#N/A</v>
      </c>
    </row>
    <row r="28" spans="5:34" ht="13" thickBot="1">
      <c r="F28" s="12"/>
      <c r="G28" s="13" t="s">
        <v>208</v>
      </c>
      <c r="H28" s="9" t="str">
        <f>IF(OR(G27="",G29=""),"",+IF(G27&gt;G29,F27,F29))</f>
        <v/>
      </c>
      <c r="I28" s="11"/>
      <c r="J28" s="10"/>
      <c r="K28" s="14"/>
      <c r="L28" s="10"/>
      <c r="M28" s="10"/>
      <c r="N28" s="10"/>
      <c r="O28" s="14"/>
      <c r="P28" s="10"/>
      <c r="U28">
        <v>24</v>
      </c>
      <c r="V28" s="28">
        <f>F46</f>
        <v>0</v>
      </c>
      <c r="W28" t="s">
        <v>77</v>
      </c>
      <c r="X28" s="29" t="s">
        <v>84</v>
      </c>
      <c r="AA28" s="34"/>
      <c r="AB28" s="40"/>
      <c r="AC28" s="40"/>
      <c r="AD28" s="38" t="s">
        <v>159</v>
      </c>
      <c r="AE28" s="48"/>
      <c r="AF28" s="53" t="e">
        <f t="shared" si="0"/>
        <v>#N/A</v>
      </c>
      <c r="AG28" s="37" t="s">
        <v>157</v>
      </c>
      <c r="AH28" s="65" t="e">
        <f t="shared" si="1"/>
        <v>#N/A</v>
      </c>
    </row>
    <row r="29" spans="5:34" ht="13" thickBot="1">
      <c r="E29">
        <v>11</v>
      </c>
      <c r="F29" s="9"/>
      <c r="G29" s="16"/>
      <c r="H29" s="10"/>
      <c r="I29" s="13"/>
      <c r="J29" s="10"/>
      <c r="K29" s="14"/>
      <c r="L29" s="10"/>
      <c r="M29" s="10"/>
      <c r="N29" s="10"/>
      <c r="O29" s="14"/>
      <c r="P29" s="10"/>
      <c r="U29">
        <v>25</v>
      </c>
      <c r="V29" s="28" t="s">
        <v>164</v>
      </c>
      <c r="W29" t="s">
        <v>77</v>
      </c>
      <c r="X29" s="29">
        <f>F57</f>
        <v>0</v>
      </c>
      <c r="AA29" s="34"/>
      <c r="AB29" s="40"/>
      <c r="AC29" s="40"/>
      <c r="AD29" s="38" t="s">
        <v>159</v>
      </c>
      <c r="AE29" s="48"/>
      <c r="AF29" s="53" t="e">
        <f t="shared" si="0"/>
        <v>#N/A</v>
      </c>
      <c r="AG29" s="37" t="s">
        <v>157</v>
      </c>
      <c r="AH29" s="65" t="e">
        <f t="shared" si="1"/>
        <v>#N/A</v>
      </c>
    </row>
    <row r="30" spans="5:34" ht="13" thickBot="1">
      <c r="F30" s="10"/>
      <c r="G30" s="10"/>
      <c r="H30" s="10"/>
      <c r="I30" s="14" t="s">
        <v>244</v>
      </c>
      <c r="J30" s="9" t="str">
        <f>IF(OR(I28="",I31=""),"",+IF(I28&gt;I31,H28,F31))</f>
        <v/>
      </c>
      <c r="K30" s="16"/>
      <c r="L30" s="10"/>
      <c r="M30" s="10"/>
      <c r="N30" s="10"/>
      <c r="O30" s="14"/>
      <c r="P30" s="10"/>
      <c r="S30" s="28"/>
      <c r="T30" s="29"/>
      <c r="U30">
        <v>26</v>
      </c>
      <c r="V30" s="28">
        <f>F60</f>
        <v>0</v>
      </c>
      <c r="W30" t="s">
        <v>77</v>
      </c>
      <c r="X30" s="29" t="s">
        <v>200</v>
      </c>
      <c r="AA30" s="34"/>
      <c r="AB30" s="41"/>
      <c r="AC30" s="33"/>
      <c r="AD30" s="33"/>
      <c r="AE30" s="50"/>
      <c r="AF30" s="54" t="e">
        <f t="shared" si="0"/>
        <v>#N/A</v>
      </c>
      <c r="AG30" s="33"/>
      <c r="AH30" s="58" t="e">
        <f t="shared" si="1"/>
        <v>#N/A</v>
      </c>
    </row>
    <row r="31" spans="5:34" ht="13" thickBot="1">
      <c r="E31">
        <v>12</v>
      </c>
      <c r="F31" s="9"/>
      <c r="G31" s="9"/>
      <c r="H31" s="9">
        <f>F31</f>
        <v>0</v>
      </c>
      <c r="I31" s="16"/>
      <c r="J31" s="10"/>
      <c r="K31" s="10"/>
      <c r="L31" s="10"/>
      <c r="M31" s="10"/>
      <c r="N31" s="10"/>
      <c r="O31" s="14"/>
      <c r="P31" s="10"/>
      <c r="U31">
        <v>27</v>
      </c>
      <c r="V31" s="28" t="s">
        <v>87</v>
      </c>
      <c r="W31" t="s">
        <v>77</v>
      </c>
      <c r="X31" s="29">
        <f>F71</f>
        <v>0</v>
      </c>
      <c r="AA31" s="34"/>
      <c r="AB31" s="40"/>
      <c r="AC31" s="40"/>
      <c r="AD31" s="38" t="s">
        <v>159</v>
      </c>
      <c r="AE31" s="48"/>
      <c r="AF31" s="53" t="e">
        <f t="shared" si="0"/>
        <v>#N/A</v>
      </c>
      <c r="AG31" s="37" t="s">
        <v>157</v>
      </c>
      <c r="AH31" s="65" t="e">
        <f t="shared" si="1"/>
        <v>#N/A</v>
      </c>
    </row>
    <row r="32" spans="5:34">
      <c r="F32" s="10"/>
      <c r="G32" s="10"/>
      <c r="H32" s="10"/>
      <c r="I32" s="10"/>
      <c r="J32" s="10"/>
      <c r="K32" s="10"/>
      <c r="L32" s="10"/>
      <c r="M32" s="10"/>
      <c r="N32" s="10"/>
      <c r="O32" s="14"/>
      <c r="P32" s="10"/>
      <c r="S32" s="28"/>
      <c r="T32" s="29"/>
      <c r="U32">
        <v>28</v>
      </c>
      <c r="V32" s="28">
        <f>F73</f>
        <v>0</v>
      </c>
      <c r="W32" t="s">
        <v>77</v>
      </c>
      <c r="X32" s="29" t="s">
        <v>88</v>
      </c>
      <c r="AA32" s="34"/>
      <c r="AB32" s="40"/>
      <c r="AC32" s="40"/>
      <c r="AD32" s="38" t="s">
        <v>159</v>
      </c>
      <c r="AE32" s="48"/>
      <c r="AF32" s="53" t="e">
        <f t="shared" si="0"/>
        <v>#N/A</v>
      </c>
      <c r="AG32" s="37" t="s">
        <v>157</v>
      </c>
      <c r="AH32" s="65" t="e">
        <f t="shared" si="1"/>
        <v>#N/A</v>
      </c>
    </row>
    <row r="33" spans="5:34" ht="13" thickBot="1">
      <c r="E33">
        <v>13</v>
      </c>
      <c r="F33" s="10"/>
      <c r="G33" s="9"/>
      <c r="H33" s="9">
        <f>F33</f>
        <v>0</v>
      </c>
      <c r="I33" s="11"/>
      <c r="J33" s="10"/>
      <c r="K33" s="10"/>
      <c r="L33" s="10"/>
      <c r="M33" s="10"/>
      <c r="N33" s="10"/>
      <c r="O33" s="14" t="s">
        <v>203</v>
      </c>
      <c r="P33" s="9"/>
      <c r="Q33" s="4"/>
      <c r="U33">
        <v>29</v>
      </c>
      <c r="V33" s="28" t="s">
        <v>89</v>
      </c>
      <c r="W33" t="s">
        <v>77</v>
      </c>
      <c r="X33" s="29">
        <f>F84</f>
        <v>0</v>
      </c>
      <c r="AA33" s="34"/>
      <c r="AB33" s="40"/>
      <c r="AC33" s="40"/>
      <c r="AD33" s="38" t="s">
        <v>159</v>
      </c>
      <c r="AE33" s="48"/>
      <c r="AF33" s="53" t="e">
        <f t="shared" si="0"/>
        <v>#N/A</v>
      </c>
      <c r="AG33" s="37" t="s">
        <v>157</v>
      </c>
      <c r="AH33" s="65" t="e">
        <f t="shared" si="1"/>
        <v>#N/A</v>
      </c>
    </row>
    <row r="34" spans="5:34">
      <c r="F34" s="12"/>
      <c r="G34" s="10"/>
      <c r="H34" s="10"/>
      <c r="I34" s="13"/>
      <c r="J34" s="10"/>
      <c r="K34" s="10"/>
      <c r="L34" s="10"/>
      <c r="M34" s="10"/>
      <c r="N34" s="10"/>
      <c r="O34" s="14"/>
      <c r="P34" s="10"/>
      <c r="R34" s="8"/>
      <c r="S34" s="28"/>
      <c r="T34" s="29"/>
      <c r="U34">
        <v>30</v>
      </c>
      <c r="V34" s="28">
        <f>F86</f>
        <v>0</v>
      </c>
      <c r="W34" t="s">
        <v>77</v>
      </c>
      <c r="X34" s="29" t="s">
        <v>90</v>
      </c>
      <c r="AA34" s="34"/>
      <c r="AB34" s="40"/>
      <c r="AC34" s="40"/>
      <c r="AD34" s="38" t="s">
        <v>159</v>
      </c>
      <c r="AE34" s="48"/>
      <c r="AF34" s="53" t="e">
        <f t="shared" si="0"/>
        <v>#N/A</v>
      </c>
      <c r="AG34" s="37" t="s">
        <v>157</v>
      </c>
      <c r="AH34" s="65" t="e">
        <f t="shared" si="1"/>
        <v>#N/A</v>
      </c>
    </row>
    <row r="35" spans="5:34" ht="13" thickBot="1">
      <c r="F35" s="10"/>
      <c r="G35" s="10"/>
      <c r="H35" s="10"/>
      <c r="I35" s="14" t="s">
        <v>246</v>
      </c>
      <c r="J35" s="9" t="str">
        <f>IF(OR(I33="",I37=""),"",+IF(I33&gt;I37,H33,H37))</f>
        <v/>
      </c>
      <c r="K35" s="11"/>
      <c r="L35" s="10"/>
      <c r="M35" s="10"/>
      <c r="N35" s="10"/>
      <c r="O35" s="14"/>
      <c r="P35" s="10"/>
      <c r="R35" s="8"/>
      <c r="U35">
        <v>31</v>
      </c>
      <c r="V35" s="28" t="s">
        <v>91</v>
      </c>
      <c r="W35" t="s">
        <v>77</v>
      </c>
      <c r="X35" s="29">
        <f>F97</f>
        <v>0</v>
      </c>
      <c r="AA35" s="34"/>
      <c r="AB35" s="41"/>
      <c r="AC35" s="33"/>
      <c r="AD35" s="33"/>
      <c r="AE35" s="50"/>
      <c r="AF35" s="54" t="e">
        <f t="shared" si="0"/>
        <v>#N/A</v>
      </c>
      <c r="AG35" s="33"/>
      <c r="AH35" s="58" t="e">
        <f t="shared" si="1"/>
        <v>#N/A</v>
      </c>
    </row>
    <row r="36" spans="5:34" ht="13" thickBot="1">
      <c r="E36">
        <v>14</v>
      </c>
      <c r="F36" s="10"/>
      <c r="G36" s="11"/>
      <c r="H36" s="10"/>
      <c r="I36" s="14"/>
      <c r="J36" s="10"/>
      <c r="K36" s="13"/>
      <c r="L36" s="10"/>
      <c r="M36" s="10"/>
      <c r="N36" s="10"/>
      <c r="O36" s="14"/>
      <c r="P36" s="10"/>
      <c r="R36" s="8"/>
      <c r="T36" s="29">
        <f>F98</f>
        <v>0</v>
      </c>
      <c r="U36">
        <v>32</v>
      </c>
      <c r="V36" s="28" t="s">
        <v>92</v>
      </c>
      <c r="W36" t="s">
        <v>77</v>
      </c>
      <c r="X36" s="29" t="s">
        <v>165</v>
      </c>
      <c r="AA36" s="34"/>
      <c r="AB36" s="40"/>
      <c r="AC36" s="40"/>
      <c r="AD36" s="38" t="s">
        <v>159</v>
      </c>
      <c r="AE36" s="48"/>
      <c r="AF36" s="53" t="e">
        <f t="shared" si="0"/>
        <v>#N/A</v>
      </c>
      <c r="AG36" s="37" t="s">
        <v>157</v>
      </c>
      <c r="AH36" s="65" t="e">
        <f t="shared" si="1"/>
        <v>#N/A</v>
      </c>
    </row>
    <row r="37" spans="5:34" ht="13" thickBot="1">
      <c r="F37" s="12"/>
      <c r="G37" s="13" t="s">
        <v>210</v>
      </c>
      <c r="H37" s="9" t="str">
        <f>IF(OR(G36="",G38=""),"",+IF(G36&gt;G38,F36,F38))</f>
        <v/>
      </c>
      <c r="I37" s="16"/>
      <c r="J37" s="10"/>
      <c r="K37" s="14"/>
      <c r="L37" s="10"/>
      <c r="M37" s="10"/>
      <c r="N37" s="10"/>
      <c r="O37" s="14"/>
      <c r="P37" s="10"/>
      <c r="R37" s="8"/>
      <c r="U37">
        <v>33</v>
      </c>
      <c r="V37" s="28" t="s">
        <v>94</v>
      </c>
      <c r="W37" t="s">
        <v>77</v>
      </c>
      <c r="X37" s="29">
        <f>F111</f>
        <v>0</v>
      </c>
      <c r="AA37" s="34"/>
      <c r="AB37" s="40"/>
      <c r="AC37" s="40"/>
      <c r="AD37" s="38" t="s">
        <v>159</v>
      </c>
      <c r="AE37" s="48"/>
      <c r="AF37" s="53" t="e">
        <f t="shared" si="0"/>
        <v>#N/A</v>
      </c>
      <c r="AG37" s="37" t="s">
        <v>157</v>
      </c>
      <c r="AH37" s="65" t="e">
        <f t="shared" si="1"/>
        <v>#N/A</v>
      </c>
    </row>
    <row r="38" spans="5:34" ht="13" thickBot="1">
      <c r="E38">
        <v>15</v>
      </c>
      <c r="F38" s="10"/>
      <c r="G38" s="16"/>
      <c r="H38" s="10"/>
      <c r="I38" s="10"/>
      <c r="J38" s="10"/>
      <c r="K38" s="14"/>
      <c r="L38" s="10"/>
      <c r="M38" s="10"/>
      <c r="N38" s="10"/>
      <c r="O38" s="14"/>
      <c r="P38" s="10"/>
      <c r="R38" s="8"/>
      <c r="T38" s="29">
        <f>F112</f>
        <v>0</v>
      </c>
      <c r="U38">
        <v>34</v>
      </c>
      <c r="V38" s="28" t="s">
        <v>95</v>
      </c>
      <c r="W38" t="s">
        <v>77</v>
      </c>
      <c r="X38" s="29" t="s">
        <v>96</v>
      </c>
      <c r="AA38" s="34"/>
      <c r="AB38" s="40"/>
      <c r="AC38" s="40"/>
      <c r="AD38" s="38" t="s">
        <v>159</v>
      </c>
      <c r="AE38" s="48"/>
      <c r="AF38" s="53" t="e">
        <f t="shared" si="0"/>
        <v>#N/A</v>
      </c>
      <c r="AG38" s="37" t="s">
        <v>157</v>
      </c>
      <c r="AH38" s="65" t="e">
        <f t="shared" si="1"/>
        <v>#N/A</v>
      </c>
    </row>
    <row r="39" spans="5:34" ht="13" thickBot="1">
      <c r="F39" s="12"/>
      <c r="G39" s="10"/>
      <c r="H39" s="10"/>
      <c r="I39" s="10"/>
      <c r="J39" s="10"/>
      <c r="K39" s="14" t="s">
        <v>224</v>
      </c>
      <c r="L39" s="9" t="str">
        <f>IF(OR(K35="",K43=""),"",+IF(K35&gt;K43,J35,J43))</f>
        <v/>
      </c>
      <c r="M39" s="17"/>
      <c r="N39" s="10"/>
      <c r="O39" s="14"/>
      <c r="P39" s="10"/>
      <c r="R39" s="8"/>
      <c r="U39">
        <v>35</v>
      </c>
      <c r="V39" s="28" t="s">
        <v>97</v>
      </c>
      <c r="W39" t="s">
        <v>77</v>
      </c>
      <c r="X39" s="29" t="s">
        <v>98</v>
      </c>
      <c r="AA39" s="34"/>
      <c r="AB39" s="33"/>
      <c r="AC39" s="33"/>
      <c r="AD39" s="33"/>
      <c r="AE39" s="50"/>
      <c r="AF39" s="64" t="e">
        <f t="shared" si="0"/>
        <v>#N/A</v>
      </c>
      <c r="AG39" s="33"/>
      <c r="AH39" s="59" t="e">
        <f t="shared" si="1"/>
        <v>#N/A</v>
      </c>
    </row>
    <row r="40" spans="5:34" ht="13" thickBot="1">
      <c r="E40">
        <v>16</v>
      </c>
      <c r="F40" s="10"/>
      <c r="G40" s="11"/>
      <c r="H40" s="10"/>
      <c r="I40" s="10"/>
      <c r="J40" s="10"/>
      <c r="K40" s="14"/>
      <c r="L40" s="10"/>
      <c r="M40" s="13"/>
      <c r="N40" s="10"/>
      <c r="O40" s="14"/>
      <c r="P40" s="10"/>
      <c r="R40" s="8"/>
      <c r="U40">
        <v>36</v>
      </c>
      <c r="V40" s="28" t="s">
        <v>99</v>
      </c>
      <c r="W40" t="s">
        <v>77</v>
      </c>
      <c r="X40" s="29" t="s">
        <v>100</v>
      </c>
      <c r="AA40" s="34"/>
      <c r="AB40" s="35" t="s">
        <v>153</v>
      </c>
      <c r="AC40" s="100"/>
      <c r="AD40" s="100"/>
      <c r="AE40" s="100"/>
      <c r="AF40" s="100"/>
      <c r="AG40" s="100"/>
      <c r="AH40" s="101"/>
    </row>
    <row r="41" spans="5:34" ht="13" thickBot="1">
      <c r="F41" s="12"/>
      <c r="G41" s="13" t="s">
        <v>212</v>
      </c>
      <c r="H41" s="9" t="str">
        <f>IF(OR(G40="",G42=""),"",+IF(G40&gt;G42,F40,F42))</f>
        <v/>
      </c>
      <c r="I41" s="11"/>
      <c r="J41" s="10"/>
      <c r="K41" s="14"/>
      <c r="L41" s="10"/>
      <c r="M41" s="14"/>
      <c r="N41" s="10"/>
      <c r="O41" s="14"/>
      <c r="P41" s="10"/>
      <c r="R41" s="8"/>
      <c r="U41">
        <v>37</v>
      </c>
      <c r="V41" s="28" t="s">
        <v>101</v>
      </c>
      <c r="W41" t="s">
        <v>77</v>
      </c>
      <c r="X41" s="29" t="s">
        <v>102</v>
      </c>
      <c r="AA41" s="34"/>
      <c r="AB41" s="102"/>
      <c r="AC41" s="103"/>
      <c r="AD41" s="103"/>
      <c r="AE41" s="103"/>
      <c r="AF41" s="103"/>
      <c r="AG41" s="103"/>
      <c r="AH41" s="104"/>
    </row>
    <row r="42" spans="5:34" ht="13" thickBot="1">
      <c r="E42">
        <v>17</v>
      </c>
      <c r="F42" s="9"/>
      <c r="G42" s="16"/>
      <c r="H42" s="10"/>
      <c r="I42" s="13"/>
      <c r="J42" s="10"/>
      <c r="K42" s="14"/>
      <c r="L42" s="10"/>
      <c r="M42" s="14"/>
      <c r="N42" s="10"/>
      <c r="O42" s="14"/>
      <c r="P42" s="10"/>
      <c r="R42" s="8"/>
      <c r="U42">
        <v>38</v>
      </c>
      <c r="V42" s="28" t="s">
        <v>103</v>
      </c>
      <c r="W42" t="s">
        <v>77</v>
      </c>
      <c r="X42" s="29" t="s">
        <v>104</v>
      </c>
      <c r="AA42" s="34"/>
      <c r="AB42" s="37" t="s">
        <v>154</v>
      </c>
      <c r="AC42" s="37" t="s">
        <v>155</v>
      </c>
      <c r="AD42" s="107"/>
      <c r="AE42" s="108"/>
      <c r="AF42" s="55"/>
      <c r="AG42" s="39" t="s">
        <v>156</v>
      </c>
      <c r="AH42" s="57"/>
    </row>
    <row r="43" spans="5:34" ht="13" thickBot="1">
      <c r="F43" s="10"/>
      <c r="G43" s="10"/>
      <c r="H43" s="10"/>
      <c r="I43" s="14" t="s">
        <v>248</v>
      </c>
      <c r="J43" s="9" t="str">
        <f>IF(OR(I41="",I44=""),"",+IF(I41&gt;I44,H41,F44))</f>
        <v/>
      </c>
      <c r="K43" s="16"/>
      <c r="L43" s="10"/>
      <c r="M43" s="14"/>
      <c r="N43" s="10"/>
      <c r="O43" s="14"/>
      <c r="P43" s="10"/>
      <c r="R43" s="8"/>
      <c r="U43">
        <v>39</v>
      </c>
      <c r="V43" s="28" t="s">
        <v>105</v>
      </c>
      <c r="W43" t="s">
        <v>77</v>
      </c>
      <c r="X43" s="29" t="s">
        <v>106</v>
      </c>
      <c r="AA43" s="34"/>
      <c r="AB43" s="40"/>
      <c r="AC43" s="40"/>
      <c r="AD43" s="38" t="s">
        <v>159</v>
      </c>
      <c r="AE43" s="48"/>
      <c r="AF43" s="53" t="e">
        <f>LOOKUP(AE43,U$5:U$78,V$5:V$55)</f>
        <v>#N/A</v>
      </c>
      <c r="AG43" s="37" t="s">
        <v>157</v>
      </c>
      <c r="AH43" s="65" t="e">
        <f>LOOKUP(AE43,U$5:U$78,X$5:X$54)</f>
        <v>#N/A</v>
      </c>
    </row>
    <row r="44" spans="5:34" ht="13" thickBot="1">
      <c r="E44">
        <v>18</v>
      </c>
      <c r="F44" s="9"/>
      <c r="G44" s="9"/>
      <c r="H44" s="9">
        <f>F44</f>
        <v>0</v>
      </c>
      <c r="I44" s="16"/>
      <c r="J44" s="10"/>
      <c r="K44" s="10"/>
      <c r="L44" s="10"/>
      <c r="M44" s="14"/>
      <c r="N44" s="10"/>
      <c r="O44" s="14"/>
      <c r="P44" s="10"/>
      <c r="R44" s="8"/>
      <c r="U44">
        <v>40</v>
      </c>
      <c r="V44" s="28" t="s">
        <v>107</v>
      </c>
      <c r="W44" t="s">
        <v>77</v>
      </c>
      <c r="X44" s="29" t="s">
        <v>108</v>
      </c>
      <c r="AA44" s="34"/>
      <c r="AB44" s="40"/>
      <c r="AC44" s="40"/>
      <c r="AD44" s="38" t="s">
        <v>159</v>
      </c>
      <c r="AE44" s="48"/>
      <c r="AF44" s="53" t="e">
        <f>LOOKUP(AE44,U$5:U$78,V$5:V$55)</f>
        <v>#N/A</v>
      </c>
      <c r="AG44" s="37" t="s">
        <v>157</v>
      </c>
      <c r="AH44" s="65" t="e">
        <f>LOOKUP(AE44,U$5:U$78,X$5:X$54)</f>
        <v>#N/A</v>
      </c>
    </row>
    <row r="45" spans="5:34">
      <c r="F45" s="10"/>
      <c r="G45" s="10"/>
      <c r="H45" s="10"/>
      <c r="I45" s="10"/>
      <c r="J45" s="10"/>
      <c r="K45" s="10"/>
      <c r="L45" s="10"/>
      <c r="M45" s="14"/>
      <c r="N45" s="10"/>
      <c r="O45" s="14"/>
      <c r="P45" s="10"/>
      <c r="R45" s="8"/>
      <c r="U45">
        <v>41</v>
      </c>
      <c r="V45" s="28" t="s">
        <v>109</v>
      </c>
      <c r="W45" t="s">
        <v>77</v>
      </c>
      <c r="X45" s="29" t="s">
        <v>110</v>
      </c>
      <c r="AA45" s="34"/>
      <c r="AB45" s="40"/>
      <c r="AC45" s="40"/>
      <c r="AD45" s="38" t="s">
        <v>159</v>
      </c>
      <c r="AE45" s="48"/>
      <c r="AF45" s="53" t="e">
        <f>LOOKUP(AE45,U$5:U$78,V$5:V$55)</f>
        <v>#N/A</v>
      </c>
      <c r="AG45" s="37" t="s">
        <v>157</v>
      </c>
      <c r="AH45" s="65" t="e">
        <f>LOOKUP(AE45,U$5:U$78,X$5:X$54)</f>
        <v>#N/A</v>
      </c>
    </row>
    <row r="46" spans="5:34" ht="13" thickBot="1">
      <c r="E46">
        <v>19</v>
      </c>
      <c r="F46" s="10"/>
      <c r="G46" s="9"/>
      <c r="H46" s="9">
        <f>F46</f>
        <v>0</v>
      </c>
      <c r="I46" s="11"/>
      <c r="J46" s="10"/>
      <c r="K46" s="10"/>
      <c r="L46" s="10"/>
      <c r="M46" s="14" t="s">
        <v>251</v>
      </c>
      <c r="N46" s="9" t="str">
        <f>IF(OR(M39="",M52=""),"",+IF(M39&gt;M52,L39,L52))</f>
        <v/>
      </c>
      <c r="O46" s="16"/>
      <c r="P46" s="10"/>
      <c r="R46" s="8"/>
      <c r="U46">
        <v>42</v>
      </c>
      <c r="V46" s="28" t="s">
        <v>111</v>
      </c>
      <c r="W46" t="s">
        <v>77</v>
      </c>
      <c r="X46" s="29" t="s">
        <v>112</v>
      </c>
      <c r="AA46" s="34"/>
      <c r="AB46" s="40"/>
      <c r="AC46" s="40"/>
      <c r="AD46" s="38" t="s">
        <v>159</v>
      </c>
      <c r="AE46" s="48"/>
      <c r="AF46" s="53" t="e">
        <f>LOOKUP(AE46,U$5:U$78,V$5:V$55)</f>
        <v>#N/A</v>
      </c>
      <c r="AG46" s="37" t="s">
        <v>157</v>
      </c>
      <c r="AH46" s="65" t="e">
        <f>LOOKUP(AE46,U$5:U$78,X$5:X$54)</f>
        <v>#N/A</v>
      </c>
    </row>
    <row r="47" spans="5:34">
      <c r="F47" s="12"/>
      <c r="G47" s="10"/>
      <c r="H47" s="10"/>
      <c r="I47" s="13"/>
      <c r="J47" s="10"/>
      <c r="K47" s="10"/>
      <c r="L47" s="10"/>
      <c r="M47" s="14"/>
      <c r="N47" s="10"/>
      <c r="O47" s="10"/>
      <c r="P47" s="10"/>
      <c r="R47" s="8"/>
      <c r="U47">
        <v>43</v>
      </c>
      <c r="V47" s="28" t="s">
        <v>113</v>
      </c>
      <c r="W47" t="s">
        <v>77</v>
      </c>
      <c r="X47" s="29" t="s">
        <v>114</v>
      </c>
      <c r="AA47" s="34"/>
      <c r="AB47" s="41"/>
      <c r="AC47" s="33"/>
      <c r="AD47" s="33"/>
      <c r="AE47" s="50"/>
      <c r="AF47" s="54"/>
      <c r="AG47" s="33"/>
      <c r="AH47" s="58"/>
    </row>
    <row r="48" spans="5:34" ht="13" thickBot="1">
      <c r="F48" s="10"/>
      <c r="G48" s="10"/>
      <c r="H48" s="10"/>
      <c r="I48" s="14" t="s">
        <v>250</v>
      </c>
      <c r="J48" s="9" t="str">
        <f>IF(OR(I46="",I50=""),"",+IF(I46&gt;I50,H46,H50))</f>
        <v/>
      </c>
      <c r="K48" s="11"/>
      <c r="L48" s="10"/>
      <c r="M48" s="14"/>
      <c r="N48" s="10"/>
      <c r="O48" s="10"/>
      <c r="P48" s="10"/>
      <c r="R48" s="8"/>
      <c r="U48">
        <v>44</v>
      </c>
      <c r="V48" s="28" t="s">
        <v>115</v>
      </c>
      <c r="W48" t="s">
        <v>77</v>
      </c>
      <c r="X48" s="29" t="s">
        <v>116</v>
      </c>
      <c r="AA48" s="34"/>
      <c r="AB48" s="40"/>
      <c r="AC48" s="40"/>
      <c r="AD48" s="38" t="s">
        <v>159</v>
      </c>
      <c r="AE48" s="48"/>
      <c r="AF48" s="53" t="e">
        <f>LOOKUP(AE48,U$5:U$78,V$5:V$55)</f>
        <v>#N/A</v>
      </c>
      <c r="AG48" s="37" t="s">
        <v>157</v>
      </c>
      <c r="AH48" s="65" t="e">
        <f>LOOKUP(AE48,U$5:U$78,X$5:X$54)</f>
        <v>#N/A</v>
      </c>
    </row>
    <row r="49" spans="5:34" ht="13" thickBot="1">
      <c r="E49">
        <v>20</v>
      </c>
      <c r="F49" s="10"/>
      <c r="G49" s="11"/>
      <c r="H49" s="10"/>
      <c r="I49" s="14"/>
      <c r="J49" s="10"/>
      <c r="K49" s="13"/>
      <c r="L49" s="10"/>
      <c r="M49" s="14"/>
      <c r="N49" s="10"/>
      <c r="O49" s="10"/>
      <c r="P49" s="10"/>
      <c r="R49" s="8"/>
      <c r="U49">
        <v>45</v>
      </c>
      <c r="V49" s="28" t="s">
        <v>117</v>
      </c>
      <c r="W49" t="s">
        <v>77</v>
      </c>
      <c r="X49" s="29" t="s">
        <v>118</v>
      </c>
      <c r="AA49" s="34"/>
      <c r="AB49" s="40"/>
      <c r="AC49" s="40"/>
      <c r="AD49" s="38" t="s">
        <v>159</v>
      </c>
      <c r="AE49" s="48"/>
      <c r="AF49" s="53" t="e">
        <f>LOOKUP(AE49,U$5:U$78,V$5:V$55)</f>
        <v>#N/A</v>
      </c>
      <c r="AG49" s="37" t="s">
        <v>157</v>
      </c>
      <c r="AH49" s="65" t="e">
        <f>LOOKUP(AE49,U$5:U$78,X$5:X$54)</f>
        <v>#N/A</v>
      </c>
    </row>
    <row r="50" spans="5:34" ht="13" thickBot="1">
      <c r="F50" s="12"/>
      <c r="G50" s="13" t="s">
        <v>214</v>
      </c>
      <c r="H50" s="9" t="str">
        <f>IF(OR(G49="",G51=""),"",+IF(G49&gt;G51,F49,F51))</f>
        <v/>
      </c>
      <c r="I50" s="16"/>
      <c r="J50" s="10"/>
      <c r="K50" s="14"/>
      <c r="L50" s="10"/>
      <c r="M50" s="14"/>
      <c r="N50" s="10"/>
      <c r="O50" s="10"/>
      <c r="P50" s="10"/>
      <c r="R50" s="8"/>
      <c r="U50">
        <v>46</v>
      </c>
      <c r="V50" s="28" t="s">
        <v>119</v>
      </c>
      <c r="W50" t="s">
        <v>77</v>
      </c>
      <c r="X50" s="29" t="s">
        <v>120</v>
      </c>
      <c r="AA50" s="34"/>
      <c r="AB50" s="40"/>
      <c r="AC50" s="40"/>
      <c r="AD50" s="38" t="s">
        <v>159</v>
      </c>
      <c r="AE50" s="48"/>
      <c r="AF50" s="53" t="e">
        <f>LOOKUP(AE50,U$5:U$78,V$5:V$55)</f>
        <v>#N/A</v>
      </c>
      <c r="AG50" s="37" t="s">
        <v>157</v>
      </c>
      <c r="AH50" s="65" t="e">
        <f>LOOKUP(AE50,U$5:U$78,X$5:X$54)</f>
        <v>#N/A</v>
      </c>
    </row>
    <row r="51" spans="5:34" ht="13" thickBot="1">
      <c r="E51">
        <v>21</v>
      </c>
      <c r="F51" s="10"/>
      <c r="G51" s="16"/>
      <c r="H51" s="10"/>
      <c r="I51" s="10"/>
      <c r="J51" s="10"/>
      <c r="K51" s="14"/>
      <c r="L51" s="10"/>
      <c r="M51" s="14"/>
      <c r="N51" s="10"/>
      <c r="O51" s="10"/>
      <c r="P51" s="10"/>
      <c r="R51" s="8"/>
      <c r="U51">
        <v>47</v>
      </c>
      <c r="V51" s="28" t="s">
        <v>121</v>
      </c>
      <c r="W51" t="s">
        <v>77</v>
      </c>
      <c r="X51" s="29" t="s">
        <v>122</v>
      </c>
      <c r="AA51" s="34"/>
      <c r="AB51" s="40"/>
      <c r="AC51" s="40"/>
      <c r="AD51" s="38" t="s">
        <v>159</v>
      </c>
      <c r="AE51" s="48"/>
      <c r="AF51" s="53" t="e">
        <f>LOOKUP(AE51,U$5:U$78,V$5:V$55)</f>
        <v>#N/A</v>
      </c>
      <c r="AG51" s="37" t="s">
        <v>157</v>
      </c>
      <c r="AH51" s="65" t="e">
        <f>LOOKUP(AE51,U$5:U$78,X$5:X$54)</f>
        <v>#N/A</v>
      </c>
    </row>
    <row r="52" spans="5:34" ht="13" thickBot="1">
      <c r="F52" s="12"/>
      <c r="G52" s="10"/>
      <c r="H52" s="10"/>
      <c r="I52" s="10"/>
      <c r="J52" s="10"/>
      <c r="K52" s="14" t="s">
        <v>228</v>
      </c>
      <c r="L52" s="9" t="str">
        <f>IF(OR(K48="",K56=""),"",+IF(K48&gt;K56,J48,J56))</f>
        <v/>
      </c>
      <c r="M52" s="16"/>
      <c r="N52" s="10"/>
      <c r="O52" s="10"/>
      <c r="P52" s="10"/>
      <c r="R52" s="8"/>
      <c r="U52">
        <v>48</v>
      </c>
      <c r="V52" s="28" t="s">
        <v>123</v>
      </c>
      <c r="W52" t="s">
        <v>77</v>
      </c>
      <c r="X52" s="29" t="s">
        <v>124</v>
      </c>
      <c r="AA52" s="34"/>
      <c r="AB52" s="41"/>
      <c r="AC52" s="33"/>
      <c r="AD52" s="33"/>
      <c r="AE52" s="50"/>
      <c r="AF52" s="54"/>
      <c r="AG52" s="33"/>
      <c r="AH52" s="58"/>
    </row>
    <row r="53" spans="5:34" ht="13" thickBot="1">
      <c r="E53">
        <v>22</v>
      </c>
      <c r="F53" s="10"/>
      <c r="G53" s="11"/>
      <c r="H53" s="10"/>
      <c r="I53" s="10"/>
      <c r="J53" s="10"/>
      <c r="K53" s="14"/>
      <c r="L53" s="10"/>
      <c r="M53" s="10"/>
      <c r="N53" s="10"/>
      <c r="O53" s="10"/>
      <c r="P53" s="10"/>
      <c r="R53" s="8"/>
      <c r="AA53" s="34"/>
      <c r="AB53" s="40"/>
      <c r="AC53" s="40"/>
      <c r="AD53" s="38" t="s">
        <v>159</v>
      </c>
      <c r="AE53" s="48"/>
      <c r="AF53" s="53" t="e">
        <f>LOOKUP(AE53,U$5:U$78,V$5:V$55)</f>
        <v>#N/A</v>
      </c>
      <c r="AG53" s="37" t="s">
        <v>157</v>
      </c>
      <c r="AH53" s="65" t="e">
        <f>LOOKUP(AE53,U$5:U$78,X$5:X$54)</f>
        <v>#N/A</v>
      </c>
    </row>
    <row r="54" spans="5:34" ht="13" thickBot="1">
      <c r="F54" s="12"/>
      <c r="G54" s="13" t="s">
        <v>217</v>
      </c>
      <c r="H54" s="9" t="str">
        <f>IF(OR(G53="",G55=""),"",+IF(G53&gt;G55,F53,F55))</f>
        <v/>
      </c>
      <c r="I54" s="11"/>
      <c r="J54" s="10"/>
      <c r="K54" s="14"/>
      <c r="L54" s="10"/>
      <c r="M54" s="10"/>
      <c r="N54" s="10"/>
      <c r="O54" s="10"/>
      <c r="P54" s="10"/>
      <c r="R54" s="8"/>
      <c r="AA54" s="34"/>
      <c r="AB54" s="40"/>
      <c r="AC54" s="40"/>
      <c r="AD54" s="38" t="s">
        <v>159</v>
      </c>
      <c r="AE54" s="48"/>
      <c r="AF54" s="53" t="e">
        <f>LOOKUP(AE54,U$5:U$78,V$5:V$55)</f>
        <v>#N/A</v>
      </c>
      <c r="AG54" s="37" t="s">
        <v>157</v>
      </c>
      <c r="AH54" s="65" t="e">
        <f>LOOKUP(AE54,U$5:U$78,X$5:X$54)</f>
        <v>#N/A</v>
      </c>
    </row>
    <row r="55" spans="5:34" ht="13" thickBot="1">
      <c r="E55">
        <v>23</v>
      </c>
      <c r="F55" s="9"/>
      <c r="G55" s="16"/>
      <c r="H55" s="10"/>
      <c r="I55" s="13"/>
      <c r="J55" s="10"/>
      <c r="K55" s="14"/>
      <c r="L55" s="10"/>
      <c r="M55" s="10"/>
      <c r="N55" s="10"/>
      <c r="O55" s="10"/>
      <c r="P55" s="10"/>
      <c r="R55" s="8"/>
      <c r="AA55" s="34"/>
      <c r="AB55" s="40"/>
      <c r="AC55" s="40"/>
      <c r="AD55" s="38" t="s">
        <v>159</v>
      </c>
      <c r="AE55" s="48"/>
      <c r="AF55" s="53" t="e">
        <f>LOOKUP(AE55,U$5:U$78,V$5:V$55)</f>
        <v>#N/A</v>
      </c>
      <c r="AG55" s="37" t="s">
        <v>157</v>
      </c>
      <c r="AH55" s="65" t="e">
        <f>LOOKUP(AE55,U$5:U$78,X$5:X$54)</f>
        <v>#N/A</v>
      </c>
    </row>
    <row r="56" spans="5:34" ht="13" thickBot="1">
      <c r="F56" s="10"/>
      <c r="G56" s="10"/>
      <c r="H56" s="10"/>
      <c r="I56" s="14" t="s">
        <v>252</v>
      </c>
      <c r="J56" s="9" t="str">
        <f>IF(OR(I54="",I57=""),"",+IF(I54&gt;I57,H54,F57))</f>
        <v/>
      </c>
      <c r="K56" s="16"/>
      <c r="L56" s="10"/>
      <c r="M56" s="10"/>
      <c r="N56" s="10"/>
      <c r="O56" s="10"/>
      <c r="P56" s="10"/>
      <c r="R56" s="8"/>
      <c r="AA56" s="42"/>
      <c r="AB56" s="43"/>
      <c r="AC56" s="43"/>
      <c r="AD56" s="43"/>
      <c r="AE56" s="61"/>
      <c r="AF56" s="62"/>
      <c r="AG56" s="63"/>
      <c r="AH56" s="60"/>
    </row>
    <row r="57" spans="5:34" ht="13" thickBot="1">
      <c r="E57">
        <v>24</v>
      </c>
      <c r="F57" s="9"/>
      <c r="G57" s="9"/>
      <c r="H57" s="9">
        <f>F57</f>
        <v>0</v>
      </c>
      <c r="I57" s="16"/>
      <c r="J57" s="10"/>
      <c r="K57" s="10"/>
      <c r="L57" s="10"/>
      <c r="M57" s="10"/>
      <c r="N57" s="10"/>
      <c r="O57" s="10"/>
      <c r="P57" s="10"/>
      <c r="R57" s="8"/>
    </row>
    <row r="58" spans="5:34">
      <c r="R58" s="8"/>
    </row>
    <row r="59" spans="5:34">
      <c r="R59" s="8"/>
    </row>
    <row r="60" spans="5:34" ht="13" thickBot="1">
      <c r="E60">
        <v>25</v>
      </c>
      <c r="F60" s="10"/>
      <c r="G60" s="9"/>
      <c r="H60" s="9">
        <f>F60</f>
        <v>0</v>
      </c>
      <c r="I60" s="11"/>
      <c r="J60" s="10"/>
      <c r="K60" s="10"/>
      <c r="L60" s="10"/>
      <c r="M60" s="10"/>
      <c r="N60" s="10"/>
      <c r="O60" s="10"/>
      <c r="P60" s="10"/>
      <c r="Q60" t="s">
        <v>218</v>
      </c>
      <c r="R60" s="27"/>
      <c r="S60" s="7"/>
      <c r="T60" s="7"/>
    </row>
    <row r="61" spans="5:34">
      <c r="F61" s="12"/>
      <c r="G61" s="10"/>
      <c r="H61" s="10"/>
      <c r="I61" s="13"/>
      <c r="J61" s="10"/>
      <c r="K61" s="10"/>
      <c r="L61" s="10"/>
      <c r="M61" s="10"/>
      <c r="N61" s="10"/>
      <c r="O61" s="10"/>
      <c r="P61" s="10"/>
      <c r="R61" s="8"/>
    </row>
    <row r="62" spans="5:34" ht="13" thickBot="1">
      <c r="F62" s="10"/>
      <c r="G62" s="10"/>
      <c r="H62" s="10"/>
      <c r="I62" s="14" t="s">
        <v>254</v>
      </c>
      <c r="J62" s="9" t="str">
        <f>IF(OR(I60="",I64=""),"",+IF(I60&gt;I64,H60,H64))</f>
        <v/>
      </c>
      <c r="K62" s="11"/>
      <c r="L62" s="10"/>
      <c r="M62" s="10"/>
      <c r="N62" s="10"/>
      <c r="O62" s="10"/>
      <c r="P62" s="10"/>
      <c r="R62" s="8"/>
    </row>
    <row r="63" spans="5:34" ht="13" thickBot="1">
      <c r="E63">
        <v>26</v>
      </c>
      <c r="F63" s="10"/>
      <c r="G63" s="11"/>
      <c r="H63" s="10"/>
      <c r="I63" s="14"/>
      <c r="J63" s="10"/>
      <c r="K63" s="13"/>
      <c r="L63" s="10"/>
      <c r="M63" s="10"/>
      <c r="N63" s="10"/>
      <c r="O63" s="10"/>
      <c r="P63" s="10"/>
      <c r="R63" s="8"/>
    </row>
    <row r="64" spans="5:34" ht="13" thickBot="1">
      <c r="F64" s="12"/>
      <c r="G64" s="13" t="s">
        <v>219</v>
      </c>
      <c r="H64" s="9" t="str">
        <f>IF(OR(G63="",G65=""),"",+IF(G63&gt;G65,F63,F65))</f>
        <v/>
      </c>
      <c r="I64" s="16"/>
      <c r="J64" s="10"/>
      <c r="K64" s="14"/>
      <c r="L64" s="10"/>
      <c r="M64" s="10"/>
      <c r="N64" s="10"/>
      <c r="O64" s="10"/>
      <c r="P64" s="10"/>
      <c r="R64" s="8"/>
    </row>
    <row r="65" spans="5:18" ht="13" thickBot="1">
      <c r="E65">
        <v>27</v>
      </c>
      <c r="F65" s="10"/>
      <c r="G65" s="16"/>
      <c r="H65" s="10"/>
      <c r="I65" s="10"/>
      <c r="J65" s="10"/>
      <c r="K65" s="14"/>
      <c r="L65" s="10"/>
      <c r="M65" s="10"/>
      <c r="N65" s="10"/>
      <c r="O65" s="10"/>
      <c r="P65" s="10"/>
      <c r="R65" s="8"/>
    </row>
    <row r="66" spans="5:18" ht="13" thickBot="1">
      <c r="F66" s="12"/>
      <c r="G66" s="10"/>
      <c r="H66" s="10"/>
      <c r="I66" s="10"/>
      <c r="J66" s="10"/>
      <c r="K66" s="14" t="s">
        <v>231</v>
      </c>
      <c r="L66" s="9" t="str">
        <f>IF(OR(K62="",K70=""),"",+IF(K62&gt;K70,J62,J70))</f>
        <v/>
      </c>
      <c r="M66" s="17"/>
      <c r="N66" s="10"/>
      <c r="O66" s="10"/>
      <c r="P66" s="10"/>
      <c r="R66" s="8"/>
    </row>
    <row r="67" spans="5:18" ht="13" thickBot="1">
      <c r="E67">
        <v>28</v>
      </c>
      <c r="F67" s="10"/>
      <c r="G67" s="11"/>
      <c r="H67" s="10"/>
      <c r="I67" s="10"/>
      <c r="J67" s="10"/>
      <c r="K67" s="14"/>
      <c r="L67" s="10"/>
      <c r="M67" s="13"/>
      <c r="N67" s="10"/>
      <c r="O67" s="10"/>
      <c r="P67" s="10"/>
      <c r="R67" s="8"/>
    </row>
    <row r="68" spans="5:18" ht="13" thickBot="1">
      <c r="F68" s="12"/>
      <c r="G68" s="13" t="s">
        <v>221</v>
      </c>
      <c r="H68" s="9" t="str">
        <f>IF(OR(G67="",G69=""),"",+IF(G67&gt;G69,F67,F69))</f>
        <v/>
      </c>
      <c r="I68" s="11"/>
      <c r="J68" s="10"/>
      <c r="K68" s="14"/>
      <c r="L68" s="10"/>
      <c r="M68" s="14"/>
      <c r="N68" s="10"/>
      <c r="O68" s="10"/>
      <c r="P68" s="10"/>
      <c r="R68" s="8"/>
    </row>
    <row r="69" spans="5:18" ht="13" thickBot="1">
      <c r="E69">
        <v>29</v>
      </c>
      <c r="F69" s="9"/>
      <c r="G69" s="16"/>
      <c r="H69" s="10"/>
      <c r="I69" s="13"/>
      <c r="J69" s="10"/>
      <c r="K69" s="14"/>
      <c r="L69" s="10"/>
      <c r="M69" s="14"/>
      <c r="N69" s="10"/>
      <c r="O69" s="10"/>
      <c r="P69" s="10"/>
      <c r="R69" s="8"/>
    </row>
    <row r="70" spans="5:18" ht="13" thickBot="1">
      <c r="F70" s="10"/>
      <c r="G70" s="10"/>
      <c r="H70" s="10"/>
      <c r="I70" s="14" t="s">
        <v>256</v>
      </c>
      <c r="J70" s="9" t="str">
        <f>IF(OR(I68="",I71=""),"",+IF(I68&gt;I71,H68,F71))</f>
        <v/>
      </c>
      <c r="K70" s="16"/>
      <c r="L70" s="10"/>
      <c r="M70" s="14"/>
      <c r="N70" s="10"/>
      <c r="O70" s="10"/>
      <c r="P70" s="10"/>
      <c r="R70" s="8"/>
    </row>
    <row r="71" spans="5:18" ht="13" thickBot="1">
      <c r="E71">
        <v>30</v>
      </c>
      <c r="F71" s="9"/>
      <c r="G71" s="9"/>
      <c r="H71" s="9">
        <f>F71</f>
        <v>0</v>
      </c>
      <c r="I71" s="16"/>
      <c r="J71" s="10"/>
      <c r="K71" s="10"/>
      <c r="L71" s="10"/>
      <c r="M71" s="14"/>
      <c r="N71" s="10"/>
      <c r="O71" s="10"/>
      <c r="P71" s="10"/>
      <c r="R71" s="8"/>
    </row>
    <row r="72" spans="5:18">
      <c r="F72" s="10"/>
      <c r="G72" s="10"/>
      <c r="H72" s="10"/>
      <c r="I72" s="10"/>
      <c r="J72" s="10"/>
      <c r="K72" s="10"/>
      <c r="L72" s="10"/>
      <c r="M72" s="14"/>
      <c r="N72" s="10"/>
      <c r="O72" s="10"/>
      <c r="P72" s="10"/>
      <c r="R72" s="8"/>
    </row>
    <row r="73" spans="5:18" ht="13" thickBot="1">
      <c r="E73">
        <v>31</v>
      </c>
      <c r="F73" s="10"/>
      <c r="G73" s="9"/>
      <c r="H73" s="9">
        <f>F73</f>
        <v>0</v>
      </c>
      <c r="I73" s="11"/>
      <c r="J73" s="10"/>
      <c r="K73" s="10"/>
      <c r="L73" s="10"/>
      <c r="M73" s="14" t="s">
        <v>255</v>
      </c>
      <c r="N73" s="9" t="str">
        <f>IF(OR(M66="",M79=""),"",+IF(M66&gt;M79,L66,L79))</f>
        <v/>
      </c>
      <c r="O73" s="17"/>
      <c r="P73" s="10"/>
      <c r="R73" s="8"/>
    </row>
    <row r="74" spans="5:18">
      <c r="F74" s="12"/>
      <c r="G74" s="10"/>
      <c r="H74" s="10"/>
      <c r="I74" s="13"/>
      <c r="J74" s="10"/>
      <c r="K74" s="10"/>
      <c r="L74" s="10"/>
      <c r="M74" s="14"/>
      <c r="N74" s="10"/>
      <c r="O74" s="13"/>
      <c r="P74" s="10"/>
      <c r="R74" s="8"/>
    </row>
    <row r="75" spans="5:18" ht="13" thickBot="1">
      <c r="F75" s="10"/>
      <c r="G75" s="10"/>
      <c r="H75" s="10"/>
      <c r="I75" s="14" t="s">
        <v>258</v>
      </c>
      <c r="J75" s="9" t="str">
        <f>IF(OR(I73="",I77=""),"",+IF(I73&gt;I77,H73,H77))</f>
        <v/>
      </c>
      <c r="K75" s="11"/>
      <c r="L75" s="10"/>
      <c r="M75" s="14"/>
      <c r="N75" s="10"/>
      <c r="O75" s="14"/>
      <c r="P75" s="10"/>
      <c r="R75" s="8"/>
    </row>
    <row r="76" spans="5:18" ht="13" thickBot="1">
      <c r="E76">
        <v>32</v>
      </c>
      <c r="F76" s="10"/>
      <c r="G76" s="11"/>
      <c r="H76" s="10"/>
      <c r="I76" s="14"/>
      <c r="J76" s="10"/>
      <c r="K76" s="13"/>
      <c r="L76" s="10"/>
      <c r="M76" s="14"/>
      <c r="N76" s="10"/>
      <c r="O76" s="14"/>
      <c r="P76" s="10"/>
      <c r="R76" s="8"/>
    </row>
    <row r="77" spans="5:18" ht="13" thickBot="1">
      <c r="F77" s="12"/>
      <c r="G77" s="13" t="s">
        <v>223</v>
      </c>
      <c r="H77" s="9" t="str">
        <f>IF(OR(G76="",G78=""),"",+IF(G76&gt;G78,F76,F78))</f>
        <v/>
      </c>
      <c r="I77" s="16"/>
      <c r="J77" s="10"/>
      <c r="K77" s="14"/>
      <c r="L77" s="10"/>
      <c r="M77" s="14"/>
      <c r="N77" s="10"/>
      <c r="O77" s="14"/>
      <c r="P77" s="10"/>
      <c r="R77" s="8"/>
    </row>
    <row r="78" spans="5:18" ht="13" thickBot="1">
      <c r="E78">
        <v>33</v>
      </c>
      <c r="F78" s="10"/>
      <c r="G78" s="16"/>
      <c r="H78" s="10"/>
      <c r="I78" s="10"/>
      <c r="J78" s="10"/>
      <c r="K78" s="14"/>
      <c r="L78" s="10"/>
      <c r="M78" s="14"/>
      <c r="N78" s="10"/>
      <c r="O78" s="14"/>
      <c r="P78" s="10"/>
      <c r="R78" s="8"/>
    </row>
    <row r="79" spans="5:18" ht="13" thickBot="1">
      <c r="F79" s="12"/>
      <c r="G79" s="10"/>
      <c r="H79" s="10"/>
      <c r="I79" s="10"/>
      <c r="J79" s="10"/>
      <c r="K79" s="14" t="s">
        <v>235</v>
      </c>
      <c r="L79" s="9" t="str">
        <f>IF(OR(K75="",K83=""),"",+IF(K75&gt;K83,J75,J83))</f>
        <v/>
      </c>
      <c r="M79" s="16"/>
      <c r="N79" s="10"/>
      <c r="O79" s="14"/>
      <c r="P79" s="10"/>
      <c r="R79" s="8"/>
    </row>
    <row r="80" spans="5:18" ht="13" thickBot="1">
      <c r="E80">
        <v>34</v>
      </c>
      <c r="F80" s="10"/>
      <c r="G80" s="11"/>
      <c r="H80" s="10"/>
      <c r="I80" s="10"/>
      <c r="J80" s="10"/>
      <c r="K80" s="14"/>
      <c r="L80" s="10"/>
      <c r="M80" s="10"/>
      <c r="N80" s="10"/>
      <c r="O80" s="14"/>
      <c r="P80" s="10"/>
      <c r="R80" s="8"/>
    </row>
    <row r="81" spans="5:18" ht="13" thickBot="1">
      <c r="F81" s="12"/>
      <c r="G81" s="13" t="s">
        <v>225</v>
      </c>
      <c r="H81" s="9" t="str">
        <f>IF(OR(G80="",G82=""),"",+IF(G80&gt;G82,F80,F82))</f>
        <v/>
      </c>
      <c r="I81" s="11"/>
      <c r="J81" s="10"/>
      <c r="K81" s="14"/>
      <c r="L81" s="10"/>
      <c r="M81" s="10"/>
      <c r="N81" s="10"/>
      <c r="O81" s="14"/>
      <c r="P81" s="10"/>
      <c r="R81" s="8"/>
    </row>
    <row r="82" spans="5:18" ht="13" thickBot="1">
      <c r="E82">
        <v>35</v>
      </c>
      <c r="F82" s="9"/>
      <c r="G82" s="16"/>
      <c r="H82" s="10"/>
      <c r="I82" s="13"/>
      <c r="J82" s="10"/>
      <c r="K82" s="14"/>
      <c r="L82" s="10"/>
      <c r="M82" s="10"/>
      <c r="N82" s="10"/>
      <c r="O82" s="14"/>
      <c r="P82" s="10"/>
      <c r="R82" s="8"/>
    </row>
    <row r="83" spans="5:18" ht="13" thickBot="1">
      <c r="F83" s="10"/>
      <c r="G83" s="10"/>
      <c r="H83" s="10"/>
      <c r="I83" s="14" t="s">
        <v>260</v>
      </c>
      <c r="J83" s="9" t="str">
        <f>IF(OR(I81="",I84=""),"",+IF(I81&gt;I84,H81,F84))</f>
        <v/>
      </c>
      <c r="K83" s="16"/>
      <c r="L83" s="10"/>
      <c r="M83" s="10"/>
      <c r="N83" s="10"/>
      <c r="O83" s="14"/>
      <c r="P83" s="10"/>
      <c r="R83" s="8"/>
    </row>
    <row r="84" spans="5:18" ht="13" thickBot="1">
      <c r="E84">
        <v>36</v>
      </c>
      <c r="F84" s="9"/>
      <c r="G84" s="9"/>
      <c r="H84" s="9">
        <f>F84</f>
        <v>0</v>
      </c>
      <c r="I84" s="16"/>
      <c r="J84" s="10"/>
      <c r="K84" s="10"/>
      <c r="L84" s="10"/>
      <c r="M84" s="10"/>
      <c r="N84" s="10"/>
      <c r="O84" s="14"/>
      <c r="P84" s="10"/>
      <c r="R84" s="8"/>
    </row>
    <row r="85" spans="5:18" ht="13" thickBot="1">
      <c r="F85" s="10"/>
      <c r="G85" s="10"/>
      <c r="H85" s="10"/>
      <c r="I85" s="10"/>
      <c r="J85" s="10"/>
      <c r="K85" s="10"/>
      <c r="L85" s="10"/>
      <c r="M85" s="10"/>
      <c r="N85" s="10"/>
      <c r="O85" s="14" t="s">
        <v>211</v>
      </c>
      <c r="P85" s="9"/>
      <c r="Q85" s="4"/>
      <c r="R85" s="8"/>
    </row>
    <row r="86" spans="5:18" ht="13" thickBot="1">
      <c r="E86">
        <v>37</v>
      </c>
      <c r="F86" s="10"/>
      <c r="G86" s="9"/>
      <c r="H86" s="9">
        <f>F86</f>
        <v>0</v>
      </c>
      <c r="I86" s="11"/>
      <c r="J86" s="10"/>
      <c r="K86" s="10"/>
      <c r="L86" s="10"/>
      <c r="M86" s="10"/>
      <c r="N86" s="10"/>
      <c r="O86" s="14"/>
      <c r="P86" s="10"/>
    </row>
    <row r="87" spans="5:18">
      <c r="F87" s="12"/>
      <c r="G87" s="10"/>
      <c r="H87" s="10"/>
      <c r="I87" s="13"/>
      <c r="J87" s="10"/>
      <c r="K87" s="10"/>
      <c r="L87" s="10"/>
      <c r="M87" s="10"/>
      <c r="N87" s="10"/>
      <c r="O87" s="14"/>
      <c r="P87" s="10"/>
    </row>
    <row r="88" spans="5:18" ht="13" thickBot="1">
      <c r="F88" s="10"/>
      <c r="G88" s="10"/>
      <c r="H88" s="10"/>
      <c r="I88" s="14" t="s">
        <v>201</v>
      </c>
      <c r="J88" s="9" t="str">
        <f>IF(OR(I86="",I90=""),"",+IF(I86&gt;I90,H86,H90))</f>
        <v/>
      </c>
      <c r="K88" s="11"/>
      <c r="L88" s="10"/>
      <c r="M88" s="10"/>
      <c r="N88" s="10"/>
      <c r="O88" s="14"/>
      <c r="P88" s="10"/>
    </row>
    <row r="89" spans="5:18" ht="13" thickBot="1">
      <c r="E89">
        <v>38</v>
      </c>
      <c r="F89" s="10"/>
      <c r="G89" s="11"/>
      <c r="H89" s="10"/>
      <c r="I89" s="14"/>
      <c r="J89" s="10"/>
      <c r="K89" s="13"/>
      <c r="L89" s="10"/>
      <c r="M89" s="10"/>
      <c r="N89" s="10"/>
      <c r="O89" s="14"/>
      <c r="P89" s="10"/>
    </row>
    <row r="90" spans="5:18" ht="13" thickBot="1">
      <c r="F90" s="12"/>
      <c r="G90" s="13" t="s">
        <v>227</v>
      </c>
      <c r="H90" s="9" t="str">
        <f>IF(OR(G89="",G91=""),"",+IF(G89&gt;G91,F89,F91))</f>
        <v/>
      </c>
      <c r="I90" s="16"/>
      <c r="J90" s="10"/>
      <c r="K90" s="14"/>
      <c r="L90" s="10"/>
      <c r="M90" s="10"/>
      <c r="N90" s="10"/>
      <c r="O90" s="14"/>
      <c r="P90" s="10"/>
    </row>
    <row r="91" spans="5:18" ht="13" thickBot="1">
      <c r="E91">
        <v>39</v>
      </c>
      <c r="F91" s="10"/>
      <c r="G91" s="16"/>
      <c r="H91" s="10"/>
      <c r="I91" s="10"/>
      <c r="J91" s="10"/>
      <c r="K91" s="14"/>
      <c r="L91" s="10"/>
      <c r="M91" s="10"/>
      <c r="N91" s="10"/>
      <c r="O91" s="14"/>
      <c r="P91" s="10"/>
    </row>
    <row r="92" spans="5:18" ht="13" thickBot="1">
      <c r="F92" s="12"/>
      <c r="G92" s="10"/>
      <c r="H92" s="10"/>
      <c r="I92" s="10"/>
      <c r="J92" s="10"/>
      <c r="K92" s="14" t="s">
        <v>239</v>
      </c>
      <c r="L92" s="9" t="str">
        <f>IF(OR(K88="",K96=""),"",+IF(K88&gt;K96,J88,J96))</f>
        <v/>
      </c>
      <c r="M92" s="17"/>
      <c r="N92" s="10"/>
      <c r="O92" s="14"/>
      <c r="P92" s="10"/>
    </row>
    <row r="93" spans="5:18" ht="13" thickBot="1">
      <c r="E93">
        <v>40</v>
      </c>
      <c r="F93" s="10"/>
      <c r="G93" s="11"/>
      <c r="H93" s="10"/>
      <c r="I93" s="10"/>
      <c r="J93" s="10"/>
      <c r="K93" s="14"/>
      <c r="L93" s="10"/>
      <c r="M93" s="13"/>
      <c r="N93" s="10"/>
      <c r="O93" s="14"/>
      <c r="P93" s="10"/>
    </row>
    <row r="94" spans="5:18" ht="13" thickBot="1">
      <c r="F94" s="12"/>
      <c r="G94" s="13" t="s">
        <v>229</v>
      </c>
      <c r="H94" s="9" t="str">
        <f>IF(OR(G93="",G95=""),"",+IF(G93&gt;G95,F93,F95))</f>
        <v/>
      </c>
      <c r="I94" s="11"/>
      <c r="J94" s="10"/>
      <c r="K94" s="14"/>
      <c r="L94" s="10"/>
      <c r="M94" s="14"/>
      <c r="N94" s="10"/>
      <c r="O94" s="14"/>
      <c r="P94" s="10"/>
    </row>
    <row r="95" spans="5:18" ht="13" thickBot="1">
      <c r="E95">
        <v>41</v>
      </c>
      <c r="F95" s="9"/>
      <c r="G95" s="16"/>
      <c r="H95" s="10"/>
      <c r="I95" s="13"/>
      <c r="J95" s="10"/>
      <c r="K95" s="14"/>
      <c r="L95" s="10"/>
      <c r="M95" s="14"/>
      <c r="N95" s="10"/>
      <c r="O95" s="14"/>
      <c r="P95" s="10"/>
    </row>
    <row r="96" spans="5:18" ht="13" thickBot="1">
      <c r="F96" s="10"/>
      <c r="G96" s="10"/>
      <c r="H96" s="10"/>
      <c r="I96" s="14" t="s">
        <v>205</v>
      </c>
      <c r="J96" s="9" t="str">
        <f>IF(OR(I94="",I97=""),"",+IF(I94&gt;I97,H94,F97))</f>
        <v/>
      </c>
      <c r="K96" s="16"/>
      <c r="L96" s="10"/>
      <c r="M96" s="14"/>
      <c r="N96" s="10"/>
      <c r="O96" s="14"/>
      <c r="P96" s="10"/>
    </row>
    <row r="97" spans="5:16" ht="13" thickBot="1">
      <c r="E97">
        <v>42</v>
      </c>
      <c r="F97" s="9"/>
      <c r="G97" s="9"/>
      <c r="H97" s="9">
        <f>F97</f>
        <v>0</v>
      </c>
      <c r="I97" s="16"/>
      <c r="J97" s="10"/>
      <c r="K97" s="10"/>
      <c r="L97" s="10"/>
      <c r="M97" s="14"/>
      <c r="N97" s="10"/>
      <c r="O97" s="14"/>
      <c r="P97" s="10"/>
    </row>
    <row r="98" spans="5:16">
      <c r="F98" s="10"/>
      <c r="G98" s="10"/>
      <c r="H98" s="10"/>
      <c r="I98" s="10"/>
      <c r="J98" s="10"/>
      <c r="K98" s="10"/>
      <c r="L98" s="10"/>
      <c r="M98" s="14"/>
      <c r="N98" s="10"/>
      <c r="O98" s="14"/>
      <c r="P98" s="10"/>
    </row>
    <row r="99" spans="5:16" ht="13" thickBot="1">
      <c r="E99">
        <v>43</v>
      </c>
      <c r="F99" s="10"/>
      <c r="G99" s="11"/>
      <c r="H99" s="10"/>
      <c r="I99" s="10"/>
      <c r="J99" s="10"/>
      <c r="K99" s="10"/>
      <c r="L99" s="10"/>
      <c r="M99" s="14" t="s">
        <v>259</v>
      </c>
      <c r="N99" s="9" t="str">
        <f>IF(OR(M92="",M105=""),"",+IF(M91&gt;M105,L92,L105))</f>
        <v/>
      </c>
      <c r="O99" s="16"/>
      <c r="P99" s="10"/>
    </row>
    <row r="100" spans="5:16" ht="13" thickBot="1">
      <c r="F100" s="12"/>
      <c r="G100" s="13" t="s">
        <v>232</v>
      </c>
      <c r="H100" s="9" t="str">
        <f>IF(OR(G99="",G101=""),"",+IF(G99&gt;G101,F99,F101))</f>
        <v/>
      </c>
      <c r="I100" s="17"/>
      <c r="J100" s="10"/>
      <c r="K100" s="10"/>
      <c r="L100" s="10"/>
      <c r="M100" s="14"/>
      <c r="N100" s="10"/>
      <c r="O100" s="10"/>
      <c r="P100" s="10"/>
    </row>
    <row r="101" spans="5:16" ht="13" thickBot="1">
      <c r="E101">
        <v>44</v>
      </c>
      <c r="F101" s="10"/>
      <c r="G101" s="16"/>
      <c r="H101" s="10"/>
      <c r="I101" s="14"/>
      <c r="J101" s="10"/>
      <c r="K101" s="10"/>
      <c r="L101" s="10"/>
      <c r="M101" s="14"/>
      <c r="N101" s="10"/>
      <c r="O101" s="10"/>
      <c r="P101" s="10"/>
    </row>
    <row r="102" spans="5:16" ht="13" thickBot="1">
      <c r="F102" s="12"/>
      <c r="G102" s="10"/>
      <c r="H102" s="10"/>
      <c r="I102" s="14" t="s">
        <v>209</v>
      </c>
      <c r="J102" s="9" t="str">
        <f>IF(OR(I100="",I104=""),"",+IF(I100&gt;I104,H100,H104))</f>
        <v/>
      </c>
      <c r="K102" s="17"/>
      <c r="L102" s="10"/>
      <c r="M102" s="14"/>
      <c r="N102" s="10"/>
      <c r="O102" s="10"/>
      <c r="P102" s="10"/>
    </row>
    <row r="103" spans="5:16" ht="13" thickBot="1">
      <c r="E103">
        <v>45</v>
      </c>
      <c r="F103" s="10"/>
      <c r="G103" s="11"/>
      <c r="H103" s="10"/>
      <c r="I103" s="14"/>
      <c r="J103" s="10"/>
      <c r="K103" s="14"/>
      <c r="L103" s="10"/>
      <c r="M103" s="14"/>
      <c r="N103" s="10"/>
      <c r="O103" s="10"/>
      <c r="P103" s="10"/>
    </row>
    <row r="104" spans="5:16" ht="13" thickBot="1">
      <c r="F104" s="12"/>
      <c r="G104" s="13" t="s">
        <v>234</v>
      </c>
      <c r="H104" s="9" t="str">
        <f>IF(OR(G103="",G105=""),"",+IF(G103&gt;G105,F103,F105))</f>
        <v/>
      </c>
      <c r="I104" s="16"/>
      <c r="J104" s="10"/>
      <c r="K104" s="14"/>
      <c r="L104" s="10"/>
      <c r="M104" s="14"/>
      <c r="N104" s="10"/>
      <c r="O104" s="10"/>
      <c r="P104" s="10"/>
    </row>
    <row r="105" spans="5:16" ht="13" thickBot="1">
      <c r="E105">
        <v>46</v>
      </c>
      <c r="F105" s="10"/>
      <c r="G105" s="16"/>
      <c r="H105" s="10"/>
      <c r="I105" s="10"/>
      <c r="J105" s="10"/>
      <c r="K105" s="14" t="s">
        <v>243</v>
      </c>
      <c r="L105" s="9" t="str">
        <f>IF(OR(K102="",K110=""),"",+IF(K102&gt;K110,J102,J110))</f>
        <v/>
      </c>
      <c r="M105" s="16"/>
      <c r="N105" s="10"/>
      <c r="O105" s="10"/>
      <c r="P105" s="10"/>
    </row>
    <row r="106" spans="5:16">
      <c r="F106" s="12"/>
      <c r="G106" s="10"/>
      <c r="H106" s="10"/>
      <c r="I106" s="10"/>
      <c r="J106" s="10"/>
      <c r="K106" s="14"/>
      <c r="L106" s="10"/>
      <c r="M106" s="10"/>
      <c r="N106" s="10"/>
      <c r="O106" s="10"/>
      <c r="P106" s="10"/>
    </row>
    <row r="107" spans="5:16" ht="13" thickBot="1">
      <c r="E107">
        <v>47</v>
      </c>
      <c r="F107" s="10"/>
      <c r="G107" s="11"/>
      <c r="H107" s="10"/>
      <c r="I107" s="10"/>
      <c r="J107" s="10"/>
      <c r="K107" s="14"/>
      <c r="L107" s="10"/>
      <c r="M107" s="10"/>
      <c r="N107" s="10"/>
      <c r="O107" s="10"/>
      <c r="P107" s="10"/>
    </row>
    <row r="108" spans="5:16" ht="13" thickBot="1">
      <c r="F108" s="12"/>
      <c r="G108" s="13" t="s">
        <v>236</v>
      </c>
      <c r="H108" s="9" t="str">
        <f>IF(OR(G107="",G109=""),"",+IF(G107&gt;G109,F107,F109))</f>
        <v/>
      </c>
      <c r="I108" s="11"/>
      <c r="J108" s="10"/>
      <c r="K108" s="14"/>
      <c r="L108" s="10"/>
      <c r="M108" s="10"/>
      <c r="N108" s="10"/>
      <c r="O108" s="10"/>
      <c r="P108" s="10"/>
    </row>
    <row r="109" spans="5:16" ht="13" thickBot="1">
      <c r="E109">
        <v>48</v>
      </c>
      <c r="F109" s="9"/>
      <c r="G109" s="16"/>
      <c r="H109" s="10"/>
      <c r="I109" s="13"/>
      <c r="J109" s="10"/>
      <c r="K109" s="14"/>
      <c r="L109" s="10"/>
      <c r="M109" s="10"/>
      <c r="N109" s="10"/>
      <c r="O109" s="10"/>
      <c r="P109" s="10"/>
    </row>
    <row r="110" spans="5:16" ht="13" thickBot="1">
      <c r="F110" s="10"/>
      <c r="G110" s="10"/>
      <c r="H110" s="10"/>
      <c r="I110" s="14" t="s">
        <v>213</v>
      </c>
      <c r="J110" s="9" t="str">
        <f>IF(OR(I108="",I111=""),"",+IF(I108&gt;I111,H108,F111))</f>
        <v/>
      </c>
      <c r="K110" s="16"/>
      <c r="L110" s="10"/>
      <c r="M110" s="10"/>
      <c r="N110" s="10"/>
      <c r="O110" s="10"/>
      <c r="P110" s="10"/>
    </row>
    <row r="111" spans="5:16" ht="13" thickBot="1">
      <c r="E111">
        <v>49</v>
      </c>
      <c r="F111" s="9"/>
      <c r="G111" s="9"/>
      <c r="H111" s="9">
        <f>F111</f>
        <v>0</v>
      </c>
      <c r="I111" s="16"/>
      <c r="J111" s="10"/>
      <c r="K111" s="10"/>
      <c r="L111" s="10"/>
      <c r="M111" s="10"/>
      <c r="N111" s="10"/>
      <c r="O111" s="10"/>
      <c r="P111" s="10"/>
    </row>
    <row r="120" spans="6:6">
      <c r="F120" s="23"/>
    </row>
  </sheetData>
  <mergeCells count="9">
    <mergeCell ref="AC6:AH6"/>
    <mergeCell ref="AB7:AH7"/>
    <mergeCell ref="AD8:AE8"/>
    <mergeCell ref="AC23:AH23"/>
    <mergeCell ref="AD42:AE42"/>
    <mergeCell ref="AB24:AH24"/>
    <mergeCell ref="AD25:AE25"/>
    <mergeCell ref="AC40:AH40"/>
    <mergeCell ref="AB41:AH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46"/>
  <dimension ref="D4:AG109"/>
  <sheetViews>
    <sheetView showGridLines="0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3515625" customWidth="1"/>
    <col min="14" max="14" width="3.64453125" customWidth="1"/>
    <col min="15" max="15" width="15.64453125" customWidth="1"/>
    <col min="16" max="16" width="3.64453125" customWidth="1"/>
    <col min="17" max="17" width="15.41015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E23</f>
        <v>0</v>
      </c>
      <c r="V7" t="s">
        <v>77</v>
      </c>
      <c r="W7" s="29">
        <f>E25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E27</f>
        <v>0</v>
      </c>
      <c r="V8" t="s">
        <v>77</v>
      </c>
      <c r="W8" s="29">
        <f>E29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236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E36</f>
        <v>0</v>
      </c>
      <c r="V9" t="s">
        <v>77</v>
      </c>
      <c r="W9" s="29">
        <f>E38</f>
        <v>0</v>
      </c>
      <c r="Z9" s="34"/>
      <c r="AA9" s="40"/>
      <c r="AB9" s="40"/>
      <c r="AC9" s="38" t="s">
        <v>159</v>
      </c>
      <c r="AD9" s="48"/>
      <c r="AE9" s="53" t="e">
        <f>LOOKUP(AD9,T$5:T$78,U$5:U$54)</f>
        <v>#N/A</v>
      </c>
      <c r="AF9" s="37" t="s">
        <v>157</v>
      </c>
      <c r="AG9" s="65" t="e">
        <f>LOOKUP(AD9,T$5:T$78,W$5:W$53)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E40</f>
        <v>0</v>
      </c>
      <c r="V10" t="s">
        <v>77</v>
      </c>
      <c r="W10" s="29">
        <f>E42</f>
        <v>0</v>
      </c>
      <c r="Z10" s="34"/>
      <c r="AA10" s="40"/>
      <c r="AB10" s="40"/>
      <c r="AC10" s="38" t="s">
        <v>159</v>
      </c>
      <c r="AD10" s="48"/>
      <c r="AE10" s="53" t="e">
        <f>LOOKUP(AD10,T$5:T$78,U$5:U$54)</f>
        <v>#N/A</v>
      </c>
      <c r="AF10" s="37" t="s">
        <v>157</v>
      </c>
      <c r="AG10" s="65" t="e">
        <f>LOOKUP(AD10,T$5:T$78,W$5:W$53)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E49</f>
        <v>0</v>
      </c>
      <c r="V11" t="s">
        <v>77</v>
      </c>
      <c r="W11" s="29">
        <f>E51</f>
        <v>0</v>
      </c>
      <c r="Z11" s="34"/>
      <c r="AA11" s="40"/>
      <c r="AB11" s="40"/>
      <c r="AC11" s="38" t="s">
        <v>159</v>
      </c>
      <c r="AD11" s="48"/>
      <c r="AE11" s="53" t="e">
        <f>LOOKUP(AD11,T$5:T$78,U$5:U$54)</f>
        <v>#N/A</v>
      </c>
      <c r="AF11" s="37" t="s">
        <v>157</v>
      </c>
      <c r="AG11" s="65" t="e">
        <f>LOOKUP(AD11,T$5:T$78,W$5:W$53)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/>
      <c r="K12" s="10"/>
      <c r="L12" s="10"/>
      <c r="M12" s="10"/>
      <c r="N12" s="10"/>
      <c r="O12" s="10"/>
      <c r="P12" s="10"/>
      <c r="Q12" s="10"/>
      <c r="T12">
        <v>8</v>
      </c>
      <c r="U12" s="28">
        <f>E53</f>
        <v>0</v>
      </c>
      <c r="V12" t="s">
        <v>77</v>
      </c>
      <c r="W12" s="29">
        <f>E55</f>
        <v>0</v>
      </c>
      <c r="Z12" s="34"/>
      <c r="AA12" s="40"/>
      <c r="AB12" s="40"/>
      <c r="AC12" s="38" t="s">
        <v>159</v>
      </c>
      <c r="AD12" s="48"/>
      <c r="AE12" s="53" t="e">
        <f>LOOKUP(AD12,T$5:T$78,U$5:U$54)</f>
        <v>#N/A</v>
      </c>
      <c r="AF12" s="37" t="s">
        <v>157</v>
      </c>
      <c r="AG12" s="65" t="e">
        <f>LOOKUP(AD12,T$5:T$78,W$5:W$53)</f>
        <v>#N/A</v>
      </c>
    </row>
    <row r="13" spans="4:33" ht="13" thickBot="1">
      <c r="E13" s="12"/>
      <c r="F13" s="10"/>
      <c r="G13" s="10"/>
      <c r="H13" s="10"/>
      <c r="I13" s="10"/>
      <c r="J13" s="14" t="s">
        <v>213</v>
      </c>
      <c r="K13" s="9" t="str">
        <f>IF(OR(J9="",J17=""),"",+IF(J9&gt;J17,I9,I17))</f>
        <v/>
      </c>
      <c r="L13" s="17"/>
      <c r="M13" s="10"/>
      <c r="N13" s="10"/>
      <c r="O13" s="10"/>
      <c r="P13" s="10"/>
      <c r="Q13" s="10"/>
      <c r="T13">
        <v>9</v>
      </c>
      <c r="U13" s="28">
        <f>E62</f>
        <v>0</v>
      </c>
      <c r="V13" t="s">
        <v>77</v>
      </c>
      <c r="W13" s="29">
        <f>E64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P14" s="10"/>
      <c r="Q14" s="10"/>
      <c r="T14">
        <v>10</v>
      </c>
      <c r="U14" s="28">
        <f>E66</f>
        <v>0</v>
      </c>
      <c r="V14" t="s">
        <v>77</v>
      </c>
      <c r="W14" s="29">
        <f>E68</f>
        <v>0</v>
      </c>
      <c r="Z14" s="34"/>
      <c r="AA14" s="40"/>
      <c r="AB14" s="40"/>
      <c r="AC14" s="38" t="s">
        <v>159</v>
      </c>
      <c r="AD14" s="48"/>
      <c r="AE14" s="53" t="e">
        <f>LOOKUP(AD14,T$5:T$78,U$5:U$54)</f>
        <v>#N/A</v>
      </c>
      <c r="AF14" s="37" t="s">
        <v>157</v>
      </c>
      <c r="AG14" s="65" t="e">
        <f>LOOKUP(AD14,T$5:T$78,W$5:W$53)</f>
        <v>#N/A</v>
      </c>
    </row>
    <row r="15" spans="4:33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N15" s="10"/>
      <c r="O15" s="10"/>
      <c r="P15" s="10"/>
      <c r="Q15" s="10"/>
      <c r="T15">
        <v>11</v>
      </c>
      <c r="U15" s="28">
        <f>E75</f>
        <v>0</v>
      </c>
      <c r="V15" t="s">
        <v>77</v>
      </c>
      <c r="W15" s="29">
        <f>E77</f>
        <v>0</v>
      </c>
      <c r="Z15" s="34"/>
      <c r="AA15" s="40"/>
      <c r="AB15" s="40"/>
      <c r="AC15" s="38" t="s">
        <v>159</v>
      </c>
      <c r="AD15" s="48"/>
      <c r="AE15" s="53" t="e">
        <f>LOOKUP(AD15,T$5:T$78,U$5:U$54)</f>
        <v>#N/A</v>
      </c>
      <c r="AF15" s="37" t="s">
        <v>157</v>
      </c>
      <c r="AG15" s="65" t="e">
        <f>LOOKUP(AD15,T$5:T$78,W$5:W$53)</f>
        <v>#N/A</v>
      </c>
    </row>
    <row r="16" spans="4:33" ht="13" thickBot="1">
      <c r="D16">
        <v>5</v>
      </c>
      <c r="E16" s="9"/>
      <c r="F16" s="16"/>
      <c r="G16" s="10"/>
      <c r="H16" s="13"/>
      <c r="I16" s="10"/>
      <c r="J16" s="14"/>
      <c r="K16" s="10"/>
      <c r="L16" s="14"/>
      <c r="M16" s="10"/>
      <c r="N16" s="10"/>
      <c r="O16" s="10"/>
      <c r="P16" s="10"/>
      <c r="Q16" s="10"/>
      <c r="T16">
        <v>12</v>
      </c>
      <c r="U16" s="28">
        <f>E79</f>
        <v>0</v>
      </c>
      <c r="V16" t="s">
        <v>77</v>
      </c>
      <c r="W16" s="29">
        <f>E81</f>
        <v>0</v>
      </c>
      <c r="Z16" s="34"/>
      <c r="AA16" s="40"/>
      <c r="AB16" s="40"/>
      <c r="AC16" s="38" t="s">
        <v>159</v>
      </c>
      <c r="AD16" s="48"/>
      <c r="AE16" s="53" t="e">
        <f>LOOKUP(AD16,T$5:T$78,U$5:U$54)</f>
        <v>#N/A</v>
      </c>
      <c r="AF16" s="37" t="s">
        <v>157</v>
      </c>
      <c r="AG16" s="65" t="e">
        <f>LOOKUP(AD16,T$5:T$78,W$5:W$53)</f>
        <v>#N/A</v>
      </c>
    </row>
    <row r="17" spans="4:33" ht="13" thickBot="1">
      <c r="E17" s="10"/>
      <c r="F17" s="10"/>
      <c r="G17" s="10"/>
      <c r="H17" s="14" t="s">
        <v>238</v>
      </c>
      <c r="I17" s="9" t="str">
        <f>IF(OR(H15="",H18=""),"",+IF(H15&gt;H18,G15,E18))</f>
        <v/>
      </c>
      <c r="J17" s="16"/>
      <c r="K17" s="10"/>
      <c r="L17" s="14"/>
      <c r="M17" s="10"/>
      <c r="N17" s="10"/>
      <c r="O17" s="10"/>
      <c r="P17" s="10"/>
      <c r="Q17" s="10"/>
      <c r="T17">
        <v>13</v>
      </c>
      <c r="U17" s="28">
        <f>E88</f>
        <v>0</v>
      </c>
      <c r="V17" t="s">
        <v>77</v>
      </c>
      <c r="W17" s="29">
        <f>E90</f>
        <v>0</v>
      </c>
      <c r="Z17" s="34"/>
      <c r="AA17" s="40"/>
      <c r="AB17" s="40"/>
      <c r="AC17" s="38" t="s">
        <v>159</v>
      </c>
      <c r="AD17" s="48"/>
      <c r="AE17" s="53" t="e">
        <f>LOOKUP(AD17,T$5:T$78,U$5:U$54)</f>
        <v>#N/A</v>
      </c>
      <c r="AF17" s="37" t="s">
        <v>157</v>
      </c>
      <c r="AG17" s="65" t="e">
        <f>LOOKUP(AD17,T$5:T$78,W$5:W$53)</f>
        <v>#N/A</v>
      </c>
    </row>
    <row r="18" spans="4:33" ht="13" thickBot="1">
      <c r="D18">
        <v>6</v>
      </c>
      <c r="E18" s="9"/>
      <c r="F18" s="9"/>
      <c r="G18" s="9">
        <f>E18</f>
        <v>0</v>
      </c>
      <c r="H18" s="16"/>
      <c r="I18" s="10"/>
      <c r="J18" s="10"/>
      <c r="K18" s="10"/>
      <c r="L18" s="14"/>
      <c r="M18" s="10"/>
      <c r="N18" s="10"/>
      <c r="O18" s="10"/>
      <c r="P18" s="10"/>
      <c r="Q18" s="10"/>
      <c r="T18">
        <v>14</v>
      </c>
      <c r="U18" s="28">
        <f>E92</f>
        <v>0</v>
      </c>
      <c r="V18" t="s">
        <v>77</v>
      </c>
      <c r="W18" s="29">
        <f>E94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>
      <c r="E19" s="10"/>
      <c r="F19" s="10"/>
      <c r="G19" s="10"/>
      <c r="H19" s="10"/>
      <c r="I19" s="10"/>
      <c r="J19" s="10"/>
      <c r="K19" s="10"/>
      <c r="L19" s="14"/>
      <c r="M19" s="10"/>
      <c r="N19" s="10"/>
      <c r="O19" s="10"/>
      <c r="P19" s="10"/>
      <c r="Q19" s="10"/>
      <c r="T19">
        <v>15</v>
      </c>
      <c r="U19" s="28">
        <f>E101</f>
        <v>0</v>
      </c>
      <c r="V19" t="s">
        <v>77</v>
      </c>
      <c r="W19" s="29">
        <f>E103</f>
        <v>0</v>
      </c>
      <c r="Z19" s="34"/>
      <c r="AA19" s="40"/>
      <c r="AB19" s="40"/>
      <c r="AC19" s="38" t="s">
        <v>159</v>
      </c>
      <c r="AD19" s="48"/>
      <c r="AE19" s="53" t="e">
        <f>LOOKUP(AD19,T$5:T$78,U$5:U$54)</f>
        <v>#N/A</v>
      </c>
      <c r="AF19" s="37" t="s">
        <v>157</v>
      </c>
      <c r="AG19" s="65" t="e">
        <f>LOOKUP(AD19,T$5:T$78,W$5:W$53)</f>
        <v>#N/A</v>
      </c>
    </row>
    <row r="20" spans="4:33" ht="13" thickBot="1">
      <c r="D20">
        <v>7</v>
      </c>
      <c r="E20" s="10"/>
      <c r="F20" s="9"/>
      <c r="G20" s="9">
        <f>E20</f>
        <v>0</v>
      </c>
      <c r="H20" s="11"/>
      <c r="I20" s="10"/>
      <c r="J20" s="10"/>
      <c r="K20" s="10"/>
      <c r="L20" s="14" t="s">
        <v>243</v>
      </c>
      <c r="M20" s="9" t="str">
        <f>IF(OR(L13="",L26=""),"",+IF(L13&gt;L26,K13,K26))</f>
        <v/>
      </c>
      <c r="N20" s="17"/>
      <c r="O20" s="10"/>
      <c r="P20" s="10"/>
      <c r="Q20" s="10"/>
      <c r="T20">
        <v>16</v>
      </c>
      <c r="U20" s="28">
        <f>E105</f>
        <v>0</v>
      </c>
      <c r="V20" t="s">
        <v>77</v>
      </c>
      <c r="W20" s="29">
        <f>E107</f>
        <v>0</v>
      </c>
      <c r="Z20" s="34"/>
      <c r="AA20" s="40"/>
      <c r="AB20" s="40"/>
      <c r="AC20" s="38" t="s">
        <v>159</v>
      </c>
      <c r="AD20" s="48"/>
      <c r="AE20" s="53" t="e">
        <f>LOOKUP(AD20,T$5:T$78,U$5:U$54)</f>
        <v>#N/A</v>
      </c>
      <c r="AF20" s="37" t="s">
        <v>157</v>
      </c>
      <c r="AG20" s="65" t="e">
        <f>LOOKUP(AD20,T$5:T$78,W$5:W$53)</f>
        <v>#N/A</v>
      </c>
    </row>
    <row r="21" spans="4:33">
      <c r="E21" s="12"/>
      <c r="F21" s="10"/>
      <c r="G21" s="10"/>
      <c r="H21" s="13"/>
      <c r="I21" s="10"/>
      <c r="J21" s="10"/>
      <c r="K21" s="10"/>
      <c r="L21" s="14"/>
      <c r="M21" s="10"/>
      <c r="N21" s="13"/>
      <c r="O21" s="10"/>
      <c r="P21" s="10"/>
      <c r="Q21" s="10"/>
      <c r="T21">
        <v>17</v>
      </c>
      <c r="U21" s="28">
        <f>E7</f>
        <v>0</v>
      </c>
      <c r="V21" t="s">
        <v>77</v>
      </c>
      <c r="W21" s="29" t="s">
        <v>78</v>
      </c>
      <c r="Z21" s="34"/>
      <c r="AA21" s="40"/>
      <c r="AB21" s="40"/>
      <c r="AC21" s="38" t="s">
        <v>159</v>
      </c>
      <c r="AD21" s="48"/>
      <c r="AE21" s="53" t="e">
        <f>LOOKUP(AD21,T$5:T$78,U$5:U$54)</f>
        <v>#N/A</v>
      </c>
      <c r="AF21" s="37" t="s">
        <v>157</v>
      </c>
      <c r="AG21" s="65" t="e">
        <f>LOOKUP(AD21,T$5:T$78,W$5:W$53)</f>
        <v>#N/A</v>
      </c>
    </row>
    <row r="22" spans="4:33" ht="13" thickBot="1">
      <c r="E22" s="10"/>
      <c r="F22" s="10"/>
      <c r="G22" s="10"/>
      <c r="H22" s="14" t="s">
        <v>240</v>
      </c>
      <c r="I22" s="9" t="str">
        <f>IF(OR(H20="",H24=""),"",+IF(H20&gt;H24,G20,G24))</f>
        <v/>
      </c>
      <c r="J22" s="11"/>
      <c r="K22" s="10"/>
      <c r="L22" s="14"/>
      <c r="M22" s="10"/>
      <c r="N22" s="14"/>
      <c r="O22" s="10"/>
      <c r="P22" s="10"/>
      <c r="Q22" s="10"/>
      <c r="T22">
        <v>18</v>
      </c>
      <c r="U22" s="28" t="s">
        <v>160</v>
      </c>
      <c r="V22" t="s">
        <v>77</v>
      </c>
      <c r="W22" s="29">
        <f>E18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D23">
        <v>8</v>
      </c>
      <c r="E23" s="10"/>
      <c r="F23" s="11"/>
      <c r="G23" s="10"/>
      <c r="H23" s="14"/>
      <c r="I23" s="10"/>
      <c r="J23" s="13"/>
      <c r="K23" s="10"/>
      <c r="L23" s="14"/>
      <c r="M23" s="10"/>
      <c r="N23" s="14"/>
      <c r="O23" s="10"/>
      <c r="P23" s="10"/>
      <c r="Q23" s="10"/>
      <c r="T23">
        <v>19</v>
      </c>
      <c r="U23" s="28">
        <f>E20</f>
        <v>0</v>
      </c>
      <c r="V23" t="s">
        <v>77</v>
      </c>
      <c r="W23" s="29" t="s">
        <v>161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E24" s="12"/>
      <c r="F24" s="13" t="s">
        <v>206</v>
      </c>
      <c r="G24" s="9" t="str">
        <f>IF(OR(F23="",F25=""),"",+IF(F23&gt;F25,E23,E25))</f>
        <v/>
      </c>
      <c r="H24" s="16"/>
      <c r="I24" s="10"/>
      <c r="J24" s="14"/>
      <c r="K24" s="10"/>
      <c r="L24" s="14"/>
      <c r="M24" s="10"/>
      <c r="N24" s="14"/>
      <c r="O24" s="10"/>
      <c r="P24" s="10"/>
      <c r="Q24" s="10"/>
      <c r="T24">
        <v>20</v>
      </c>
      <c r="U24" s="28" t="s">
        <v>81</v>
      </c>
      <c r="V24" t="s">
        <v>77</v>
      </c>
      <c r="W24" s="29">
        <f>E31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D25">
        <v>9</v>
      </c>
      <c r="E25" s="10"/>
      <c r="F25" s="16"/>
      <c r="G25" s="10"/>
      <c r="H25" s="10"/>
      <c r="I25" s="10"/>
      <c r="J25" s="14"/>
      <c r="K25" s="10"/>
      <c r="L25" s="14"/>
      <c r="M25" s="10"/>
      <c r="N25" s="14"/>
      <c r="O25" s="10"/>
      <c r="P25" s="10"/>
      <c r="Q25" s="10"/>
      <c r="T25">
        <v>21</v>
      </c>
      <c r="U25" s="28">
        <f>E33</f>
        <v>0</v>
      </c>
      <c r="V25" t="s">
        <v>77</v>
      </c>
      <c r="W25" s="29" t="s">
        <v>162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E26" s="12"/>
      <c r="F26" s="10"/>
      <c r="G26" s="10"/>
      <c r="H26" s="10"/>
      <c r="I26" s="10"/>
      <c r="J26" s="14" t="s">
        <v>216</v>
      </c>
      <c r="K26" s="9" t="str">
        <f>IF(OR(J22="",J30=""),"",+IF(J22&gt;J30,I22,I30))</f>
        <v/>
      </c>
      <c r="L26" s="16"/>
      <c r="M26" s="10"/>
      <c r="N26" s="14"/>
      <c r="O26" s="10"/>
      <c r="P26" s="10"/>
      <c r="Q26" s="10"/>
      <c r="T26">
        <v>22</v>
      </c>
      <c r="U26" s="28" t="s">
        <v>163</v>
      </c>
      <c r="V26" t="s">
        <v>77</v>
      </c>
      <c r="W26" s="29">
        <f>E44</f>
        <v>0</v>
      </c>
      <c r="Z26" s="34"/>
      <c r="AA26" s="40"/>
      <c r="AB26" s="40"/>
      <c r="AC26" s="38" t="s">
        <v>159</v>
      </c>
      <c r="AD26" s="48"/>
      <c r="AE26" s="53" t="e">
        <f t="shared" ref="AE26:AE39" si="0">LOOKUP(AD26,T$5:T$78,U$5:U$54)</f>
        <v>#N/A</v>
      </c>
      <c r="AF26" s="37" t="s">
        <v>157</v>
      </c>
      <c r="AG26" s="65" t="e">
        <f t="shared" ref="AG26:AG39" si="1">LOOKUP(AD26,T$5:T$78,W$5:W$53)</f>
        <v>#N/A</v>
      </c>
    </row>
    <row r="27" spans="4:33" ht="13" thickBot="1">
      <c r="D27">
        <v>10</v>
      </c>
      <c r="E27" s="10"/>
      <c r="F27" s="11"/>
      <c r="G27" s="10"/>
      <c r="H27" s="10"/>
      <c r="I27" s="10"/>
      <c r="J27" s="14"/>
      <c r="K27" s="10"/>
      <c r="L27" s="10"/>
      <c r="M27" s="10"/>
      <c r="N27" s="14"/>
      <c r="O27" s="10"/>
      <c r="P27" s="10"/>
      <c r="Q27" s="10"/>
      <c r="T27">
        <v>23</v>
      </c>
      <c r="U27" s="28">
        <f>E46</f>
        <v>0</v>
      </c>
      <c r="V27" t="s">
        <v>77</v>
      </c>
      <c r="W27" s="29" t="s">
        <v>84</v>
      </c>
      <c r="Z27" s="34"/>
      <c r="AA27" s="40"/>
      <c r="AB27" s="40"/>
      <c r="AC27" s="38" t="s">
        <v>159</v>
      </c>
      <c r="AD27" s="48"/>
      <c r="AE27" s="53" t="e">
        <f t="shared" si="0"/>
        <v>#N/A</v>
      </c>
      <c r="AF27" s="37" t="s">
        <v>157</v>
      </c>
      <c r="AG27" s="65" t="e">
        <f t="shared" si="1"/>
        <v>#N/A</v>
      </c>
    </row>
    <row r="28" spans="4:33" ht="13" thickBot="1">
      <c r="E28" s="12"/>
      <c r="F28" s="13" t="s">
        <v>208</v>
      </c>
      <c r="G28" s="9" t="str">
        <f>IF(OR(F27="",F29=""),"",+IF(F27&gt;F29,E27,E29))</f>
        <v/>
      </c>
      <c r="H28" s="11"/>
      <c r="I28" s="10"/>
      <c r="J28" s="14"/>
      <c r="K28" s="10"/>
      <c r="L28" s="10"/>
      <c r="M28" s="10"/>
      <c r="N28" s="14"/>
      <c r="O28" s="10"/>
      <c r="P28" s="10"/>
      <c r="Q28" s="10"/>
      <c r="T28">
        <v>24</v>
      </c>
      <c r="U28" s="28" t="s">
        <v>164</v>
      </c>
      <c r="V28" t="s">
        <v>77</v>
      </c>
      <c r="W28" s="29">
        <f>E57</f>
        <v>0</v>
      </c>
      <c r="Z28" s="34"/>
      <c r="AA28" s="40"/>
      <c r="AB28" s="40"/>
      <c r="AC28" s="38" t="s">
        <v>159</v>
      </c>
      <c r="AD28" s="48"/>
      <c r="AE28" s="53" t="e">
        <f t="shared" si="0"/>
        <v>#N/A</v>
      </c>
      <c r="AF28" s="37" t="s">
        <v>157</v>
      </c>
      <c r="AG28" s="65" t="e">
        <f t="shared" si="1"/>
        <v>#N/A</v>
      </c>
    </row>
    <row r="29" spans="4:33" ht="13" thickBot="1">
      <c r="D29">
        <v>11</v>
      </c>
      <c r="E29" s="9"/>
      <c r="F29" s="16"/>
      <c r="G29" s="10"/>
      <c r="H29" s="13"/>
      <c r="I29" s="10"/>
      <c r="J29" s="14"/>
      <c r="K29" s="10"/>
      <c r="L29" s="10"/>
      <c r="M29" s="10"/>
      <c r="N29" s="14"/>
      <c r="O29" s="10"/>
      <c r="P29" s="10"/>
      <c r="Q29" s="10"/>
      <c r="T29">
        <v>25</v>
      </c>
      <c r="U29" s="28">
        <f>E59</f>
        <v>0</v>
      </c>
      <c r="V29" t="s">
        <v>77</v>
      </c>
      <c r="W29" s="29" t="s">
        <v>200</v>
      </c>
      <c r="Z29" s="34"/>
      <c r="AA29" s="40"/>
      <c r="AB29" s="40"/>
      <c r="AC29" s="38" t="s">
        <v>159</v>
      </c>
      <c r="AD29" s="48"/>
      <c r="AE29" s="53" t="e">
        <f t="shared" si="0"/>
        <v>#N/A</v>
      </c>
      <c r="AF29" s="37" t="s">
        <v>157</v>
      </c>
      <c r="AG29" s="65" t="e">
        <f t="shared" si="1"/>
        <v>#N/A</v>
      </c>
    </row>
    <row r="30" spans="4:33" ht="13" thickBot="1">
      <c r="E30" s="10"/>
      <c r="F30" s="10"/>
      <c r="G30" s="10"/>
      <c r="H30" s="14" t="s">
        <v>242</v>
      </c>
      <c r="I30" s="9" t="str">
        <f>IF(OR(H28="",H31=""),"",+IF(H28&gt;H31,G28,E31))</f>
        <v/>
      </c>
      <c r="J30" s="16"/>
      <c r="K30" s="10"/>
      <c r="L30" s="10"/>
      <c r="M30" s="10"/>
      <c r="N30" s="14"/>
      <c r="O30" s="10"/>
      <c r="P30" s="10"/>
      <c r="Q30" s="10"/>
      <c r="T30">
        <v>26</v>
      </c>
      <c r="U30" s="28" t="s">
        <v>87</v>
      </c>
      <c r="V30" t="s">
        <v>77</v>
      </c>
      <c r="W30" s="29">
        <f>E70</f>
        <v>0</v>
      </c>
      <c r="Z30" s="34"/>
      <c r="AA30" s="41"/>
      <c r="AB30" s="33"/>
      <c r="AC30" s="33"/>
      <c r="AD30" s="50"/>
      <c r="AE30" s="54" t="e">
        <f t="shared" si="0"/>
        <v>#N/A</v>
      </c>
      <c r="AF30" s="33"/>
      <c r="AG30" s="58" t="e">
        <f t="shared" si="1"/>
        <v>#N/A</v>
      </c>
    </row>
    <row r="31" spans="4:33" ht="13" thickBot="1">
      <c r="D31">
        <v>12</v>
      </c>
      <c r="E31" s="9"/>
      <c r="F31" s="9"/>
      <c r="G31" s="9">
        <f>E31</f>
        <v>0</v>
      </c>
      <c r="H31" s="16"/>
      <c r="I31" s="10"/>
      <c r="J31" s="10"/>
      <c r="K31" s="10"/>
      <c r="L31" s="10"/>
      <c r="M31" s="10"/>
      <c r="N31" s="14"/>
      <c r="O31" s="10"/>
      <c r="P31" s="10"/>
      <c r="Q31" s="10"/>
      <c r="T31">
        <v>27</v>
      </c>
      <c r="U31" s="28">
        <f>E72</f>
        <v>0</v>
      </c>
      <c r="V31" t="s">
        <v>77</v>
      </c>
      <c r="W31" s="29" t="s">
        <v>88</v>
      </c>
      <c r="Z31" s="34"/>
      <c r="AA31" s="40"/>
      <c r="AB31" s="40"/>
      <c r="AC31" s="38" t="s">
        <v>159</v>
      </c>
      <c r="AD31" s="48"/>
      <c r="AE31" s="53" t="e">
        <f t="shared" si="0"/>
        <v>#N/A</v>
      </c>
      <c r="AF31" s="37" t="s">
        <v>157</v>
      </c>
      <c r="AG31" s="65" t="e">
        <f t="shared" si="1"/>
        <v>#N/A</v>
      </c>
    </row>
    <row r="32" spans="4:33">
      <c r="E32" s="10"/>
      <c r="F32" s="10"/>
      <c r="G32" s="10"/>
      <c r="H32" s="10"/>
      <c r="I32" s="10"/>
      <c r="J32" s="10"/>
      <c r="K32" s="10"/>
      <c r="L32" s="10"/>
      <c r="M32" s="10"/>
      <c r="N32" s="14"/>
      <c r="O32" s="10"/>
      <c r="P32" s="10"/>
      <c r="Q32" s="10"/>
      <c r="T32">
        <v>28</v>
      </c>
      <c r="U32" s="28" t="s">
        <v>89</v>
      </c>
      <c r="V32" t="s">
        <v>77</v>
      </c>
      <c r="W32" s="29">
        <f>E83</f>
        <v>0</v>
      </c>
      <c r="Z32" s="34"/>
      <c r="AA32" s="40"/>
      <c r="AB32" s="40"/>
      <c r="AC32" s="38" t="s">
        <v>159</v>
      </c>
      <c r="AD32" s="48"/>
      <c r="AE32" s="53" t="e">
        <f t="shared" si="0"/>
        <v>#N/A</v>
      </c>
      <c r="AF32" s="37" t="s">
        <v>157</v>
      </c>
      <c r="AG32" s="65" t="e">
        <f t="shared" si="1"/>
        <v>#N/A</v>
      </c>
    </row>
    <row r="33" spans="4:33" ht="13" thickBot="1">
      <c r="D33">
        <v>13</v>
      </c>
      <c r="E33" s="10"/>
      <c r="F33" s="9"/>
      <c r="G33" s="9">
        <f>E33</f>
        <v>0</v>
      </c>
      <c r="H33" s="11"/>
      <c r="I33" s="10"/>
      <c r="J33" s="10"/>
      <c r="K33" s="10"/>
      <c r="L33" s="10"/>
      <c r="M33" s="10"/>
      <c r="N33" s="14" t="s">
        <v>259</v>
      </c>
      <c r="O33" s="9" t="str">
        <f>IF(OR(N20="",N46=""),"",+IF(N20&gt;N46,M20,M46))</f>
        <v/>
      </c>
      <c r="P33" s="17"/>
      <c r="Q33" s="10"/>
      <c r="T33">
        <v>29</v>
      </c>
      <c r="U33" s="28">
        <f>E85</f>
        <v>0</v>
      </c>
      <c r="V33" t="s">
        <v>77</v>
      </c>
      <c r="W33" s="29" t="s">
        <v>90</v>
      </c>
      <c r="Z33" s="34"/>
      <c r="AA33" s="40"/>
      <c r="AB33" s="40"/>
      <c r="AC33" s="38" t="s">
        <v>159</v>
      </c>
      <c r="AD33" s="48"/>
      <c r="AE33" s="53" t="e">
        <f t="shared" si="0"/>
        <v>#N/A</v>
      </c>
      <c r="AF33" s="37" t="s">
        <v>157</v>
      </c>
      <c r="AG33" s="65" t="e">
        <f t="shared" si="1"/>
        <v>#N/A</v>
      </c>
    </row>
    <row r="34" spans="4:33">
      <c r="E34" s="12"/>
      <c r="F34" s="10"/>
      <c r="G34" s="10"/>
      <c r="H34" s="13"/>
      <c r="I34" s="10"/>
      <c r="J34" s="10"/>
      <c r="K34" s="10"/>
      <c r="L34" s="10"/>
      <c r="M34" s="10"/>
      <c r="N34" s="14"/>
      <c r="O34" s="10"/>
      <c r="P34" s="14"/>
      <c r="Q34" s="10"/>
      <c r="T34">
        <v>30</v>
      </c>
      <c r="U34" s="28" t="s">
        <v>91</v>
      </c>
      <c r="V34" t="s">
        <v>77</v>
      </c>
      <c r="W34" s="29">
        <f>E96</f>
        <v>0</v>
      </c>
      <c r="Z34" s="34"/>
      <c r="AA34" s="40"/>
      <c r="AB34" s="40"/>
      <c r="AC34" s="38" t="s">
        <v>159</v>
      </c>
      <c r="AD34" s="48"/>
      <c r="AE34" s="53" t="e">
        <f t="shared" si="0"/>
        <v>#N/A</v>
      </c>
      <c r="AF34" s="37" t="s">
        <v>157</v>
      </c>
      <c r="AG34" s="65" t="e">
        <f t="shared" si="1"/>
        <v>#N/A</v>
      </c>
    </row>
    <row r="35" spans="4:33" ht="13" thickBot="1">
      <c r="E35" s="10"/>
      <c r="F35" s="10"/>
      <c r="G35" s="10"/>
      <c r="H35" s="14" t="s">
        <v>244</v>
      </c>
      <c r="I35" s="9" t="str">
        <f>IF(OR(H33="",H37=""),"",+IF(H33&gt;H37,G33,G37))</f>
        <v/>
      </c>
      <c r="J35" s="11"/>
      <c r="K35" s="10"/>
      <c r="L35" s="10"/>
      <c r="M35" s="10"/>
      <c r="N35" s="14"/>
      <c r="O35" s="10"/>
      <c r="P35" s="14"/>
      <c r="Q35" s="10"/>
      <c r="T35">
        <v>31</v>
      </c>
      <c r="U35" s="28">
        <f>E98</f>
        <v>0</v>
      </c>
      <c r="V35" t="s">
        <v>77</v>
      </c>
      <c r="W35" s="29" t="s">
        <v>92</v>
      </c>
      <c r="Z35" s="34"/>
      <c r="AA35" s="41"/>
      <c r="AB35" s="33"/>
      <c r="AC35" s="33"/>
      <c r="AD35" s="50"/>
      <c r="AE35" s="54" t="e">
        <f t="shared" si="0"/>
        <v>#N/A</v>
      </c>
      <c r="AF35" s="33"/>
      <c r="AG35" s="58" t="e">
        <f t="shared" si="1"/>
        <v>#N/A</v>
      </c>
    </row>
    <row r="36" spans="4:33" ht="13" thickBot="1">
      <c r="D36">
        <v>14</v>
      </c>
      <c r="E36" s="10"/>
      <c r="F36" s="11"/>
      <c r="G36" s="10"/>
      <c r="H36" s="14"/>
      <c r="I36" s="10"/>
      <c r="J36" s="13"/>
      <c r="K36" s="10"/>
      <c r="L36" s="10"/>
      <c r="M36" s="10"/>
      <c r="N36" s="14"/>
      <c r="O36" s="10"/>
      <c r="P36" s="14"/>
      <c r="Q36" s="10"/>
      <c r="R36" s="29"/>
      <c r="T36">
        <v>32</v>
      </c>
      <c r="U36" s="28" t="s">
        <v>165</v>
      </c>
      <c r="V36" t="s">
        <v>77</v>
      </c>
      <c r="W36" s="29">
        <f>E109</f>
        <v>0</v>
      </c>
      <c r="Z36" s="34"/>
      <c r="AA36" s="40"/>
      <c r="AB36" s="40"/>
      <c r="AC36" s="38" t="s">
        <v>159</v>
      </c>
      <c r="AD36" s="48"/>
      <c r="AE36" s="53" t="e">
        <f t="shared" si="0"/>
        <v>#N/A</v>
      </c>
      <c r="AF36" s="37" t="s">
        <v>157</v>
      </c>
      <c r="AG36" s="65" t="e">
        <f t="shared" si="1"/>
        <v>#N/A</v>
      </c>
    </row>
    <row r="37" spans="4:33" ht="13" thickBot="1">
      <c r="E37" s="12"/>
      <c r="F37" s="13" t="s">
        <v>210</v>
      </c>
      <c r="G37" s="9" t="str">
        <f>IF(OR(F36="",F38=""),"",+IF(F36&gt;F38,E36,E38))</f>
        <v/>
      </c>
      <c r="H37" s="16"/>
      <c r="I37" s="10"/>
      <c r="J37" s="14"/>
      <c r="K37" s="10"/>
      <c r="L37" s="10"/>
      <c r="M37" s="10"/>
      <c r="N37" s="14"/>
      <c r="O37" s="10"/>
      <c r="P37" s="14"/>
      <c r="Q37" s="10"/>
      <c r="T37">
        <v>33</v>
      </c>
      <c r="U37" s="28" t="s">
        <v>94</v>
      </c>
      <c r="V37" t="s">
        <v>77</v>
      </c>
      <c r="W37" s="29" t="s">
        <v>95</v>
      </c>
      <c r="Z37" s="34"/>
      <c r="AA37" s="40"/>
      <c r="AB37" s="40"/>
      <c r="AC37" s="38" t="s">
        <v>159</v>
      </c>
      <c r="AD37" s="48"/>
      <c r="AE37" s="53" t="e">
        <f t="shared" si="0"/>
        <v>#N/A</v>
      </c>
      <c r="AF37" s="37" t="s">
        <v>157</v>
      </c>
      <c r="AG37" s="65" t="e">
        <f t="shared" si="1"/>
        <v>#N/A</v>
      </c>
    </row>
    <row r="38" spans="4:33" ht="13" thickBot="1">
      <c r="D38">
        <v>15</v>
      </c>
      <c r="E38" s="10"/>
      <c r="F38" s="16"/>
      <c r="G38" s="10"/>
      <c r="H38" s="10"/>
      <c r="I38" s="10"/>
      <c r="J38" s="14"/>
      <c r="K38" s="10"/>
      <c r="L38" s="10"/>
      <c r="M38" s="10"/>
      <c r="N38" s="14"/>
      <c r="O38" s="10"/>
      <c r="P38" s="14"/>
      <c r="Q38" s="10"/>
      <c r="T38">
        <v>34</v>
      </c>
      <c r="U38" s="28" t="s">
        <v>96</v>
      </c>
      <c r="V38" t="s">
        <v>77</v>
      </c>
      <c r="W38" s="29" t="s">
        <v>97</v>
      </c>
      <c r="Z38" s="34"/>
      <c r="AA38" s="40"/>
      <c r="AB38" s="40"/>
      <c r="AC38" s="38" t="s">
        <v>159</v>
      </c>
      <c r="AD38" s="48"/>
      <c r="AE38" s="53" t="e">
        <f t="shared" si="0"/>
        <v>#N/A</v>
      </c>
      <c r="AF38" s="37" t="s">
        <v>157</v>
      </c>
      <c r="AG38" s="65" t="e">
        <f t="shared" si="1"/>
        <v>#N/A</v>
      </c>
    </row>
    <row r="39" spans="4:33" ht="13" thickBot="1">
      <c r="E39" s="12"/>
      <c r="F39" s="10"/>
      <c r="G39" s="10"/>
      <c r="H39" s="10"/>
      <c r="I39" s="10"/>
      <c r="J39" s="14" t="s">
        <v>220</v>
      </c>
      <c r="K39" s="9" t="str">
        <f>IF(OR(J35="",J43=""),"",+IF(J35&gt;J43,I35,I43))</f>
        <v/>
      </c>
      <c r="L39" s="17"/>
      <c r="M39" s="10"/>
      <c r="N39" s="14"/>
      <c r="O39" s="10"/>
      <c r="P39" s="14"/>
      <c r="Q39" s="10"/>
      <c r="T39">
        <v>35</v>
      </c>
      <c r="U39" s="28" t="s">
        <v>98</v>
      </c>
      <c r="V39" t="s">
        <v>77</v>
      </c>
      <c r="W39" s="29" t="s">
        <v>99</v>
      </c>
      <c r="Z39" s="34"/>
      <c r="AA39" s="33"/>
      <c r="AB39" s="33"/>
      <c r="AC39" s="33"/>
      <c r="AD39" s="50"/>
      <c r="AE39" s="64" t="e">
        <f t="shared" si="0"/>
        <v>#N/A</v>
      </c>
      <c r="AF39" s="33"/>
      <c r="AG39" s="59" t="e">
        <f t="shared" si="1"/>
        <v>#N/A</v>
      </c>
    </row>
    <row r="40" spans="4:33" ht="13" thickBot="1">
      <c r="D40">
        <v>16</v>
      </c>
      <c r="E40" s="10"/>
      <c r="F40" s="11"/>
      <c r="G40" s="10"/>
      <c r="H40" s="10"/>
      <c r="I40" s="10"/>
      <c r="J40" s="14"/>
      <c r="K40" s="10"/>
      <c r="L40" s="13"/>
      <c r="M40" s="10"/>
      <c r="N40" s="14"/>
      <c r="O40" s="10"/>
      <c r="P40" s="14"/>
      <c r="Q40" s="10"/>
      <c r="T40">
        <v>36</v>
      </c>
      <c r="U40" s="28" t="s">
        <v>100</v>
      </c>
      <c r="V40" t="s">
        <v>77</v>
      </c>
      <c r="W40" s="29" t="s">
        <v>101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2"/>
      <c r="F41" s="13" t="s">
        <v>212</v>
      </c>
      <c r="G41" s="9" t="str">
        <f>IF(OR(F40="",F42=""),"",+IF(F40&gt;F42,E40,E42))</f>
        <v/>
      </c>
      <c r="H41" s="11"/>
      <c r="I41" s="10"/>
      <c r="J41" s="14"/>
      <c r="K41" s="10"/>
      <c r="L41" s="14"/>
      <c r="M41" s="10"/>
      <c r="N41" s="14"/>
      <c r="O41" s="10"/>
      <c r="P41" s="14"/>
      <c r="Q41" s="10"/>
      <c r="T41">
        <v>37</v>
      </c>
      <c r="U41" s="28" t="s">
        <v>102</v>
      </c>
      <c r="V41" t="s">
        <v>77</v>
      </c>
      <c r="W41" s="29" t="s">
        <v>103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17</v>
      </c>
      <c r="E42" s="9"/>
      <c r="F42" s="16"/>
      <c r="G42" s="10"/>
      <c r="H42" s="13"/>
      <c r="I42" s="10"/>
      <c r="J42" s="14"/>
      <c r="K42" s="10"/>
      <c r="L42" s="14"/>
      <c r="M42" s="10"/>
      <c r="N42" s="14"/>
      <c r="O42" s="10"/>
      <c r="P42" s="14"/>
      <c r="Q42" s="10"/>
      <c r="T42">
        <v>38</v>
      </c>
      <c r="U42" s="28" t="s">
        <v>104</v>
      </c>
      <c r="V42" t="s">
        <v>77</v>
      </c>
      <c r="W42" s="29" t="s">
        <v>105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E43" s="10"/>
      <c r="F43" s="10"/>
      <c r="G43" s="10"/>
      <c r="H43" s="14" t="s">
        <v>246</v>
      </c>
      <c r="I43" s="9" t="str">
        <f>IF(OR(H41="",H44=""),"",+IF(H41&gt;H44,G41,E44))</f>
        <v/>
      </c>
      <c r="J43" s="16"/>
      <c r="K43" s="10"/>
      <c r="L43" s="14"/>
      <c r="M43" s="10"/>
      <c r="N43" s="14"/>
      <c r="O43" s="10"/>
      <c r="P43" s="14"/>
      <c r="Q43" s="10"/>
      <c r="T43">
        <v>39</v>
      </c>
      <c r="U43" s="28" t="s">
        <v>106</v>
      </c>
      <c r="V43" t="s">
        <v>77</v>
      </c>
      <c r="W43" s="29" t="s">
        <v>107</v>
      </c>
      <c r="Z43" s="34"/>
      <c r="AA43" s="40"/>
      <c r="AB43" s="40"/>
      <c r="AC43" s="38" t="s">
        <v>159</v>
      </c>
      <c r="AD43" s="48"/>
      <c r="AE43" s="53" t="e">
        <f>LOOKUP(AD43,T$5:T$78,U$5:U$54)</f>
        <v>#N/A</v>
      </c>
      <c r="AF43" s="37" t="s">
        <v>157</v>
      </c>
      <c r="AG43" s="65" t="e">
        <f>LOOKUP(AD43,T$5:T$78,W$5:W$53)</f>
        <v>#N/A</v>
      </c>
    </row>
    <row r="44" spans="4:33" ht="13" thickBot="1">
      <c r="D44">
        <v>18</v>
      </c>
      <c r="E44" s="9"/>
      <c r="F44" s="9"/>
      <c r="G44" s="9">
        <f>E44</f>
        <v>0</v>
      </c>
      <c r="H44" s="16"/>
      <c r="I44" s="10"/>
      <c r="J44" s="10"/>
      <c r="K44" s="10"/>
      <c r="L44" s="14"/>
      <c r="M44" s="10"/>
      <c r="N44" s="14"/>
      <c r="O44" s="10"/>
      <c r="P44" s="14"/>
      <c r="Q44" s="10"/>
      <c r="T44">
        <v>40</v>
      </c>
      <c r="U44" s="28" t="s">
        <v>108</v>
      </c>
      <c r="V44" t="s">
        <v>77</v>
      </c>
      <c r="W44" s="29" t="s">
        <v>109</v>
      </c>
      <c r="Z44" s="34"/>
      <c r="AA44" s="40"/>
      <c r="AB44" s="40"/>
      <c r="AC44" s="38" t="s">
        <v>159</v>
      </c>
      <c r="AD44" s="48"/>
      <c r="AE44" s="53" t="e">
        <f>LOOKUP(AD44,T$5:T$78,U$5:U$54)</f>
        <v>#N/A</v>
      </c>
      <c r="AF44" s="37" t="s">
        <v>157</v>
      </c>
      <c r="AG44" s="65" t="e">
        <f>LOOKUP(AD44,T$5:T$78,W$5:W$53)</f>
        <v>#N/A</v>
      </c>
    </row>
    <row r="45" spans="4:33">
      <c r="E45" s="10"/>
      <c r="F45" s="10"/>
      <c r="G45" s="10"/>
      <c r="H45" s="10"/>
      <c r="I45" s="10"/>
      <c r="J45" s="10"/>
      <c r="K45" s="10"/>
      <c r="L45" s="14"/>
      <c r="M45" s="10"/>
      <c r="N45" s="14"/>
      <c r="O45" s="10"/>
      <c r="P45" s="14"/>
      <c r="Q45" s="10"/>
      <c r="T45">
        <v>41</v>
      </c>
      <c r="U45" s="28" t="s">
        <v>110</v>
      </c>
      <c r="V45" t="s">
        <v>77</v>
      </c>
      <c r="W45" s="29" t="s">
        <v>111</v>
      </c>
      <c r="Z45" s="34"/>
      <c r="AA45" s="40"/>
      <c r="AB45" s="40"/>
      <c r="AC45" s="38" t="s">
        <v>159</v>
      </c>
      <c r="AD45" s="48"/>
      <c r="AE45" s="53" t="e">
        <f>LOOKUP(AD45,T$5:T$78,U$5:U$54)</f>
        <v>#N/A</v>
      </c>
      <c r="AF45" s="37" t="s">
        <v>157</v>
      </c>
      <c r="AG45" s="65" t="e">
        <f>LOOKUP(AD45,T$5:T$78,W$5:W$53)</f>
        <v>#N/A</v>
      </c>
    </row>
    <row r="46" spans="4:33" ht="13" thickBot="1">
      <c r="D46">
        <v>19</v>
      </c>
      <c r="E46" s="10"/>
      <c r="F46" s="9"/>
      <c r="G46" s="9">
        <f>E46</f>
        <v>0</v>
      </c>
      <c r="H46" s="11"/>
      <c r="I46" s="10"/>
      <c r="J46" s="10"/>
      <c r="K46" s="10"/>
      <c r="L46" s="14" t="s">
        <v>247</v>
      </c>
      <c r="M46" s="9" t="str">
        <f>IF(OR(L39="",L52=""),"",+IF(L39&gt;L52,K39,K52))</f>
        <v/>
      </c>
      <c r="N46" s="16"/>
      <c r="O46" s="10"/>
      <c r="P46" s="14"/>
      <c r="Q46" s="10"/>
      <c r="T46">
        <v>42</v>
      </c>
      <c r="U46" s="28" t="s">
        <v>112</v>
      </c>
      <c r="V46" t="s">
        <v>77</v>
      </c>
      <c r="W46" s="29" t="s">
        <v>113</v>
      </c>
      <c r="Z46" s="34"/>
      <c r="AA46" s="40"/>
      <c r="AB46" s="40"/>
      <c r="AC46" s="38" t="s">
        <v>159</v>
      </c>
      <c r="AD46" s="48"/>
      <c r="AE46" s="53" t="e">
        <f>LOOKUP(AD46,T$5:T$78,U$5:U$54)</f>
        <v>#N/A</v>
      </c>
      <c r="AF46" s="37" t="s">
        <v>157</v>
      </c>
      <c r="AG46" s="65" t="e">
        <f>LOOKUP(AD46,T$5:T$78,W$5:W$53)</f>
        <v>#N/A</v>
      </c>
    </row>
    <row r="47" spans="4:33">
      <c r="E47" s="12"/>
      <c r="F47" s="10"/>
      <c r="G47" s="10"/>
      <c r="H47" s="13"/>
      <c r="I47" s="10"/>
      <c r="J47" s="10"/>
      <c r="K47" s="10"/>
      <c r="L47" s="14"/>
      <c r="M47" s="10"/>
      <c r="N47" s="10"/>
      <c r="O47" s="10"/>
      <c r="P47" s="14"/>
      <c r="Q47" s="10"/>
      <c r="T47">
        <v>43</v>
      </c>
      <c r="U47" s="28" t="s">
        <v>114</v>
      </c>
      <c r="V47" t="s">
        <v>77</v>
      </c>
      <c r="W47" s="29" t="s">
        <v>115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0"/>
      <c r="F48" s="10"/>
      <c r="G48" s="10"/>
      <c r="H48" s="14" t="s">
        <v>248</v>
      </c>
      <c r="I48" s="9" t="str">
        <f>IF(OR(H46="",H50=""),"",+IF(H46&gt;H50,G46,G50))</f>
        <v/>
      </c>
      <c r="J48" s="11"/>
      <c r="K48" s="10"/>
      <c r="L48" s="14"/>
      <c r="M48" s="10"/>
      <c r="N48" s="10"/>
      <c r="O48" s="10"/>
      <c r="P48" s="14"/>
      <c r="Q48" s="10"/>
      <c r="T48">
        <v>44</v>
      </c>
      <c r="U48" s="28" t="s">
        <v>116</v>
      </c>
      <c r="V48" t="s">
        <v>77</v>
      </c>
      <c r="W48" s="29" t="s">
        <v>117</v>
      </c>
      <c r="Z48" s="34"/>
      <c r="AA48" s="40"/>
      <c r="AB48" s="40"/>
      <c r="AC48" s="38" t="s">
        <v>159</v>
      </c>
      <c r="AD48" s="48"/>
      <c r="AE48" s="53" t="e">
        <f>LOOKUP(AD48,T$5:T$78,U$5:U$54)</f>
        <v>#N/A</v>
      </c>
      <c r="AF48" s="37" t="s">
        <v>157</v>
      </c>
      <c r="AG48" s="65" t="e">
        <f>LOOKUP(AD48,T$5:T$78,W$5:W$53)</f>
        <v>#N/A</v>
      </c>
    </row>
    <row r="49" spans="4:33" ht="13" thickBot="1">
      <c r="D49">
        <v>20</v>
      </c>
      <c r="E49" s="10"/>
      <c r="F49" s="11"/>
      <c r="G49" s="10"/>
      <c r="H49" s="14"/>
      <c r="I49" s="10"/>
      <c r="J49" s="13"/>
      <c r="K49" s="10"/>
      <c r="L49" s="14"/>
      <c r="M49" s="10"/>
      <c r="N49" s="10"/>
      <c r="O49" s="10"/>
      <c r="P49" s="14"/>
      <c r="Q49" s="10"/>
      <c r="T49">
        <v>45</v>
      </c>
      <c r="U49" s="28" t="s">
        <v>118</v>
      </c>
      <c r="V49" t="s">
        <v>77</v>
      </c>
      <c r="W49" s="29" t="s">
        <v>119</v>
      </c>
      <c r="Z49" s="34"/>
      <c r="AA49" s="40"/>
      <c r="AB49" s="40"/>
      <c r="AC49" s="38" t="s">
        <v>159</v>
      </c>
      <c r="AD49" s="48"/>
      <c r="AE49" s="53" t="e">
        <f>LOOKUP(AD49,T$5:T$78,U$5:U$54)</f>
        <v>#N/A</v>
      </c>
      <c r="AF49" s="37" t="s">
        <v>157</v>
      </c>
      <c r="AG49" s="65" t="e">
        <f>LOOKUP(AD49,T$5:T$78,W$5:W$53)</f>
        <v>#N/A</v>
      </c>
    </row>
    <row r="50" spans="4:33" ht="13" thickBot="1">
      <c r="E50" s="12"/>
      <c r="F50" s="13" t="s">
        <v>214</v>
      </c>
      <c r="G50" s="9" t="str">
        <f>IF(OR(F49="",F51=""),"",+IF(F49&gt;F51,E49,E51))</f>
        <v/>
      </c>
      <c r="H50" s="16"/>
      <c r="I50" s="10"/>
      <c r="J50" s="14"/>
      <c r="K50" s="10"/>
      <c r="L50" s="14"/>
      <c r="M50" s="10"/>
      <c r="N50" s="10"/>
      <c r="O50" s="10"/>
      <c r="P50" s="14"/>
      <c r="Q50" s="10"/>
      <c r="T50">
        <v>46</v>
      </c>
      <c r="U50" s="28" t="s">
        <v>120</v>
      </c>
      <c r="V50" t="s">
        <v>77</v>
      </c>
      <c r="W50" s="29" t="s">
        <v>121</v>
      </c>
      <c r="Z50" s="34"/>
      <c r="AA50" s="40"/>
      <c r="AB50" s="40"/>
      <c r="AC50" s="38" t="s">
        <v>159</v>
      </c>
      <c r="AD50" s="48"/>
      <c r="AE50" s="53" t="e">
        <f>LOOKUP(AD50,T$5:T$78,U$5:U$54)</f>
        <v>#N/A</v>
      </c>
      <c r="AF50" s="37" t="s">
        <v>157</v>
      </c>
      <c r="AG50" s="65" t="e">
        <f>LOOKUP(AD50,T$5:T$78,W$5:W$53)</f>
        <v>#N/A</v>
      </c>
    </row>
    <row r="51" spans="4:33" ht="13" thickBot="1">
      <c r="D51">
        <v>21</v>
      </c>
      <c r="E51" s="10"/>
      <c r="F51" s="16"/>
      <c r="G51" s="10"/>
      <c r="H51" s="10"/>
      <c r="I51" s="10"/>
      <c r="J51" s="14"/>
      <c r="K51" s="10"/>
      <c r="L51" s="14"/>
      <c r="M51" s="10"/>
      <c r="N51" s="10"/>
      <c r="O51" s="10"/>
      <c r="P51" s="14"/>
      <c r="Q51" s="10"/>
      <c r="T51">
        <v>47</v>
      </c>
      <c r="U51" s="28" t="s">
        <v>122</v>
      </c>
      <c r="V51" t="s">
        <v>77</v>
      </c>
      <c r="W51" s="29" t="s">
        <v>123</v>
      </c>
      <c r="Z51" s="34"/>
      <c r="AA51" s="40"/>
      <c r="AB51" s="40"/>
      <c r="AC51" s="38" t="s">
        <v>159</v>
      </c>
      <c r="AD51" s="48"/>
      <c r="AE51" s="53" t="e">
        <f>LOOKUP(AD51,T$5:T$78,U$5:U$54)</f>
        <v>#N/A</v>
      </c>
      <c r="AF51" s="37" t="s">
        <v>157</v>
      </c>
      <c r="AG51" s="65" t="e">
        <f>LOOKUP(AD51,T$5:T$78,W$5:W$53)</f>
        <v>#N/A</v>
      </c>
    </row>
    <row r="52" spans="4:33" ht="13" thickBot="1">
      <c r="E52" s="12"/>
      <c r="F52" s="10"/>
      <c r="G52" s="10"/>
      <c r="H52" s="10"/>
      <c r="I52" s="10"/>
      <c r="J52" s="14" t="s">
        <v>224</v>
      </c>
      <c r="K52" s="9" t="str">
        <f>IF(OR(J48="",J56=""),"",+IF(J48&gt;J56,I48,I56))</f>
        <v/>
      </c>
      <c r="L52" s="16"/>
      <c r="M52" s="10"/>
      <c r="N52" s="10"/>
      <c r="O52" s="10"/>
      <c r="P52" s="14"/>
      <c r="Q52" s="10"/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22</v>
      </c>
      <c r="E53" s="10"/>
      <c r="F53" s="11"/>
      <c r="G53" s="10"/>
      <c r="H53" s="10"/>
      <c r="I53" s="10"/>
      <c r="J53" s="14"/>
      <c r="K53" s="10"/>
      <c r="L53" s="10"/>
      <c r="M53" s="10"/>
      <c r="N53" s="10"/>
      <c r="O53" s="10"/>
      <c r="P53" s="14"/>
      <c r="Q53" s="10"/>
      <c r="Z53" s="34"/>
      <c r="AA53" s="40"/>
      <c r="AB53" s="40"/>
      <c r="AC53" s="38" t="s">
        <v>159</v>
      </c>
      <c r="AD53" s="48"/>
      <c r="AE53" s="53" t="e">
        <f>LOOKUP(AD53,T$5:T$78,U$5:U$54)</f>
        <v>#N/A</v>
      </c>
      <c r="AF53" s="37" t="s">
        <v>157</v>
      </c>
      <c r="AG53" s="65" t="e">
        <f>LOOKUP(AD53,T$5:T$78,W$5:W$53)</f>
        <v>#N/A</v>
      </c>
    </row>
    <row r="54" spans="4:33" ht="13" thickBot="1">
      <c r="E54" s="12"/>
      <c r="F54" s="13" t="s">
        <v>217</v>
      </c>
      <c r="G54" s="9" t="str">
        <f>IF(OR(F53="",F55=""),"",+IF(F53&gt;F55,E53,E55))</f>
        <v/>
      </c>
      <c r="H54" s="11"/>
      <c r="I54" s="10"/>
      <c r="J54" s="14"/>
      <c r="K54" s="10"/>
      <c r="L54" s="10"/>
      <c r="M54" s="10"/>
      <c r="N54" s="10"/>
      <c r="O54" s="10"/>
      <c r="P54" s="14"/>
      <c r="Q54" s="10"/>
      <c r="Z54" s="34"/>
      <c r="AA54" s="40"/>
      <c r="AB54" s="40"/>
      <c r="AC54" s="38" t="s">
        <v>159</v>
      </c>
      <c r="AD54" s="48"/>
      <c r="AE54" s="53" t="e">
        <f>LOOKUP(AD54,T$5:T$78,U$5:U$54)</f>
        <v>#N/A</v>
      </c>
      <c r="AF54" s="37" t="s">
        <v>157</v>
      </c>
      <c r="AG54" s="65" t="e">
        <f>LOOKUP(AD54,T$5:T$78,W$5:W$53)</f>
        <v>#N/A</v>
      </c>
    </row>
    <row r="55" spans="4:33" ht="13" thickBot="1">
      <c r="D55">
        <v>23</v>
      </c>
      <c r="E55" s="9"/>
      <c r="F55" s="16"/>
      <c r="G55" s="10"/>
      <c r="H55" s="13"/>
      <c r="I55" s="10"/>
      <c r="J55" s="14"/>
      <c r="K55" s="10"/>
      <c r="L55" s="10"/>
      <c r="M55" s="10"/>
      <c r="N55" s="10"/>
      <c r="O55" s="10"/>
      <c r="P55" s="14"/>
      <c r="Q55" s="10"/>
      <c r="Z55" s="34"/>
      <c r="AA55" s="40"/>
      <c r="AB55" s="40"/>
      <c r="AC55" s="38" t="s">
        <v>159</v>
      </c>
      <c r="AD55" s="48"/>
      <c r="AE55" s="53" t="e">
        <f>LOOKUP(AD55,T$5:T$78,U$5:U$54)</f>
        <v>#N/A</v>
      </c>
      <c r="AF55" s="37" t="s">
        <v>157</v>
      </c>
      <c r="AG55" s="65" t="e">
        <f>LOOKUP(AD55,T$5:T$78,W$5:W$53)</f>
        <v>#N/A</v>
      </c>
    </row>
    <row r="56" spans="4:33" ht="13" thickBot="1">
      <c r="E56" s="10"/>
      <c r="F56" s="10"/>
      <c r="G56" s="10"/>
      <c r="H56" s="14" t="s">
        <v>250</v>
      </c>
      <c r="I56" s="9" t="str">
        <f>IF(OR(H54="",H57=""),"",+IF(H54&gt;H57,G54,E57))</f>
        <v/>
      </c>
      <c r="J56" s="16"/>
      <c r="K56" s="10"/>
      <c r="L56" s="10"/>
      <c r="M56" s="10"/>
      <c r="N56" s="10"/>
      <c r="O56" s="10"/>
      <c r="P56" s="14"/>
      <c r="Q56" s="10"/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24</v>
      </c>
      <c r="E57" s="9"/>
      <c r="F57" s="9"/>
      <c r="G57" s="9">
        <f>E57</f>
        <v>0</v>
      </c>
      <c r="H57" s="16"/>
      <c r="I57" s="10"/>
      <c r="J57" s="10"/>
      <c r="K57" s="10"/>
      <c r="L57" s="10"/>
      <c r="M57" s="10"/>
      <c r="N57" s="10"/>
      <c r="O57" s="10"/>
      <c r="P57" s="14"/>
      <c r="Q57" s="10"/>
    </row>
    <row r="58" spans="4:33" ht="13" thickBot="1"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4" t="s">
        <v>211</v>
      </c>
      <c r="Q58" s="9" t="str">
        <f>IF(OR(P33="",P85=""),"",+IF(P33&gt;P85,O33,O85))</f>
        <v/>
      </c>
    </row>
    <row r="59" spans="4:33" ht="13" thickBot="1">
      <c r="D59">
        <v>25</v>
      </c>
      <c r="E59" s="10"/>
      <c r="F59" s="9"/>
      <c r="G59" s="9">
        <f>E59</f>
        <v>0</v>
      </c>
      <c r="H59" s="11"/>
      <c r="I59" s="10"/>
      <c r="J59" s="10"/>
      <c r="K59" s="10"/>
      <c r="L59" s="10"/>
      <c r="M59" s="10"/>
      <c r="N59" s="10"/>
      <c r="O59" s="10"/>
      <c r="P59" s="14"/>
      <c r="Q59" s="10"/>
    </row>
    <row r="60" spans="4:33">
      <c r="E60" s="12"/>
      <c r="F60" s="10"/>
      <c r="G60" s="10"/>
      <c r="H60" s="13"/>
      <c r="I60" s="10"/>
      <c r="J60" s="10"/>
      <c r="K60" s="10"/>
      <c r="L60" s="10"/>
      <c r="M60" s="10"/>
      <c r="N60" s="10"/>
      <c r="O60" s="10"/>
      <c r="P60" s="14"/>
      <c r="Q60" s="10"/>
    </row>
    <row r="61" spans="4:33" ht="13" thickBot="1">
      <c r="E61" s="10"/>
      <c r="F61" s="10"/>
      <c r="G61" s="10"/>
      <c r="H61" s="14" t="s">
        <v>252</v>
      </c>
      <c r="I61" s="9" t="str">
        <f>IF(OR(H59="",H63=""),"",+IF(H59&gt;H63,G59,G63))</f>
        <v/>
      </c>
      <c r="J61" s="11"/>
      <c r="K61" s="10"/>
      <c r="L61" s="10"/>
      <c r="M61" s="10"/>
      <c r="N61" s="10"/>
      <c r="O61" s="10"/>
      <c r="P61" s="14"/>
      <c r="Q61" s="10"/>
    </row>
    <row r="62" spans="4:33" ht="13" thickBot="1">
      <c r="D62">
        <v>26</v>
      </c>
      <c r="E62" s="10"/>
      <c r="F62" s="11"/>
      <c r="G62" s="10"/>
      <c r="H62" s="14"/>
      <c r="I62" s="10"/>
      <c r="J62" s="13"/>
      <c r="K62" s="10"/>
      <c r="L62" s="10"/>
      <c r="M62" s="10"/>
      <c r="N62" s="10"/>
      <c r="O62" s="10"/>
      <c r="P62" s="14"/>
      <c r="Q62" s="10"/>
    </row>
    <row r="63" spans="4:33" ht="13" thickBot="1">
      <c r="E63" s="12"/>
      <c r="F63" s="13" t="s">
        <v>219</v>
      </c>
      <c r="G63" s="9" t="str">
        <f>IF(OR(F62="",F64=""),"",+IF(F62&gt;F64,E62,E64))</f>
        <v/>
      </c>
      <c r="H63" s="16"/>
      <c r="I63" s="10"/>
      <c r="J63" s="14"/>
      <c r="K63" s="10"/>
      <c r="L63" s="10"/>
      <c r="M63" s="10"/>
      <c r="N63" s="10"/>
      <c r="O63" s="10"/>
      <c r="P63" s="14"/>
      <c r="Q63" s="10"/>
    </row>
    <row r="64" spans="4:33" ht="13" thickBot="1">
      <c r="D64">
        <v>27</v>
      </c>
      <c r="E64" s="10"/>
      <c r="F64" s="16"/>
      <c r="G64" s="10"/>
      <c r="H64" s="10"/>
      <c r="I64" s="10"/>
      <c r="J64" s="14"/>
      <c r="K64" s="10"/>
      <c r="L64" s="10"/>
      <c r="M64" s="10"/>
      <c r="N64" s="10"/>
      <c r="O64" s="10"/>
      <c r="P64" s="14"/>
      <c r="Q64" s="10"/>
    </row>
    <row r="65" spans="4:17" ht="13" thickBot="1">
      <c r="E65" s="12"/>
      <c r="F65" s="10"/>
      <c r="G65" s="10"/>
      <c r="H65" s="10"/>
      <c r="I65" s="10"/>
      <c r="J65" s="14" t="s">
        <v>228</v>
      </c>
      <c r="K65" s="9" t="str">
        <f>IF(OR(J61="",J69=""),"",+IF(J61&gt;J69,I61,I69))</f>
        <v/>
      </c>
      <c r="L65" s="17"/>
      <c r="M65" s="10"/>
      <c r="N65" s="10"/>
      <c r="O65" s="10"/>
      <c r="P65" s="14"/>
      <c r="Q65" s="10"/>
    </row>
    <row r="66" spans="4:17" ht="13" thickBot="1">
      <c r="D66">
        <v>28</v>
      </c>
      <c r="E66" s="10"/>
      <c r="F66" s="11"/>
      <c r="G66" s="10"/>
      <c r="H66" s="10"/>
      <c r="I66" s="10"/>
      <c r="J66" s="14"/>
      <c r="K66" s="10"/>
      <c r="L66" s="13"/>
      <c r="M66" s="10"/>
      <c r="N66" s="10"/>
      <c r="O66" s="10"/>
      <c r="P66" s="14"/>
      <c r="Q66" s="10"/>
    </row>
    <row r="67" spans="4:17" ht="13" thickBot="1">
      <c r="E67" s="12"/>
      <c r="F67" s="13" t="s">
        <v>221</v>
      </c>
      <c r="G67" s="9" t="str">
        <f>IF(OR(F66="",F68=""),"",+IF(F66&gt;F68,E66,E68))</f>
        <v/>
      </c>
      <c r="H67" s="11"/>
      <c r="I67" s="10"/>
      <c r="J67" s="14"/>
      <c r="K67" s="10"/>
      <c r="L67" s="14"/>
      <c r="M67" s="10"/>
      <c r="N67" s="10"/>
      <c r="O67" s="10"/>
      <c r="P67" s="14"/>
      <c r="Q67" s="10"/>
    </row>
    <row r="68" spans="4:17" ht="13" thickBot="1">
      <c r="D68">
        <v>29</v>
      </c>
      <c r="E68" s="9"/>
      <c r="F68" s="16"/>
      <c r="G68" s="10"/>
      <c r="H68" s="13"/>
      <c r="I68" s="10"/>
      <c r="J68" s="14"/>
      <c r="K68" s="10"/>
      <c r="L68" s="14"/>
      <c r="M68" s="10"/>
      <c r="N68" s="10"/>
      <c r="O68" s="10"/>
      <c r="P68" s="14"/>
      <c r="Q68" s="10"/>
    </row>
    <row r="69" spans="4:17" ht="13" thickBot="1">
      <c r="E69" s="10"/>
      <c r="F69" s="10"/>
      <c r="G69" s="10"/>
      <c r="H69" s="14" t="s">
        <v>254</v>
      </c>
      <c r="I69" s="9" t="str">
        <f>IF(OR(H67="",H70=""),"",+IF(H67&gt;H70,G67,E70))</f>
        <v/>
      </c>
      <c r="J69" s="16"/>
      <c r="K69" s="10"/>
      <c r="L69" s="14"/>
      <c r="M69" s="10"/>
      <c r="N69" s="10"/>
      <c r="O69" s="10"/>
      <c r="P69" s="14"/>
      <c r="Q69" s="10"/>
    </row>
    <row r="70" spans="4:17" ht="13" thickBot="1">
      <c r="D70">
        <v>30</v>
      </c>
      <c r="E70" s="9"/>
      <c r="F70" s="9"/>
      <c r="G70" s="9">
        <f>E70</f>
        <v>0</v>
      </c>
      <c r="H70" s="16"/>
      <c r="I70" s="10"/>
      <c r="J70" s="10"/>
      <c r="K70" s="10"/>
      <c r="L70" s="14"/>
      <c r="M70" s="10"/>
      <c r="N70" s="10"/>
      <c r="O70" s="10"/>
      <c r="P70" s="14"/>
      <c r="Q70" s="10"/>
    </row>
    <row r="71" spans="4:17">
      <c r="E71" s="10"/>
      <c r="F71" s="10"/>
      <c r="G71" s="10"/>
      <c r="H71" s="10"/>
      <c r="I71" s="10"/>
      <c r="J71" s="10"/>
      <c r="K71" s="10"/>
      <c r="L71" s="14"/>
      <c r="M71" s="10"/>
      <c r="N71" s="10"/>
      <c r="O71" s="10"/>
      <c r="P71" s="14"/>
      <c r="Q71" s="10"/>
    </row>
    <row r="72" spans="4:17" ht="13" thickBot="1">
      <c r="D72">
        <v>31</v>
      </c>
      <c r="E72" s="10"/>
      <c r="F72" s="9"/>
      <c r="G72" s="9">
        <f>E72</f>
        <v>0</v>
      </c>
      <c r="H72" s="11"/>
      <c r="I72" s="10"/>
      <c r="J72" s="10"/>
      <c r="K72" s="10"/>
      <c r="L72" s="14" t="s">
        <v>251</v>
      </c>
      <c r="M72" s="9" t="str">
        <f>IF(OR(L65="",L78=""),"",+IF(L65&gt;L78,K65,K78))</f>
        <v/>
      </c>
      <c r="N72" s="17"/>
      <c r="O72" s="10"/>
      <c r="P72" s="14"/>
      <c r="Q72" s="10"/>
    </row>
    <row r="73" spans="4:17">
      <c r="E73" s="12"/>
      <c r="F73" s="10"/>
      <c r="G73" s="10"/>
      <c r="H73" s="13"/>
      <c r="I73" s="10"/>
      <c r="J73" s="10"/>
      <c r="K73" s="10"/>
      <c r="L73" s="14"/>
      <c r="M73" s="10"/>
      <c r="N73" s="13"/>
      <c r="O73" s="10"/>
      <c r="P73" s="14"/>
      <c r="Q73" s="10"/>
    </row>
    <row r="74" spans="4:17" ht="13" thickBot="1">
      <c r="E74" s="10"/>
      <c r="F74" s="10"/>
      <c r="G74" s="10"/>
      <c r="H74" s="14" t="s">
        <v>256</v>
      </c>
      <c r="I74" s="9" t="str">
        <f>IF(OR(H72="",H76=""),"",+IF(H72&gt;H76,G72,G76))</f>
        <v/>
      </c>
      <c r="J74" s="11"/>
      <c r="K74" s="10"/>
      <c r="L74" s="14"/>
      <c r="M74" s="10"/>
      <c r="N74" s="14"/>
      <c r="O74" s="10"/>
      <c r="P74" s="14"/>
      <c r="Q74" s="10"/>
    </row>
    <row r="75" spans="4:17" ht="13" thickBot="1">
      <c r="D75">
        <v>32</v>
      </c>
      <c r="E75" s="10"/>
      <c r="F75" s="11"/>
      <c r="G75" s="10"/>
      <c r="H75" s="14"/>
      <c r="I75" s="10"/>
      <c r="J75" s="13"/>
      <c r="K75" s="10"/>
      <c r="L75" s="14"/>
      <c r="M75" s="10"/>
      <c r="N75" s="14"/>
      <c r="O75" s="10"/>
      <c r="P75" s="14"/>
      <c r="Q75" s="10"/>
    </row>
    <row r="76" spans="4:17" ht="13" thickBot="1">
      <c r="E76" s="12"/>
      <c r="F76" s="13" t="s">
        <v>223</v>
      </c>
      <c r="G76" s="9" t="str">
        <f>IF(OR(F75="",F77=""),"",+IF(F75&gt;F77,E75,E77))</f>
        <v/>
      </c>
      <c r="H76" s="16"/>
      <c r="I76" s="10"/>
      <c r="J76" s="14"/>
      <c r="K76" s="10"/>
      <c r="L76" s="14"/>
      <c r="M76" s="10"/>
      <c r="N76" s="14"/>
      <c r="O76" s="10"/>
      <c r="P76" s="14"/>
      <c r="Q76" s="10"/>
    </row>
    <row r="77" spans="4:17" ht="13" thickBot="1">
      <c r="D77">
        <v>33</v>
      </c>
      <c r="E77" s="10"/>
      <c r="F77" s="16"/>
      <c r="G77" s="10"/>
      <c r="H77" s="10"/>
      <c r="I77" s="10"/>
      <c r="J77" s="14"/>
      <c r="K77" s="10"/>
      <c r="L77" s="14"/>
      <c r="M77" s="10"/>
      <c r="N77" s="14"/>
      <c r="O77" s="10"/>
      <c r="P77" s="14"/>
      <c r="Q77" s="10"/>
    </row>
    <row r="78" spans="4:17" ht="13" thickBot="1">
      <c r="E78" s="12"/>
      <c r="F78" s="10"/>
      <c r="G78" s="10"/>
      <c r="H78" s="10"/>
      <c r="I78" s="10"/>
      <c r="J78" s="14" t="s">
        <v>231</v>
      </c>
      <c r="K78" s="9" t="str">
        <f>IF(OR(J74="",J82=""),"",+IF(J74&gt;J82,I74,I82))</f>
        <v/>
      </c>
      <c r="L78" s="16"/>
      <c r="M78" s="10"/>
      <c r="N78" s="14"/>
      <c r="O78" s="10"/>
      <c r="P78" s="14"/>
      <c r="Q78" s="10"/>
    </row>
    <row r="79" spans="4:17" ht="13" thickBot="1">
      <c r="D79">
        <v>34</v>
      </c>
      <c r="E79" s="10"/>
      <c r="F79" s="11"/>
      <c r="G79" s="10"/>
      <c r="H79" s="10"/>
      <c r="I79" s="10"/>
      <c r="J79" s="14"/>
      <c r="K79" s="10"/>
      <c r="L79" s="10"/>
      <c r="M79" s="10"/>
      <c r="N79" s="14"/>
      <c r="O79" s="10"/>
      <c r="P79" s="14"/>
      <c r="Q79" s="10"/>
    </row>
    <row r="80" spans="4:17" ht="13" thickBot="1">
      <c r="E80" s="12"/>
      <c r="F80" s="13" t="s">
        <v>225</v>
      </c>
      <c r="G80" s="9" t="str">
        <f>IF(OR(F79="",F81=""),"",+IF(F79&gt;F81,E79,E81))</f>
        <v/>
      </c>
      <c r="H80" s="11"/>
      <c r="I80" s="10"/>
      <c r="J80" s="14"/>
      <c r="K80" s="10"/>
      <c r="L80" s="10"/>
      <c r="M80" s="10"/>
      <c r="N80" s="14"/>
      <c r="O80" s="10"/>
      <c r="P80" s="14"/>
      <c r="Q80" s="10"/>
    </row>
    <row r="81" spans="4:17" ht="13" thickBot="1">
      <c r="D81">
        <v>35</v>
      </c>
      <c r="E81" s="9"/>
      <c r="F81" s="16"/>
      <c r="G81" s="10"/>
      <c r="H81" s="13"/>
      <c r="I81" s="10"/>
      <c r="J81" s="14"/>
      <c r="K81" s="10"/>
      <c r="L81" s="10"/>
      <c r="M81" s="10"/>
      <c r="N81" s="14"/>
      <c r="O81" s="10"/>
      <c r="P81" s="14"/>
      <c r="Q81" s="10"/>
    </row>
    <row r="82" spans="4:17" ht="13" thickBot="1">
      <c r="E82" s="10"/>
      <c r="F82" s="10"/>
      <c r="G82" s="10"/>
      <c r="H82" s="14" t="s">
        <v>258</v>
      </c>
      <c r="I82" s="9" t="str">
        <f>IF(OR(H80="",H83=""),"",+IF(H80&gt;H83,G80,E83))</f>
        <v/>
      </c>
      <c r="J82" s="16"/>
      <c r="K82" s="10"/>
      <c r="L82" s="10"/>
      <c r="M82" s="10"/>
      <c r="N82" s="14"/>
      <c r="O82" s="10"/>
      <c r="P82" s="14"/>
      <c r="Q82" s="10"/>
    </row>
    <row r="83" spans="4:17" ht="13" thickBot="1">
      <c r="D83">
        <v>36</v>
      </c>
      <c r="E83" s="9"/>
      <c r="F83" s="9"/>
      <c r="G83" s="9">
        <f>E83</f>
        <v>0</v>
      </c>
      <c r="H83" s="16"/>
      <c r="I83" s="10"/>
      <c r="J83" s="10"/>
      <c r="K83" s="10"/>
      <c r="L83" s="10"/>
      <c r="M83" s="10"/>
      <c r="N83" s="14"/>
      <c r="O83" s="10"/>
      <c r="P83" s="14"/>
      <c r="Q83" s="10"/>
    </row>
    <row r="84" spans="4:17">
      <c r="E84" s="10"/>
      <c r="F84" s="10"/>
      <c r="G84" s="10"/>
      <c r="H84" s="10"/>
      <c r="I84" s="10"/>
      <c r="J84" s="10"/>
      <c r="K84" s="10"/>
      <c r="L84" s="10"/>
      <c r="M84" s="10"/>
      <c r="N84" s="14"/>
      <c r="O84" s="10"/>
      <c r="P84" s="14"/>
      <c r="Q84" s="10"/>
    </row>
    <row r="85" spans="4:17" ht="13" thickBot="1">
      <c r="D85">
        <v>37</v>
      </c>
      <c r="E85" s="10"/>
      <c r="F85" s="9"/>
      <c r="G85" s="9">
        <f>E85</f>
        <v>0</v>
      </c>
      <c r="H85" s="11"/>
      <c r="I85" s="10"/>
      <c r="J85" s="10"/>
      <c r="K85" s="10"/>
      <c r="L85" s="10"/>
      <c r="M85" s="10"/>
      <c r="N85" s="14" t="s">
        <v>203</v>
      </c>
      <c r="O85" s="9" t="str">
        <f>IF(OR(N72="",N98=""),"",+IF(N72&gt;N98,M72,M98))</f>
        <v/>
      </c>
      <c r="P85" s="16"/>
      <c r="Q85" s="10"/>
    </row>
    <row r="86" spans="4:17">
      <c r="E86" s="12"/>
      <c r="F86" s="10"/>
      <c r="G86" s="10"/>
      <c r="H86" s="13"/>
      <c r="I86" s="10"/>
      <c r="J86" s="10"/>
      <c r="K86" s="10"/>
      <c r="L86" s="10"/>
      <c r="M86" s="10"/>
      <c r="N86" s="14"/>
      <c r="O86" s="10"/>
      <c r="P86" s="10"/>
      <c r="Q86" s="10"/>
    </row>
    <row r="87" spans="4:17" ht="13" thickBot="1">
      <c r="E87" s="10"/>
      <c r="F87" s="10"/>
      <c r="G87" s="10"/>
      <c r="H87" s="14" t="s">
        <v>260</v>
      </c>
      <c r="I87" s="9" t="str">
        <f>IF(OR(H85="",H89=""),"",+IF(H85&gt;H89,G85,G89))</f>
        <v/>
      </c>
      <c r="J87" s="11"/>
      <c r="K87" s="10"/>
      <c r="L87" s="10"/>
      <c r="M87" s="10"/>
      <c r="N87" s="14"/>
      <c r="O87" s="10"/>
      <c r="P87" s="10"/>
      <c r="Q87" s="10"/>
    </row>
    <row r="88" spans="4:17" ht="13" thickBot="1">
      <c r="D88">
        <v>38</v>
      </c>
      <c r="E88" s="10"/>
      <c r="F88" s="11"/>
      <c r="G88" s="10"/>
      <c r="H88" s="14"/>
      <c r="I88" s="10"/>
      <c r="J88" s="13"/>
      <c r="K88" s="10"/>
      <c r="L88" s="10"/>
      <c r="M88" s="10"/>
      <c r="N88" s="14"/>
      <c r="O88" s="10"/>
      <c r="P88" s="10"/>
      <c r="Q88" s="10"/>
    </row>
    <row r="89" spans="4:17" ht="13" thickBot="1">
      <c r="E89" s="12"/>
      <c r="F89" s="13" t="s">
        <v>227</v>
      </c>
      <c r="G89" s="9" t="str">
        <f>IF(OR(F88="",F90=""),"",+IF(F88&gt;F90,E88,E90))</f>
        <v/>
      </c>
      <c r="H89" s="16"/>
      <c r="I89" s="10"/>
      <c r="J89" s="14"/>
      <c r="K89" s="10"/>
      <c r="L89" s="10"/>
      <c r="M89" s="10"/>
      <c r="N89" s="14"/>
      <c r="O89" s="10"/>
      <c r="P89" s="10"/>
      <c r="Q89" s="10"/>
    </row>
    <row r="90" spans="4:17" ht="13" thickBot="1">
      <c r="D90">
        <v>39</v>
      </c>
      <c r="E90" s="10"/>
      <c r="F90" s="16"/>
      <c r="G90" s="10"/>
      <c r="H90" s="10"/>
      <c r="I90" s="10"/>
      <c r="J90" s="14"/>
      <c r="K90" s="10"/>
      <c r="L90" s="10"/>
      <c r="M90" s="10"/>
      <c r="N90" s="14"/>
      <c r="O90" s="10"/>
      <c r="P90" s="10"/>
      <c r="Q90" s="10"/>
    </row>
    <row r="91" spans="4:17" ht="13" thickBot="1">
      <c r="E91" s="12"/>
      <c r="F91" s="10"/>
      <c r="G91" s="10"/>
      <c r="H91" s="10"/>
      <c r="I91" s="10"/>
      <c r="J91" s="14" t="s">
        <v>235</v>
      </c>
      <c r="K91" s="9" t="str">
        <f>IF(OR(J87="",J95=""),"",+IF(J87&gt;J95,I87,I95))</f>
        <v/>
      </c>
      <c r="L91" s="17"/>
      <c r="M91" s="10"/>
      <c r="N91" s="14"/>
      <c r="O91" s="10"/>
      <c r="P91" s="10"/>
      <c r="Q91" s="10"/>
    </row>
    <row r="92" spans="4:17" ht="13" thickBot="1">
      <c r="D92">
        <v>40</v>
      </c>
      <c r="E92" s="10"/>
      <c r="F92" s="11"/>
      <c r="G92" s="10"/>
      <c r="H92" s="10"/>
      <c r="I92" s="10"/>
      <c r="J92" s="14"/>
      <c r="K92" s="10"/>
      <c r="L92" s="13"/>
      <c r="M92" s="10"/>
      <c r="N92" s="14"/>
      <c r="O92" s="10"/>
      <c r="P92" s="10"/>
      <c r="Q92" s="10"/>
    </row>
    <row r="93" spans="4:17" ht="13" thickBot="1">
      <c r="E93" s="12"/>
      <c r="F93" s="13" t="s">
        <v>229</v>
      </c>
      <c r="G93" s="9" t="str">
        <f>IF(OR(F92="",F94=""),"",+IF(F92&gt;F94,E92,E94))</f>
        <v/>
      </c>
      <c r="H93" s="11"/>
      <c r="I93" s="10"/>
      <c r="J93" s="14"/>
      <c r="K93" s="10"/>
      <c r="L93" s="14"/>
      <c r="M93" s="10"/>
      <c r="N93" s="14"/>
      <c r="O93" s="10"/>
      <c r="P93" s="10"/>
      <c r="Q93" s="10"/>
    </row>
    <row r="94" spans="4:17" ht="13" thickBot="1">
      <c r="D94">
        <v>41</v>
      </c>
      <c r="E94" s="9"/>
      <c r="F94" s="16"/>
      <c r="G94" s="10"/>
      <c r="H94" s="13"/>
      <c r="I94" s="10"/>
      <c r="J94" s="14"/>
      <c r="K94" s="10"/>
      <c r="L94" s="14"/>
      <c r="M94" s="10"/>
      <c r="N94" s="14"/>
      <c r="O94" s="10"/>
      <c r="P94" s="10"/>
      <c r="Q94" s="10"/>
    </row>
    <row r="95" spans="4:17" ht="13" thickBot="1">
      <c r="E95" s="10"/>
      <c r="F95" s="10"/>
      <c r="G95" s="10"/>
      <c r="H95" s="14" t="s">
        <v>201</v>
      </c>
      <c r="I95" s="9" t="str">
        <f>IF(OR(H93="",H96=""),"",+IF(H93&gt;H96,G93,E96))</f>
        <v/>
      </c>
      <c r="J95" s="16"/>
      <c r="K95" s="10"/>
      <c r="L95" s="14"/>
      <c r="M95" s="10"/>
      <c r="N95" s="14"/>
      <c r="O95" s="10"/>
      <c r="P95" s="10"/>
      <c r="Q95" s="10"/>
    </row>
    <row r="96" spans="4:17" ht="13" thickBot="1">
      <c r="D96">
        <v>42</v>
      </c>
      <c r="E96" s="9"/>
      <c r="F96" s="9"/>
      <c r="G96" s="9">
        <f>E96</f>
        <v>0</v>
      </c>
      <c r="H96" s="16"/>
      <c r="I96" s="10"/>
      <c r="J96" s="10"/>
      <c r="K96" s="10"/>
      <c r="L96" s="14"/>
      <c r="M96" s="10"/>
      <c r="N96" s="14"/>
      <c r="O96" s="10"/>
      <c r="P96" s="10"/>
      <c r="Q96" s="10"/>
    </row>
    <row r="97" spans="4:17">
      <c r="E97" s="10"/>
      <c r="F97" s="10"/>
      <c r="G97" s="10"/>
      <c r="H97" s="10"/>
      <c r="I97" s="10"/>
      <c r="J97" s="10"/>
      <c r="K97" s="10"/>
      <c r="L97" s="14"/>
      <c r="M97" s="10"/>
      <c r="N97" s="14"/>
      <c r="O97" s="10"/>
      <c r="P97" s="10"/>
      <c r="Q97" s="10"/>
    </row>
    <row r="98" spans="4:17" ht="13" thickBot="1">
      <c r="D98">
        <v>43</v>
      </c>
      <c r="E98" s="10"/>
      <c r="F98" s="9"/>
      <c r="G98" s="9">
        <f>E98</f>
        <v>0</v>
      </c>
      <c r="H98" s="11"/>
      <c r="I98" s="10"/>
      <c r="J98" s="10"/>
      <c r="K98" s="10"/>
      <c r="L98" s="14" t="s">
        <v>255</v>
      </c>
      <c r="M98" s="9" t="str">
        <f>IF(OR(L91="",L104=""),"",+IF(L91&gt;L104,K91,K104))</f>
        <v/>
      </c>
      <c r="N98" s="16"/>
      <c r="O98" s="10"/>
      <c r="P98" s="10"/>
      <c r="Q98" s="10"/>
    </row>
    <row r="99" spans="4:17">
      <c r="E99" s="12"/>
      <c r="F99" s="10"/>
      <c r="G99" s="10"/>
      <c r="H99" s="13"/>
      <c r="I99" s="10"/>
      <c r="J99" s="10"/>
      <c r="K99" s="10"/>
      <c r="L99" s="14"/>
      <c r="M99" s="10"/>
      <c r="N99" s="10"/>
      <c r="O99" s="10"/>
      <c r="P99" s="10"/>
      <c r="Q99" s="10"/>
    </row>
    <row r="100" spans="4:17" ht="13" thickBot="1">
      <c r="E100" s="10"/>
      <c r="F100" s="10"/>
      <c r="G100" s="10"/>
      <c r="H100" s="14" t="s">
        <v>205</v>
      </c>
      <c r="I100" s="9" t="str">
        <f>IF(OR(H98="",H102=""),"",+IF(H98&gt;H102,G98,G102))</f>
        <v/>
      </c>
      <c r="J100" s="11"/>
      <c r="K100" s="10"/>
      <c r="L100" s="14"/>
      <c r="M100" s="10"/>
      <c r="N100" s="10"/>
      <c r="O100" s="10"/>
      <c r="P100" s="10"/>
      <c r="Q100" s="10"/>
    </row>
    <row r="101" spans="4:17" ht="13" thickBot="1">
      <c r="D101">
        <v>44</v>
      </c>
      <c r="E101" s="10"/>
      <c r="F101" s="11"/>
      <c r="G101" s="10"/>
      <c r="H101" s="14"/>
      <c r="I101" s="10"/>
      <c r="J101" s="13"/>
      <c r="K101" s="10"/>
      <c r="L101" s="14"/>
      <c r="M101" s="10"/>
      <c r="N101" s="10"/>
      <c r="O101" s="10"/>
      <c r="P101" s="10"/>
      <c r="Q101" s="10"/>
    </row>
    <row r="102" spans="4:17" ht="13" thickBot="1">
      <c r="E102" s="12"/>
      <c r="F102" s="13" t="s">
        <v>232</v>
      </c>
      <c r="G102" s="9" t="str">
        <f>IF(OR(F101="",F103=""),"",+IF(F101&gt;F103,E101,E103))</f>
        <v/>
      </c>
      <c r="H102" s="16"/>
      <c r="I102" s="10"/>
      <c r="J102" s="14"/>
      <c r="K102" s="10"/>
      <c r="L102" s="14"/>
      <c r="M102" s="10"/>
      <c r="N102" s="10"/>
      <c r="O102" s="10"/>
      <c r="P102" s="10"/>
      <c r="Q102" s="10"/>
    </row>
    <row r="103" spans="4:17" ht="13" thickBot="1">
      <c r="D103">
        <v>45</v>
      </c>
      <c r="E103" s="10"/>
      <c r="F103" s="16"/>
      <c r="G103" s="10"/>
      <c r="H103" s="10"/>
      <c r="I103" s="10"/>
      <c r="J103" s="14"/>
      <c r="K103" s="10"/>
      <c r="L103" s="14"/>
      <c r="M103" s="10"/>
      <c r="N103" s="10"/>
      <c r="O103" s="10"/>
      <c r="P103" s="10"/>
      <c r="Q103" s="10"/>
    </row>
    <row r="104" spans="4:17" ht="13" thickBot="1">
      <c r="E104" s="12"/>
      <c r="F104" s="10"/>
      <c r="G104" s="10"/>
      <c r="H104" s="10"/>
      <c r="I104" s="10"/>
      <c r="J104" s="14" t="s">
        <v>239</v>
      </c>
      <c r="K104" s="9" t="str">
        <f>IF(OR(J100="",J108=""),"",+IF(J100&gt;J108,I100,I108))</f>
        <v/>
      </c>
      <c r="L104" s="16"/>
      <c r="M104" s="10"/>
      <c r="N104" s="10"/>
      <c r="O104" s="10"/>
      <c r="P104" s="10"/>
      <c r="Q104" s="10"/>
    </row>
    <row r="105" spans="4:17" ht="13" thickBot="1">
      <c r="D105">
        <v>46</v>
      </c>
      <c r="E105" s="10"/>
      <c r="F105" s="11"/>
      <c r="G105" s="10"/>
      <c r="H105" s="10"/>
      <c r="I105" s="10"/>
      <c r="J105" s="14"/>
      <c r="K105" s="10"/>
      <c r="L105" s="10"/>
      <c r="M105" s="10"/>
      <c r="N105" s="10"/>
      <c r="O105" s="10"/>
      <c r="P105" s="10"/>
      <c r="Q105" s="10"/>
    </row>
    <row r="106" spans="4:17" ht="13" thickBot="1">
      <c r="E106" s="12"/>
      <c r="F106" s="13" t="s">
        <v>234</v>
      </c>
      <c r="G106" s="9" t="str">
        <f>IF(OR(F105="",F107=""),"",+IF(F105&gt;F107,E105,E107))</f>
        <v/>
      </c>
      <c r="H106" s="11"/>
      <c r="I106" s="10"/>
      <c r="J106" s="14"/>
      <c r="K106" s="10"/>
      <c r="L106" s="10"/>
      <c r="M106" s="10"/>
      <c r="N106" s="10"/>
      <c r="O106" s="10"/>
      <c r="P106" s="10"/>
      <c r="Q106" s="10"/>
    </row>
    <row r="107" spans="4:17" ht="13" thickBot="1">
      <c r="D107">
        <v>47</v>
      </c>
      <c r="E107" s="9"/>
      <c r="F107" s="16"/>
      <c r="G107" s="10"/>
      <c r="H107" s="13"/>
      <c r="I107" s="10"/>
      <c r="J107" s="14"/>
      <c r="K107" s="10"/>
      <c r="L107" s="10"/>
      <c r="M107" s="10"/>
      <c r="N107" s="10"/>
      <c r="O107" s="10"/>
      <c r="P107" s="10"/>
      <c r="Q107" s="10"/>
    </row>
    <row r="108" spans="4:17" ht="13" thickBot="1">
      <c r="E108" s="10"/>
      <c r="F108" s="10"/>
      <c r="G108" s="10"/>
      <c r="H108" s="14" t="s">
        <v>209</v>
      </c>
      <c r="I108" s="9" t="str">
        <f>IF(OR(H106="",H109=""),"",+IF(H106&gt;H109,G106,E109))</f>
        <v/>
      </c>
      <c r="J108" s="16"/>
      <c r="K108" s="10"/>
      <c r="L108" s="10"/>
      <c r="M108" s="10"/>
      <c r="N108" s="10"/>
      <c r="O108" s="10"/>
      <c r="P108" s="10"/>
      <c r="Q108" s="10"/>
    </row>
    <row r="109" spans="4:17" ht="13" thickBot="1">
      <c r="D109">
        <v>48</v>
      </c>
      <c r="E109" s="9"/>
      <c r="F109" s="9"/>
      <c r="G109" s="9">
        <f>E109</f>
        <v>0</v>
      </c>
      <c r="H109" s="16"/>
      <c r="I109" s="10"/>
      <c r="J109" s="10"/>
      <c r="K109" s="10"/>
      <c r="L109" s="10"/>
      <c r="M109" s="10"/>
      <c r="N109" s="10"/>
      <c r="O109" s="10"/>
      <c r="P109" s="10"/>
      <c r="Q109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45"/>
  <dimension ref="D4:AG107"/>
  <sheetViews>
    <sheetView showGridLines="0" zoomScale="75" workbookViewId="0">
      <selection activeCell="I14" sqref="I14"/>
    </sheetView>
  </sheetViews>
  <sheetFormatPr defaultRowHeight="12.7"/>
  <cols>
    <col min="5" max="5" width="24.3515625" bestFit="1" customWidth="1"/>
    <col min="6" max="6" width="3.64453125" customWidth="1"/>
    <col min="7" max="7" width="21.41015625" bestFit="1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5.64453125" customWidth="1"/>
    <col min="16" max="16" width="3.64453125" customWidth="1"/>
    <col min="17" max="17" width="18.41015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21.41015625" style="28" bestFit="1" customWidth="1"/>
    <col min="32" max="32" width="6.52734375" bestFit="1" customWidth="1"/>
    <col min="33" max="33" width="24.3515625" style="29" bestFit="1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E21</f>
        <v>0</v>
      </c>
      <c r="V6" t="s">
        <v>77</v>
      </c>
      <c r="W6" s="29">
        <f>E23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E25</f>
        <v>0</v>
      </c>
      <c r="V7" t="s">
        <v>77</v>
      </c>
      <c r="W7" s="29">
        <f>E27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E34</f>
        <v>0</v>
      </c>
      <c r="V8" t="s">
        <v>77</v>
      </c>
      <c r="W8" s="29">
        <f>E36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234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E38</f>
        <v>0</v>
      </c>
      <c r="V9" t="s">
        <v>77</v>
      </c>
      <c r="W9" s="29">
        <f>E40</f>
        <v>0</v>
      </c>
      <c r="Z9" s="34"/>
      <c r="AA9" s="40"/>
      <c r="AB9" s="40"/>
      <c r="AC9" s="38" t="s">
        <v>159</v>
      </c>
      <c r="AD9" s="48"/>
      <c r="AE9" s="53" t="e">
        <f t="shared" ref="AE9:AE19" si="0">LOOKUP(AD9,T$5:T$78,U$5:U$53)</f>
        <v>#N/A</v>
      </c>
      <c r="AF9" s="37" t="s">
        <v>157</v>
      </c>
      <c r="AG9" s="65" t="e">
        <f t="shared" ref="AG9:AG19" si="1">LOOKUP(AD9,T$5:T$78,W$5:W$52)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E47</f>
        <v>0</v>
      </c>
      <c r="V10" t="s">
        <v>77</v>
      </c>
      <c r="W10" s="29">
        <f>E49</f>
        <v>0</v>
      </c>
      <c r="Z10" s="34"/>
      <c r="AA10" s="40"/>
      <c r="AB10" s="40"/>
      <c r="AC10" s="38" t="s">
        <v>159</v>
      </c>
      <c r="AD10" s="48"/>
      <c r="AE10" s="53" t="e">
        <f t="shared" si="0"/>
        <v>#N/A</v>
      </c>
      <c r="AF10" s="37" t="s">
        <v>157</v>
      </c>
      <c r="AG10" s="65" t="e">
        <f t="shared" si="1"/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E51</f>
        <v>0</v>
      </c>
      <c r="V11" t="s">
        <v>77</v>
      </c>
      <c r="W11" s="29">
        <f>E53</f>
        <v>0</v>
      </c>
      <c r="Z11" s="34"/>
      <c r="AA11" s="40"/>
      <c r="AB11" s="40"/>
      <c r="AC11" s="38" t="s">
        <v>159</v>
      </c>
      <c r="AD11" s="48"/>
      <c r="AE11" s="53" t="e">
        <f t="shared" si="0"/>
        <v>#N/A</v>
      </c>
      <c r="AF11" s="37" t="s">
        <v>157</v>
      </c>
      <c r="AG11" s="65" t="e">
        <f t="shared" si="1"/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209</v>
      </c>
      <c r="K12" s="9" t="str">
        <f>IF(OR(J9="",J15=""),"",+IF(J9&gt;J15,I9,I15))</f>
        <v/>
      </c>
      <c r="L12" s="11"/>
      <c r="M12" s="10"/>
      <c r="N12" s="10"/>
      <c r="O12" s="10"/>
      <c r="P12" s="10"/>
      <c r="Q12" s="10"/>
      <c r="T12">
        <v>8</v>
      </c>
      <c r="U12" s="28">
        <f>E60</f>
        <v>0</v>
      </c>
      <c r="V12" t="s">
        <v>77</v>
      </c>
      <c r="W12" s="29">
        <f>E62</f>
        <v>0</v>
      </c>
      <c r="Z12" s="34"/>
      <c r="AA12" s="40"/>
      <c r="AB12" s="40"/>
      <c r="AC12" s="38" t="s">
        <v>159</v>
      </c>
      <c r="AD12" s="48"/>
      <c r="AE12" s="53" t="e">
        <f t="shared" si="0"/>
        <v>#N/A</v>
      </c>
      <c r="AF12" s="37" t="s">
        <v>157</v>
      </c>
      <c r="AG12" s="65" t="e">
        <f t="shared" si="1"/>
        <v>#N/A</v>
      </c>
    </row>
    <row r="13" spans="4:33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P13" s="10"/>
      <c r="Q13" s="10"/>
      <c r="T13">
        <v>9</v>
      </c>
      <c r="U13" s="28">
        <f>E64</f>
        <v>0</v>
      </c>
      <c r="V13" t="s">
        <v>77</v>
      </c>
      <c r="W13" s="29">
        <f>E66</f>
        <v>0</v>
      </c>
      <c r="Z13" s="34"/>
      <c r="AA13" s="40"/>
      <c r="AB13" s="40"/>
      <c r="AC13" s="38" t="s">
        <v>159</v>
      </c>
      <c r="AD13" s="48"/>
      <c r="AE13" s="53" t="e">
        <f t="shared" si="0"/>
        <v>#N/A</v>
      </c>
      <c r="AF13" s="37" t="s">
        <v>157</v>
      </c>
      <c r="AG13" s="65" t="e">
        <f t="shared" si="1"/>
        <v>#N/A</v>
      </c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P14" s="10"/>
      <c r="Q14" s="10"/>
      <c r="T14">
        <v>10</v>
      </c>
      <c r="U14" s="28">
        <f>E73</f>
        <v>0</v>
      </c>
      <c r="V14" t="s">
        <v>77</v>
      </c>
      <c r="W14" s="29">
        <f>E75</f>
        <v>0</v>
      </c>
      <c r="Z14" s="34"/>
      <c r="AA14" s="40"/>
      <c r="AB14" s="40"/>
      <c r="AC14" s="38" t="s">
        <v>159</v>
      </c>
      <c r="AD14" s="48"/>
      <c r="AE14" s="53" t="e">
        <f t="shared" si="0"/>
        <v>#N/A</v>
      </c>
      <c r="AF14" s="37" t="s">
        <v>157</v>
      </c>
      <c r="AG14" s="65" t="e">
        <f t="shared" si="1"/>
        <v>#N/A</v>
      </c>
    </row>
    <row r="15" spans="4:33" ht="13" thickBot="1">
      <c r="E15" s="10"/>
      <c r="F15" s="10"/>
      <c r="G15" s="10"/>
      <c r="H15" s="13" t="s">
        <v>236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P15" s="10"/>
      <c r="Q15" s="10"/>
      <c r="T15">
        <v>11</v>
      </c>
      <c r="U15" s="28">
        <f>E77</f>
        <v>0</v>
      </c>
      <c r="V15" t="s">
        <v>77</v>
      </c>
      <c r="W15" s="29">
        <f>E79</f>
        <v>0</v>
      </c>
      <c r="Z15" s="34"/>
      <c r="AA15" s="40"/>
      <c r="AB15" s="40"/>
      <c r="AC15" s="38" t="s">
        <v>159</v>
      </c>
      <c r="AD15" s="48"/>
      <c r="AE15" s="53" t="e">
        <f t="shared" si="0"/>
        <v>#N/A</v>
      </c>
      <c r="AF15" s="37" t="s">
        <v>157</v>
      </c>
      <c r="AG15" s="65" t="e">
        <f t="shared" si="1"/>
        <v>#N/A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P16" s="10"/>
      <c r="Q16" s="10"/>
      <c r="T16">
        <v>12</v>
      </c>
      <c r="U16" s="28">
        <f>E86</f>
        <v>0</v>
      </c>
      <c r="V16" t="s">
        <v>77</v>
      </c>
      <c r="W16" s="29">
        <f>E88</f>
        <v>0</v>
      </c>
      <c r="Z16" s="34"/>
      <c r="AA16" s="40"/>
      <c r="AB16" s="40"/>
      <c r="AC16" s="38" t="s">
        <v>159</v>
      </c>
      <c r="AD16" s="48"/>
      <c r="AE16" s="53" t="e">
        <f t="shared" si="0"/>
        <v>#N/A</v>
      </c>
      <c r="AF16" s="37" t="s">
        <v>157</v>
      </c>
      <c r="AG16" s="65" t="e">
        <f t="shared" si="1"/>
        <v>#N/A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239</v>
      </c>
      <c r="M17" s="9" t="str">
        <f>IF(OR(L12="",L24=""),"",+IF(L12&gt;L24,K12,K24))</f>
        <v/>
      </c>
      <c r="N17" s="17"/>
      <c r="O17" s="10"/>
      <c r="P17" s="10"/>
      <c r="Q17" s="10"/>
      <c r="T17">
        <v>13</v>
      </c>
      <c r="U17" s="28">
        <f>E90</f>
        <v>0</v>
      </c>
      <c r="V17" t="s">
        <v>77</v>
      </c>
      <c r="W17" s="29">
        <f>E92</f>
        <v>0</v>
      </c>
      <c r="Z17" s="34"/>
      <c r="AA17" s="40"/>
      <c r="AB17" s="40"/>
      <c r="AC17" s="38" t="s">
        <v>159</v>
      </c>
      <c r="AD17" s="48">
        <v>40</v>
      </c>
      <c r="AE17" s="53" t="str">
        <f t="shared" ca="1" si="0"/>
        <v>Venc.J32</v>
      </c>
      <c r="AF17" s="37" t="s">
        <v>157</v>
      </c>
      <c r="AG17" s="65" t="str">
        <f t="shared" ca="1" si="1"/>
        <v>Venc.J33</v>
      </c>
    </row>
    <row r="18" spans="4:33" ht="13" thickBot="1">
      <c r="D18">
        <v>6</v>
      </c>
      <c r="E18" s="10"/>
      <c r="F18" s="9"/>
      <c r="G18" s="9">
        <f>E18</f>
        <v>0</v>
      </c>
      <c r="H18" s="11"/>
      <c r="I18" s="10"/>
      <c r="J18" s="10"/>
      <c r="K18" s="10"/>
      <c r="L18" s="14"/>
      <c r="M18" s="10"/>
      <c r="N18" s="13"/>
      <c r="O18" s="10"/>
      <c r="P18" s="10"/>
      <c r="Q18" s="10"/>
      <c r="T18">
        <v>14</v>
      </c>
      <c r="U18" s="28">
        <f>E99</f>
        <v>0</v>
      </c>
      <c r="V18" t="s">
        <v>77</v>
      </c>
      <c r="W18" s="29">
        <f>E101</f>
        <v>0</v>
      </c>
      <c r="Z18" s="34"/>
      <c r="AA18" s="40"/>
      <c r="AB18" s="40"/>
      <c r="AC18" s="38" t="s">
        <v>159</v>
      </c>
      <c r="AD18" s="48">
        <v>41</v>
      </c>
      <c r="AE18" s="53" t="str">
        <f t="shared" ca="1" si="0"/>
        <v>Venc.J34</v>
      </c>
      <c r="AF18" s="37" t="s">
        <v>157</v>
      </c>
      <c r="AG18" s="65" t="str">
        <f t="shared" ca="1" si="1"/>
        <v>Venc.J35</v>
      </c>
    </row>
    <row r="19" spans="4:33">
      <c r="E19" s="12"/>
      <c r="F19" s="10"/>
      <c r="G19" s="10"/>
      <c r="H19" s="13"/>
      <c r="I19" s="10"/>
      <c r="J19" s="10"/>
      <c r="K19" s="10"/>
      <c r="L19" s="14"/>
      <c r="M19" s="10"/>
      <c r="N19" s="14"/>
      <c r="O19" s="10"/>
      <c r="P19" s="10"/>
      <c r="Q19" s="10"/>
      <c r="T19">
        <v>15</v>
      </c>
      <c r="U19" s="28">
        <f>E103</f>
        <v>0</v>
      </c>
      <c r="V19" t="s">
        <v>77</v>
      </c>
      <c r="W19" s="29">
        <f>E105</f>
        <v>0</v>
      </c>
      <c r="Z19" s="34"/>
      <c r="AA19" s="40"/>
      <c r="AB19" s="40"/>
      <c r="AC19" s="38" t="s">
        <v>159</v>
      </c>
      <c r="AD19" s="48">
        <v>42</v>
      </c>
      <c r="AE19" s="53" t="str">
        <f t="shared" ca="1" si="0"/>
        <v>Venc.J36</v>
      </c>
      <c r="AF19" s="37" t="s">
        <v>157</v>
      </c>
      <c r="AG19" s="65" t="str">
        <f t="shared" ca="1" si="1"/>
        <v>Venc.J37</v>
      </c>
    </row>
    <row r="20" spans="4:33" ht="13" thickBot="1">
      <c r="E20" s="10"/>
      <c r="F20" s="10"/>
      <c r="G20" s="10"/>
      <c r="H20" s="14" t="s">
        <v>238</v>
      </c>
      <c r="I20" s="9" t="str">
        <f>IF(OR(H18="",H22=""),"",+IF(H18&gt;H22,G18,G22))</f>
        <v/>
      </c>
      <c r="J20" s="11"/>
      <c r="K20" s="10"/>
      <c r="L20" s="14"/>
      <c r="M20" s="10"/>
      <c r="N20" s="14"/>
      <c r="O20" s="10"/>
      <c r="P20" s="10"/>
      <c r="Q20" s="10"/>
      <c r="T20">
        <v>16</v>
      </c>
      <c r="U20" s="28">
        <f>E7</f>
        <v>0</v>
      </c>
      <c r="V20" t="s">
        <v>77</v>
      </c>
      <c r="W20" s="29" t="s">
        <v>78</v>
      </c>
      <c r="Z20" s="34"/>
      <c r="AA20" s="40"/>
      <c r="AB20" s="40"/>
      <c r="AC20" s="38" t="s">
        <v>159</v>
      </c>
      <c r="AD20" s="48">
        <v>43</v>
      </c>
      <c r="AE20" s="53" t="str">
        <f t="shared" ref="AE20:AE30" ca="1" si="2">LOOKUP(AD20,T$5:T$78,U$5:U$53)</f>
        <v>Venc.J38</v>
      </c>
      <c r="AF20" s="37" t="s">
        <v>157</v>
      </c>
      <c r="AG20" s="65" t="str">
        <f t="shared" ref="AG20:AG30" ca="1" si="3">LOOKUP(AD20,T$5:T$78,W$5:W$52)</f>
        <v>Venc.J39</v>
      </c>
    </row>
    <row r="21" spans="4:33" ht="13" thickBot="1">
      <c r="D21">
        <v>7</v>
      </c>
      <c r="E21" s="10"/>
      <c r="F21" s="11"/>
      <c r="G21" s="10"/>
      <c r="H21" s="14"/>
      <c r="I21" s="10"/>
      <c r="J21" s="13"/>
      <c r="K21" s="10"/>
      <c r="L21" s="14"/>
      <c r="M21" s="10"/>
      <c r="N21" s="14"/>
      <c r="O21" s="10"/>
      <c r="P21" s="10"/>
      <c r="Q21" s="10"/>
      <c r="T21">
        <v>17</v>
      </c>
      <c r="U21" s="28">
        <f>E14</f>
        <v>0</v>
      </c>
      <c r="V21" t="s">
        <v>77</v>
      </c>
      <c r="W21" s="29">
        <f>E16</f>
        <v>0</v>
      </c>
      <c r="Z21" s="34"/>
      <c r="AA21" s="40"/>
      <c r="AB21" s="40"/>
      <c r="AC21" s="38" t="s">
        <v>159</v>
      </c>
      <c r="AD21" s="48"/>
      <c r="AE21" s="53"/>
      <c r="AF21" s="37"/>
      <c r="AG21" s="65"/>
    </row>
    <row r="22" spans="4:33" ht="13" thickBot="1">
      <c r="E22" s="12"/>
      <c r="F22" s="13" t="s">
        <v>204</v>
      </c>
      <c r="G22" s="9" t="str">
        <f>IF(OR(F21="",F23=""),"",+IF(F21&gt;F23,E21,E23))</f>
        <v/>
      </c>
      <c r="H22" s="16"/>
      <c r="I22" s="10"/>
      <c r="J22" s="14"/>
      <c r="K22" s="10"/>
      <c r="L22" s="14"/>
      <c r="M22" s="10"/>
      <c r="N22" s="14"/>
      <c r="O22" s="10"/>
      <c r="P22" s="10"/>
      <c r="Q22" s="10"/>
      <c r="T22">
        <v>18</v>
      </c>
      <c r="U22" s="28">
        <f>E18</f>
        <v>0</v>
      </c>
      <c r="V22" t="s">
        <v>77</v>
      </c>
      <c r="W22" s="29" t="s">
        <v>160</v>
      </c>
      <c r="Z22" s="34"/>
      <c r="AA22" s="40"/>
      <c r="AB22" s="40"/>
      <c r="AC22" s="38" t="s">
        <v>159</v>
      </c>
      <c r="AD22" s="48"/>
      <c r="AE22" s="53"/>
      <c r="AF22" s="37"/>
      <c r="AG22" s="65"/>
    </row>
    <row r="23" spans="4:33" ht="13" thickBot="1">
      <c r="D23">
        <v>8</v>
      </c>
      <c r="E23" s="10"/>
      <c r="F23" s="16"/>
      <c r="G23" s="10"/>
      <c r="H23" s="10"/>
      <c r="I23" s="10"/>
      <c r="J23" s="14"/>
      <c r="K23" s="10"/>
      <c r="L23" s="14"/>
      <c r="M23" s="10"/>
      <c r="N23" s="14"/>
      <c r="O23" s="10"/>
      <c r="P23" s="10"/>
      <c r="Q23" s="10"/>
      <c r="T23">
        <v>19</v>
      </c>
      <c r="U23" s="28" t="s">
        <v>161</v>
      </c>
      <c r="V23" t="s">
        <v>77</v>
      </c>
      <c r="W23" s="29">
        <f>E29</f>
        <v>0</v>
      </c>
      <c r="Z23" s="34"/>
      <c r="AA23" s="40"/>
      <c r="AB23" s="40"/>
      <c r="AC23" s="38" t="s">
        <v>159</v>
      </c>
      <c r="AD23" s="48">
        <v>46</v>
      </c>
      <c r="AE23" s="53" t="str">
        <f t="shared" ca="1" si="2"/>
        <v>Venc.J44</v>
      </c>
      <c r="AF23" s="37" t="s">
        <v>157</v>
      </c>
      <c r="AG23" s="65" t="str">
        <f t="shared" ca="1" si="3"/>
        <v>Venc.J45</v>
      </c>
    </row>
    <row r="24" spans="4:33" ht="13" thickBot="1">
      <c r="E24" s="12"/>
      <c r="F24" s="10"/>
      <c r="G24" s="10"/>
      <c r="H24" s="10"/>
      <c r="I24" s="10"/>
      <c r="J24" s="14" t="s">
        <v>213</v>
      </c>
      <c r="K24" s="9" t="str">
        <f>IF(OR(J20="",J28=""),"",+IF(J20&gt;J28,I20,I28))</f>
        <v/>
      </c>
      <c r="L24" s="16"/>
      <c r="M24" s="10"/>
      <c r="N24" s="14"/>
      <c r="O24" s="10"/>
      <c r="P24" s="10"/>
      <c r="Q24" s="10"/>
      <c r="T24">
        <v>20</v>
      </c>
      <c r="U24" s="28">
        <f>E31</f>
        <v>0</v>
      </c>
      <c r="V24" t="s">
        <v>77</v>
      </c>
      <c r="W24" s="29" t="s">
        <v>81</v>
      </c>
      <c r="Z24" s="34"/>
      <c r="AA24" s="40"/>
      <c r="AB24" s="40"/>
      <c r="AC24" s="38" t="s">
        <v>159</v>
      </c>
      <c r="AD24" s="48">
        <v>47</v>
      </c>
      <c r="AE24" s="53" t="str">
        <f t="shared" ca="1" si="2"/>
        <v>Venc.J44</v>
      </c>
      <c r="AF24" s="37" t="s">
        <v>157</v>
      </c>
      <c r="AG24" s="65" t="str">
        <f t="shared" ca="1" si="3"/>
        <v>Venc.J45</v>
      </c>
    </row>
    <row r="25" spans="4:33" ht="13" thickBot="1">
      <c r="D25">
        <v>9</v>
      </c>
      <c r="E25" s="10"/>
      <c r="F25" s="11"/>
      <c r="G25" s="10"/>
      <c r="H25" s="10"/>
      <c r="I25" s="10"/>
      <c r="J25" s="14"/>
      <c r="K25" s="10"/>
      <c r="L25" s="10"/>
      <c r="M25" s="10"/>
      <c r="N25" s="14"/>
      <c r="O25" s="10"/>
      <c r="P25" s="10"/>
      <c r="Q25" s="10"/>
      <c r="T25">
        <v>21</v>
      </c>
      <c r="U25" s="28" t="s">
        <v>162</v>
      </c>
      <c r="V25" t="s">
        <v>77</v>
      </c>
      <c r="W25" s="29">
        <f>E42</f>
        <v>0</v>
      </c>
      <c r="Z25" s="34"/>
      <c r="AA25" s="40"/>
      <c r="AB25" s="40"/>
      <c r="AC25" s="38" t="s">
        <v>159</v>
      </c>
      <c r="AD25" s="48">
        <v>48</v>
      </c>
      <c r="AE25" s="53" t="str">
        <f t="shared" ca="1" si="2"/>
        <v>Venc.J44</v>
      </c>
      <c r="AF25" s="37" t="s">
        <v>157</v>
      </c>
      <c r="AG25" s="65" t="str">
        <f t="shared" ca="1" si="3"/>
        <v>Venc.J45</v>
      </c>
    </row>
    <row r="26" spans="4:33" ht="13" thickBot="1">
      <c r="E26" s="12"/>
      <c r="F26" s="13" t="s">
        <v>206</v>
      </c>
      <c r="G26" s="9" t="str">
        <f>IF(OR(F25="",F27=""),"",+IF(F25&gt;F27,E25,E27))</f>
        <v/>
      </c>
      <c r="H26" s="11"/>
      <c r="I26" s="10"/>
      <c r="J26" s="14"/>
      <c r="K26" s="10"/>
      <c r="L26" s="10"/>
      <c r="M26" s="10"/>
      <c r="N26" s="14"/>
      <c r="O26" s="10"/>
      <c r="P26" s="10"/>
      <c r="Q26" s="10"/>
      <c r="T26">
        <v>22</v>
      </c>
      <c r="U26" s="28">
        <f>E44</f>
        <v>0</v>
      </c>
      <c r="V26" t="s">
        <v>77</v>
      </c>
      <c r="W26" s="29" t="s">
        <v>163</v>
      </c>
      <c r="Z26" s="34"/>
      <c r="AA26" s="40"/>
      <c r="AB26" s="40"/>
      <c r="AC26" s="38" t="s">
        <v>159</v>
      </c>
      <c r="AD26" s="48"/>
      <c r="AE26" s="53" t="e">
        <f t="shared" si="2"/>
        <v>#N/A</v>
      </c>
      <c r="AF26" s="37" t="s">
        <v>157</v>
      </c>
      <c r="AG26" s="65" t="e">
        <f t="shared" si="3"/>
        <v>#N/A</v>
      </c>
    </row>
    <row r="27" spans="4:33" ht="13" thickBot="1">
      <c r="D27">
        <v>10</v>
      </c>
      <c r="E27" s="9"/>
      <c r="F27" s="16"/>
      <c r="G27" s="10"/>
      <c r="H27" s="13"/>
      <c r="I27" s="10"/>
      <c r="J27" s="14"/>
      <c r="K27" s="10"/>
      <c r="L27" s="10"/>
      <c r="M27" s="10"/>
      <c r="N27" s="14"/>
      <c r="O27" s="10"/>
      <c r="P27" s="10"/>
      <c r="Q27" s="10"/>
      <c r="T27">
        <v>23</v>
      </c>
      <c r="U27" s="28" t="s">
        <v>84</v>
      </c>
      <c r="V27" t="s">
        <v>77</v>
      </c>
      <c r="W27" s="29">
        <f>E55</f>
        <v>0</v>
      </c>
      <c r="Z27" s="34"/>
      <c r="AA27" s="40"/>
      <c r="AB27" s="40"/>
      <c r="AC27" s="38" t="s">
        <v>159</v>
      </c>
      <c r="AD27" s="48"/>
      <c r="AE27" s="53" t="e">
        <f t="shared" si="2"/>
        <v>#N/A</v>
      </c>
      <c r="AF27" s="37" t="s">
        <v>157</v>
      </c>
      <c r="AG27" s="65" t="e">
        <f t="shared" si="3"/>
        <v>#N/A</v>
      </c>
    </row>
    <row r="28" spans="4:33" ht="13" thickBot="1">
      <c r="E28" s="10"/>
      <c r="F28" s="10"/>
      <c r="G28" s="10"/>
      <c r="H28" s="14" t="s">
        <v>240</v>
      </c>
      <c r="I28" s="9" t="str">
        <f>IF(OR(H26="",H29=""),"",+IF(H26&gt;H29,G26,E29))</f>
        <v/>
      </c>
      <c r="J28" s="16"/>
      <c r="K28" s="10"/>
      <c r="L28" s="10"/>
      <c r="M28" s="10"/>
      <c r="N28" s="14"/>
      <c r="O28" s="10"/>
      <c r="P28" s="10"/>
      <c r="Q28" s="10"/>
      <c r="T28">
        <v>24</v>
      </c>
      <c r="U28" s="28">
        <f>E57</f>
        <v>0</v>
      </c>
      <c r="V28" t="s">
        <v>77</v>
      </c>
      <c r="W28" s="29" t="s">
        <v>263</v>
      </c>
      <c r="Z28" s="34"/>
      <c r="AA28" s="40"/>
      <c r="AB28" s="40"/>
      <c r="AC28" s="38" t="s">
        <v>159</v>
      </c>
      <c r="AD28" s="48"/>
      <c r="AE28" s="53" t="e">
        <f t="shared" si="2"/>
        <v>#N/A</v>
      </c>
      <c r="AF28" s="37" t="s">
        <v>157</v>
      </c>
      <c r="AG28" s="65" t="e">
        <f t="shared" si="3"/>
        <v>#N/A</v>
      </c>
    </row>
    <row r="29" spans="4:33" ht="13" thickBot="1">
      <c r="D29">
        <v>11</v>
      </c>
      <c r="E29" s="9"/>
      <c r="F29" s="9"/>
      <c r="G29" s="9">
        <f>E29</f>
        <v>0</v>
      </c>
      <c r="H29" s="16"/>
      <c r="I29" s="10"/>
      <c r="J29" s="10"/>
      <c r="K29" s="10"/>
      <c r="L29" s="10"/>
      <c r="M29" s="10"/>
      <c r="N29" s="14"/>
      <c r="O29" s="10"/>
      <c r="P29" s="10"/>
      <c r="Q29" s="10"/>
      <c r="T29">
        <v>25</v>
      </c>
      <c r="U29" s="28" t="s">
        <v>86</v>
      </c>
      <c r="V29" t="s">
        <v>77</v>
      </c>
      <c r="W29" s="29">
        <f>E68</f>
        <v>0</v>
      </c>
      <c r="Z29" s="34"/>
      <c r="AA29" s="40"/>
      <c r="AB29" s="40"/>
      <c r="AC29" s="38" t="s">
        <v>159</v>
      </c>
      <c r="AD29" s="48"/>
      <c r="AE29" s="53" t="e">
        <f t="shared" si="2"/>
        <v>#N/A</v>
      </c>
      <c r="AF29" s="37" t="s">
        <v>157</v>
      </c>
      <c r="AG29" s="65" t="e">
        <f t="shared" si="3"/>
        <v>#N/A</v>
      </c>
    </row>
    <row r="30" spans="4:33" ht="13" thickBot="1">
      <c r="E30" s="10"/>
      <c r="F30" s="10"/>
      <c r="G30" s="10"/>
      <c r="H30" s="10"/>
      <c r="I30" s="10"/>
      <c r="J30" s="10"/>
      <c r="K30" s="10"/>
      <c r="L30" s="10"/>
      <c r="M30" s="10"/>
      <c r="N30" s="14" t="s">
        <v>255</v>
      </c>
      <c r="O30" s="9" t="str">
        <f>IF(OR(N17="",N44=""),"",+IF(N17&gt;N44,M17,M44))</f>
        <v/>
      </c>
      <c r="P30" s="17"/>
      <c r="Q30" s="10"/>
      <c r="T30">
        <v>26</v>
      </c>
      <c r="U30" s="28">
        <f>E70</f>
        <v>0</v>
      </c>
      <c r="V30" t="s">
        <v>77</v>
      </c>
      <c r="W30" s="29" t="s">
        <v>87</v>
      </c>
      <c r="Z30" s="34"/>
      <c r="AA30" s="40"/>
      <c r="AB30" s="40"/>
      <c r="AC30" s="38" t="s">
        <v>159</v>
      </c>
      <c r="AD30" s="48"/>
      <c r="AE30" s="53" t="e">
        <f t="shared" si="2"/>
        <v>#N/A</v>
      </c>
      <c r="AF30" s="37" t="s">
        <v>157</v>
      </c>
      <c r="AG30" s="65" t="e">
        <f t="shared" si="3"/>
        <v>#N/A</v>
      </c>
    </row>
    <row r="31" spans="4:33" ht="13" thickBot="1">
      <c r="D31">
        <v>12</v>
      </c>
      <c r="E31" s="10"/>
      <c r="F31" s="9"/>
      <c r="G31" s="9">
        <f>E31</f>
        <v>0</v>
      </c>
      <c r="H31" s="11"/>
      <c r="I31" s="10"/>
      <c r="J31" s="10"/>
      <c r="K31" s="10"/>
      <c r="L31" s="10"/>
      <c r="M31" s="10"/>
      <c r="N31" s="14"/>
      <c r="O31" s="10"/>
      <c r="P31" s="14"/>
      <c r="Q31" s="10"/>
      <c r="T31">
        <v>27</v>
      </c>
      <c r="U31" s="28" t="s">
        <v>88</v>
      </c>
      <c r="V31" t="s">
        <v>77</v>
      </c>
      <c r="W31" s="29">
        <f>E81</f>
        <v>0</v>
      </c>
      <c r="Z31" s="34"/>
      <c r="AA31" s="40"/>
      <c r="AB31" s="40"/>
      <c r="AC31" s="38" t="s">
        <v>159</v>
      </c>
      <c r="AD31" s="48"/>
      <c r="AE31" s="53" t="e">
        <f t="shared" ref="AE31:AE41" si="4">LOOKUP(AD31,T$5:T$78,U$5:U$53)</f>
        <v>#N/A</v>
      </c>
      <c r="AF31" s="37" t="s">
        <v>157</v>
      </c>
      <c r="AG31" s="65" t="e">
        <f t="shared" ref="AG31:AG41" si="5">LOOKUP(AD31,T$5:T$78,W$5:W$52)</f>
        <v>#N/A</v>
      </c>
    </row>
    <row r="32" spans="4:33">
      <c r="E32" s="12"/>
      <c r="F32" s="10"/>
      <c r="G32" s="10"/>
      <c r="H32" s="13"/>
      <c r="I32" s="10"/>
      <c r="J32" s="10"/>
      <c r="K32" s="10"/>
      <c r="L32" s="10"/>
      <c r="M32" s="10"/>
      <c r="N32" s="14"/>
      <c r="O32" s="10"/>
      <c r="P32" s="14"/>
      <c r="Q32" s="10"/>
      <c r="T32">
        <v>28</v>
      </c>
      <c r="U32" s="28">
        <f>E83</f>
        <v>0</v>
      </c>
      <c r="V32" t="s">
        <v>77</v>
      </c>
      <c r="W32" s="29" t="s">
        <v>89</v>
      </c>
      <c r="Z32" s="34"/>
      <c r="AA32" s="40"/>
      <c r="AB32" s="40"/>
      <c r="AC32" s="38" t="s">
        <v>159</v>
      </c>
      <c r="AD32" s="48"/>
      <c r="AE32" s="53" t="e">
        <f t="shared" si="4"/>
        <v>#N/A</v>
      </c>
      <c r="AF32" s="37" t="s">
        <v>157</v>
      </c>
      <c r="AG32" s="65" t="e">
        <f t="shared" si="5"/>
        <v>#N/A</v>
      </c>
    </row>
    <row r="33" spans="4:33" ht="13" thickBot="1">
      <c r="E33" s="10"/>
      <c r="F33" s="10"/>
      <c r="G33" s="10"/>
      <c r="H33" s="14" t="s">
        <v>242</v>
      </c>
      <c r="I33" s="9" t="str">
        <f>IF(OR(H31="",H35=""),"",+IF(H31&gt;H35,G31,G35))</f>
        <v/>
      </c>
      <c r="J33" s="11"/>
      <c r="K33" s="10"/>
      <c r="L33" s="10"/>
      <c r="M33" s="10"/>
      <c r="N33" s="14"/>
      <c r="O33" s="10"/>
      <c r="P33" s="14"/>
      <c r="Q33" s="10"/>
      <c r="T33">
        <v>29</v>
      </c>
      <c r="U33" s="28" t="s">
        <v>90</v>
      </c>
      <c r="V33" t="s">
        <v>77</v>
      </c>
      <c r="W33" s="29">
        <f>E94</f>
        <v>0</v>
      </c>
      <c r="Z33" s="34"/>
      <c r="AA33" s="40"/>
      <c r="AB33" s="40"/>
      <c r="AC33" s="38" t="s">
        <v>159</v>
      </c>
      <c r="AD33" s="48"/>
      <c r="AE33" s="53" t="e">
        <f t="shared" si="4"/>
        <v>#N/A</v>
      </c>
      <c r="AF33" s="37" t="s">
        <v>157</v>
      </c>
      <c r="AG33" s="65" t="e">
        <f t="shared" si="5"/>
        <v>#N/A</v>
      </c>
    </row>
    <row r="34" spans="4:33" ht="13" thickBot="1">
      <c r="D34">
        <v>13</v>
      </c>
      <c r="E34" s="10"/>
      <c r="F34" s="11"/>
      <c r="G34" s="10"/>
      <c r="H34" s="14"/>
      <c r="I34" s="10"/>
      <c r="J34" s="13"/>
      <c r="K34" s="10"/>
      <c r="L34" s="10"/>
      <c r="M34" s="10"/>
      <c r="N34" s="14"/>
      <c r="O34" s="10"/>
      <c r="P34" s="14"/>
      <c r="Q34" s="10"/>
      <c r="T34">
        <v>30</v>
      </c>
      <c r="U34" s="28">
        <f>E96</f>
        <v>0</v>
      </c>
      <c r="V34" t="s">
        <v>77</v>
      </c>
      <c r="W34" s="29" t="s">
        <v>91</v>
      </c>
      <c r="Z34" s="34"/>
      <c r="AA34" s="40"/>
      <c r="AB34" s="40"/>
      <c r="AC34" s="38" t="s">
        <v>159</v>
      </c>
      <c r="AD34" s="48"/>
      <c r="AE34" s="53" t="e">
        <f t="shared" si="4"/>
        <v>#N/A</v>
      </c>
      <c r="AF34" s="37" t="s">
        <v>157</v>
      </c>
      <c r="AG34" s="65" t="e">
        <f t="shared" si="5"/>
        <v>#N/A</v>
      </c>
    </row>
    <row r="35" spans="4:33" ht="13" thickBot="1">
      <c r="E35" s="12"/>
      <c r="F35" s="13" t="s">
        <v>208</v>
      </c>
      <c r="G35" s="9" t="str">
        <f>IF(OR(F34="",F36=""),"",+IF(F34&gt;F36,E34,E36))</f>
        <v/>
      </c>
      <c r="H35" s="16"/>
      <c r="I35" s="10"/>
      <c r="J35" s="14"/>
      <c r="K35" s="10"/>
      <c r="L35" s="10"/>
      <c r="M35" s="10"/>
      <c r="N35" s="14"/>
      <c r="O35" s="10"/>
      <c r="P35" s="14"/>
      <c r="Q35" s="10"/>
      <c r="T35">
        <v>31</v>
      </c>
      <c r="U35" s="28" t="s">
        <v>92</v>
      </c>
      <c r="V35" t="s">
        <v>77</v>
      </c>
      <c r="W35" s="29">
        <f>E107</f>
        <v>0</v>
      </c>
      <c r="Z35" s="34"/>
      <c r="AA35" s="40"/>
      <c r="AB35" s="40"/>
      <c r="AC35" s="38" t="s">
        <v>159</v>
      </c>
      <c r="AD35" s="48"/>
      <c r="AE35" s="53" t="e">
        <f t="shared" si="4"/>
        <v>#N/A</v>
      </c>
      <c r="AF35" s="37" t="s">
        <v>157</v>
      </c>
      <c r="AG35" s="65" t="e">
        <f t="shared" si="5"/>
        <v>#N/A</v>
      </c>
    </row>
    <row r="36" spans="4:33" ht="13" thickBot="1">
      <c r="D36">
        <v>14</v>
      </c>
      <c r="E36" s="10"/>
      <c r="F36" s="16"/>
      <c r="G36" s="10"/>
      <c r="H36" s="10"/>
      <c r="I36" s="10"/>
      <c r="J36" s="14"/>
      <c r="K36" s="10"/>
      <c r="L36" s="10"/>
      <c r="M36" s="10"/>
      <c r="N36" s="14"/>
      <c r="O36" s="10"/>
      <c r="P36" s="14"/>
      <c r="Q36" s="10"/>
      <c r="T36">
        <v>32</v>
      </c>
      <c r="U36" s="28" t="s">
        <v>165</v>
      </c>
      <c r="V36" t="s">
        <v>77</v>
      </c>
      <c r="W36" s="29" t="s">
        <v>94</v>
      </c>
      <c r="Z36" s="34"/>
      <c r="AA36" s="40"/>
      <c r="AB36" s="40"/>
      <c r="AC36" s="38" t="s">
        <v>159</v>
      </c>
      <c r="AD36" s="48"/>
      <c r="AE36" s="53" t="e">
        <f t="shared" si="4"/>
        <v>#N/A</v>
      </c>
      <c r="AF36" s="37" t="s">
        <v>157</v>
      </c>
      <c r="AG36" s="65" t="e">
        <f t="shared" si="5"/>
        <v>#N/A</v>
      </c>
    </row>
    <row r="37" spans="4:33" ht="13" thickBot="1">
      <c r="E37" s="12"/>
      <c r="F37" s="10"/>
      <c r="G37" s="10"/>
      <c r="H37" s="10"/>
      <c r="I37" s="10"/>
      <c r="J37" s="14" t="s">
        <v>216</v>
      </c>
      <c r="K37" s="9" t="str">
        <f>IF(OR(J33="",J41=""),"",+IF(J33&gt;J41,I33,I41))</f>
        <v/>
      </c>
      <c r="L37" s="17"/>
      <c r="M37" s="10"/>
      <c r="N37" s="14"/>
      <c r="O37" s="10"/>
      <c r="P37" s="14"/>
      <c r="Q37" s="10"/>
      <c r="T37">
        <v>33</v>
      </c>
      <c r="U37" s="28" t="s">
        <v>95</v>
      </c>
      <c r="V37" t="s">
        <v>77</v>
      </c>
      <c r="W37" s="29" t="s">
        <v>96</v>
      </c>
      <c r="Z37" s="34"/>
      <c r="AA37" s="40"/>
      <c r="AB37" s="40"/>
      <c r="AC37" s="38" t="s">
        <v>159</v>
      </c>
      <c r="AD37" s="48"/>
      <c r="AE37" s="53" t="e">
        <f t="shared" si="4"/>
        <v>#N/A</v>
      </c>
      <c r="AF37" s="37" t="s">
        <v>157</v>
      </c>
      <c r="AG37" s="65" t="e">
        <f t="shared" si="5"/>
        <v>#N/A</v>
      </c>
    </row>
    <row r="38" spans="4:33" ht="13" thickBot="1">
      <c r="D38">
        <v>15</v>
      </c>
      <c r="E38" s="10"/>
      <c r="F38" s="11"/>
      <c r="G38" s="10"/>
      <c r="H38" s="10"/>
      <c r="I38" s="10"/>
      <c r="J38" s="14"/>
      <c r="K38" s="10"/>
      <c r="L38" s="13"/>
      <c r="M38" s="10"/>
      <c r="N38" s="14"/>
      <c r="O38" s="10"/>
      <c r="P38" s="14"/>
      <c r="Q38" s="10"/>
      <c r="T38">
        <v>34</v>
      </c>
      <c r="U38" s="28" t="s">
        <v>97</v>
      </c>
      <c r="V38" t="s">
        <v>77</v>
      </c>
      <c r="W38" s="29" t="s">
        <v>98</v>
      </c>
      <c r="Z38" s="34"/>
      <c r="AA38" s="40"/>
      <c r="AB38" s="40"/>
      <c r="AC38" s="38" t="s">
        <v>159</v>
      </c>
      <c r="AD38" s="48"/>
      <c r="AE38" s="53" t="e">
        <f t="shared" si="4"/>
        <v>#N/A</v>
      </c>
      <c r="AF38" s="37" t="s">
        <v>157</v>
      </c>
      <c r="AG38" s="65" t="e">
        <f t="shared" si="5"/>
        <v>#N/A</v>
      </c>
    </row>
    <row r="39" spans="4:33" ht="13" thickBot="1">
      <c r="E39" s="12"/>
      <c r="F39" s="13" t="s">
        <v>210</v>
      </c>
      <c r="G39" s="9" t="str">
        <f>IF(OR(F38="",F40=""),"",+IF(F38&gt;F40,E38,E40))</f>
        <v/>
      </c>
      <c r="H39" s="11"/>
      <c r="I39" s="10"/>
      <c r="J39" s="14"/>
      <c r="K39" s="10"/>
      <c r="L39" s="14"/>
      <c r="M39" s="10"/>
      <c r="N39" s="14"/>
      <c r="O39" s="10"/>
      <c r="P39" s="14"/>
      <c r="Q39" s="10"/>
      <c r="T39">
        <v>35</v>
      </c>
      <c r="U39" s="28" t="s">
        <v>99</v>
      </c>
      <c r="V39" t="s">
        <v>77</v>
      </c>
      <c r="W39" s="29" t="s">
        <v>100</v>
      </c>
      <c r="Z39" s="34"/>
      <c r="AA39" s="40"/>
      <c r="AB39" s="40"/>
      <c r="AC39" s="38" t="s">
        <v>159</v>
      </c>
      <c r="AD39" s="48"/>
      <c r="AE39" s="53" t="e">
        <f t="shared" si="4"/>
        <v>#N/A</v>
      </c>
      <c r="AF39" s="37" t="s">
        <v>157</v>
      </c>
      <c r="AG39" s="65" t="e">
        <f t="shared" si="5"/>
        <v>#N/A</v>
      </c>
    </row>
    <row r="40" spans="4:33" ht="13" thickBot="1">
      <c r="D40">
        <v>16</v>
      </c>
      <c r="E40" s="9"/>
      <c r="F40" s="16"/>
      <c r="G40" s="10"/>
      <c r="H40" s="13"/>
      <c r="I40" s="10"/>
      <c r="J40" s="14"/>
      <c r="K40" s="10"/>
      <c r="L40" s="14"/>
      <c r="M40" s="10"/>
      <c r="N40" s="14"/>
      <c r="O40" s="10"/>
      <c r="P40" s="14"/>
      <c r="Q40" s="10"/>
      <c r="T40">
        <v>36</v>
      </c>
      <c r="U40" s="28" t="s">
        <v>101</v>
      </c>
      <c r="V40" t="s">
        <v>77</v>
      </c>
      <c r="W40" s="29" t="s">
        <v>102</v>
      </c>
      <c r="Z40" s="34"/>
      <c r="AA40" s="40"/>
      <c r="AB40" s="40"/>
      <c r="AC40" s="38" t="s">
        <v>159</v>
      </c>
      <c r="AD40" s="48"/>
      <c r="AE40" s="53" t="e">
        <f t="shared" si="4"/>
        <v>#N/A</v>
      </c>
      <c r="AF40" s="37" t="s">
        <v>157</v>
      </c>
      <c r="AG40" s="65" t="e">
        <f t="shared" si="5"/>
        <v>#N/A</v>
      </c>
    </row>
    <row r="41" spans="4:33" ht="13" thickBot="1">
      <c r="E41" s="10"/>
      <c r="F41" s="10"/>
      <c r="G41" s="10"/>
      <c r="H41" s="14" t="s">
        <v>244</v>
      </c>
      <c r="I41" s="9" t="str">
        <f>IF(OR(H39="",H42=""),"",+IF(H39&gt;H42,G39,E42))</f>
        <v/>
      </c>
      <c r="J41" s="16"/>
      <c r="K41" s="10"/>
      <c r="L41" s="14"/>
      <c r="M41" s="10"/>
      <c r="N41" s="14"/>
      <c r="O41" s="10"/>
      <c r="P41" s="14"/>
      <c r="Q41" s="10"/>
      <c r="T41">
        <v>37</v>
      </c>
      <c r="U41" s="28" t="s">
        <v>103</v>
      </c>
      <c r="V41" t="s">
        <v>77</v>
      </c>
      <c r="W41" s="29" t="s">
        <v>104</v>
      </c>
      <c r="Z41" s="34"/>
      <c r="AA41" s="40"/>
      <c r="AB41" s="40"/>
      <c r="AC41" s="38" t="s">
        <v>159</v>
      </c>
      <c r="AD41" s="48"/>
      <c r="AE41" s="53" t="e">
        <f t="shared" si="4"/>
        <v>#N/A</v>
      </c>
      <c r="AF41" s="37" t="s">
        <v>157</v>
      </c>
      <c r="AG41" s="65" t="e">
        <f t="shared" si="5"/>
        <v>#N/A</v>
      </c>
    </row>
    <row r="42" spans="4:33" ht="13" thickBot="1">
      <c r="D42">
        <v>17</v>
      </c>
      <c r="E42" s="9"/>
      <c r="F42" s="9"/>
      <c r="G42" s="9">
        <f>E42</f>
        <v>0</v>
      </c>
      <c r="H42" s="16"/>
      <c r="I42" s="10"/>
      <c r="J42" s="10"/>
      <c r="K42" s="10"/>
      <c r="L42" s="14"/>
      <c r="M42" s="10"/>
      <c r="N42" s="14"/>
      <c r="O42" s="10"/>
      <c r="P42" s="14"/>
      <c r="Q42" s="10"/>
      <c r="T42">
        <v>38</v>
      </c>
      <c r="U42" s="28" t="s">
        <v>105</v>
      </c>
      <c r="V42" t="s">
        <v>77</v>
      </c>
      <c r="W42" s="29" t="s">
        <v>106</v>
      </c>
      <c r="Z42" s="42"/>
      <c r="AA42" s="43"/>
      <c r="AB42" s="43"/>
      <c r="AC42" s="43"/>
      <c r="AD42" s="61"/>
      <c r="AE42" s="62"/>
      <c r="AF42" s="63"/>
      <c r="AG42" s="60"/>
    </row>
    <row r="43" spans="4:33">
      <c r="E43" s="10"/>
      <c r="F43" s="10"/>
      <c r="G43" s="10"/>
      <c r="H43" s="10"/>
      <c r="I43" s="10"/>
      <c r="J43" s="10"/>
      <c r="K43" s="10"/>
      <c r="L43" s="14"/>
      <c r="M43" s="10"/>
      <c r="N43" s="14"/>
      <c r="O43" s="10"/>
      <c r="P43" s="14"/>
      <c r="Q43" s="10"/>
      <c r="T43">
        <v>39</v>
      </c>
      <c r="U43" s="28" t="s">
        <v>107</v>
      </c>
      <c r="V43" t="s">
        <v>77</v>
      </c>
      <c r="W43" s="29" t="s">
        <v>108</v>
      </c>
    </row>
    <row r="44" spans="4:33" ht="13" thickBot="1">
      <c r="D44">
        <v>18</v>
      </c>
      <c r="E44" s="10"/>
      <c r="F44" s="9"/>
      <c r="G44" s="9">
        <f>E44</f>
        <v>0</v>
      </c>
      <c r="H44" s="11"/>
      <c r="I44" s="10"/>
      <c r="J44" s="10"/>
      <c r="K44" s="10"/>
      <c r="L44" s="14" t="s">
        <v>243</v>
      </c>
      <c r="M44" s="9" t="str">
        <f>IF(OR(L37="",L50=""),"",+IF(L37&gt;L50,K37,K50))</f>
        <v/>
      </c>
      <c r="N44" s="16"/>
      <c r="O44" s="10"/>
      <c r="P44" s="14"/>
      <c r="Q44" s="10"/>
      <c r="T44">
        <v>40</v>
      </c>
      <c r="U44" s="28" t="s">
        <v>109</v>
      </c>
      <c r="V44" t="s">
        <v>77</v>
      </c>
      <c r="W44" s="29" t="s">
        <v>110</v>
      </c>
    </row>
    <row r="45" spans="4:33">
      <c r="E45" s="12"/>
      <c r="F45" s="10"/>
      <c r="G45" s="10"/>
      <c r="H45" s="13"/>
      <c r="I45" s="10"/>
      <c r="J45" s="10"/>
      <c r="K45" s="10"/>
      <c r="L45" s="14"/>
      <c r="M45" s="10"/>
      <c r="N45" s="10"/>
      <c r="O45" s="10"/>
      <c r="P45" s="14"/>
      <c r="Q45" s="10"/>
      <c r="T45">
        <v>41</v>
      </c>
      <c r="U45" s="28" t="s">
        <v>111</v>
      </c>
      <c r="V45" t="s">
        <v>77</v>
      </c>
      <c r="W45" s="29" t="s">
        <v>112</v>
      </c>
    </row>
    <row r="46" spans="4:33" ht="13" thickBot="1">
      <c r="E46" s="10"/>
      <c r="F46" s="10"/>
      <c r="G46" s="10"/>
      <c r="H46" s="14" t="s">
        <v>246</v>
      </c>
      <c r="I46" s="9" t="str">
        <f>IF(OR(H44="",H48=""),"",+IF(H44&gt;H48,G44,G48))</f>
        <v/>
      </c>
      <c r="J46" s="11"/>
      <c r="K46" s="10"/>
      <c r="L46" s="14"/>
      <c r="M46" s="10"/>
      <c r="N46" s="10"/>
      <c r="O46" s="10"/>
      <c r="P46" s="14"/>
      <c r="Q46" s="10"/>
      <c r="T46">
        <v>42</v>
      </c>
      <c r="U46" s="28" t="s">
        <v>113</v>
      </c>
      <c r="V46" t="s">
        <v>77</v>
      </c>
      <c r="W46" s="29" t="s">
        <v>114</v>
      </c>
    </row>
    <row r="47" spans="4:33" ht="13" thickBot="1">
      <c r="D47">
        <v>19</v>
      </c>
      <c r="E47" s="10"/>
      <c r="F47" s="11"/>
      <c r="G47" s="10"/>
      <c r="H47" s="14"/>
      <c r="I47" s="10"/>
      <c r="J47" s="13"/>
      <c r="K47" s="10"/>
      <c r="L47" s="14"/>
      <c r="M47" s="10"/>
      <c r="N47" s="10"/>
      <c r="O47" s="10"/>
      <c r="P47" s="14"/>
      <c r="Q47" s="10"/>
      <c r="T47">
        <v>43</v>
      </c>
      <c r="U47" s="28" t="s">
        <v>115</v>
      </c>
      <c r="V47" t="s">
        <v>77</v>
      </c>
      <c r="W47" s="29" t="s">
        <v>116</v>
      </c>
    </row>
    <row r="48" spans="4:33" ht="13" thickBot="1">
      <c r="E48" s="12"/>
      <c r="F48" s="13" t="s">
        <v>212</v>
      </c>
      <c r="G48" s="9" t="str">
        <f>IF(OR(F47="",F49=""),"",+IF(F47&gt;F49,E47,E49))</f>
        <v/>
      </c>
      <c r="H48" s="16"/>
      <c r="I48" s="10"/>
      <c r="J48" s="14"/>
      <c r="K48" s="10"/>
      <c r="L48" s="14"/>
      <c r="M48" s="10"/>
      <c r="N48" s="10"/>
      <c r="O48" s="10"/>
      <c r="P48" s="14"/>
      <c r="Q48" s="10"/>
      <c r="T48">
        <v>44</v>
      </c>
      <c r="U48" s="28" t="s">
        <v>117</v>
      </c>
      <c r="V48" t="s">
        <v>77</v>
      </c>
      <c r="W48" s="29" t="s">
        <v>118</v>
      </c>
    </row>
    <row r="49" spans="4:23" ht="13" thickBot="1">
      <c r="D49">
        <v>20</v>
      </c>
      <c r="E49" s="10"/>
      <c r="F49" s="16"/>
      <c r="G49" s="10"/>
      <c r="H49" s="10"/>
      <c r="I49" s="10"/>
      <c r="J49" s="14"/>
      <c r="K49" s="10"/>
      <c r="L49" s="14"/>
      <c r="M49" s="10"/>
      <c r="N49" s="10"/>
      <c r="O49" s="10"/>
      <c r="P49" s="14"/>
      <c r="Q49" s="10"/>
      <c r="T49">
        <v>45</v>
      </c>
      <c r="U49" s="28" t="s">
        <v>119</v>
      </c>
      <c r="V49" t="s">
        <v>77</v>
      </c>
      <c r="W49" s="29" t="s">
        <v>120</v>
      </c>
    </row>
    <row r="50" spans="4:23" ht="13" thickBot="1">
      <c r="E50" s="12"/>
      <c r="F50" s="10"/>
      <c r="G50" s="10"/>
      <c r="H50" s="10"/>
      <c r="I50" s="10"/>
      <c r="J50" s="14" t="s">
        <v>220</v>
      </c>
      <c r="K50" s="9" t="str">
        <f>IF(OR(J46="",J54=""),"",+IF(J46&gt;J54,I46,I54))</f>
        <v/>
      </c>
      <c r="L50" s="16"/>
      <c r="M50" s="10"/>
      <c r="N50" s="10"/>
      <c r="O50" s="10"/>
      <c r="P50" s="14"/>
      <c r="Q50" s="10"/>
      <c r="T50">
        <v>46</v>
      </c>
      <c r="U50" s="28" t="s">
        <v>121</v>
      </c>
      <c r="V50" t="s">
        <v>77</v>
      </c>
      <c r="W50" s="29" t="s">
        <v>122</v>
      </c>
    </row>
    <row r="51" spans="4:23" ht="13" thickBot="1">
      <c r="D51">
        <v>21</v>
      </c>
      <c r="E51" s="10"/>
      <c r="F51" s="11"/>
      <c r="G51" s="10"/>
      <c r="H51" s="10"/>
      <c r="I51" s="10"/>
      <c r="J51" s="14"/>
      <c r="K51" s="10"/>
      <c r="L51" s="10"/>
      <c r="M51" s="10"/>
      <c r="N51" s="10"/>
      <c r="O51" s="10"/>
      <c r="P51" s="14"/>
      <c r="Q51" s="10"/>
    </row>
    <row r="52" spans="4:23" ht="13" thickBot="1">
      <c r="E52" s="12"/>
      <c r="F52" s="13" t="s">
        <v>214</v>
      </c>
      <c r="G52" s="9" t="str">
        <f>IF(OR(F51="",F53=""),"",+IF(F51&gt;F53,E51,E53))</f>
        <v/>
      </c>
      <c r="H52" s="11"/>
      <c r="I52" s="10"/>
      <c r="J52" s="14"/>
      <c r="K52" s="10"/>
      <c r="L52" s="10"/>
      <c r="M52" s="10"/>
      <c r="N52" s="10"/>
      <c r="O52" s="10"/>
      <c r="P52" s="14"/>
      <c r="Q52" s="10"/>
    </row>
    <row r="53" spans="4:23" ht="13" thickBot="1">
      <c r="D53">
        <v>22</v>
      </c>
      <c r="E53" s="9"/>
      <c r="F53" s="16"/>
      <c r="G53" s="10"/>
      <c r="H53" s="13"/>
      <c r="I53" s="10"/>
      <c r="J53" s="14"/>
      <c r="K53" s="10"/>
      <c r="L53" s="10"/>
      <c r="M53" s="10"/>
      <c r="N53" s="10"/>
      <c r="O53" s="10"/>
      <c r="P53" s="14"/>
      <c r="Q53" s="10"/>
    </row>
    <row r="54" spans="4:23" ht="13" thickBot="1">
      <c r="E54" s="10"/>
      <c r="F54" s="10"/>
      <c r="G54" s="10"/>
      <c r="H54" s="14" t="s">
        <v>248</v>
      </c>
      <c r="I54" s="9" t="str">
        <f>IF(OR(H52="",H55=""),"",+IF(H52&gt;H55,G52,E55))</f>
        <v/>
      </c>
      <c r="J54" s="16"/>
      <c r="K54" s="10"/>
      <c r="L54" s="10"/>
      <c r="M54" s="10"/>
      <c r="N54" s="10"/>
      <c r="O54" s="10"/>
      <c r="P54" s="14"/>
      <c r="Q54" s="10"/>
    </row>
    <row r="55" spans="4:23" ht="13" thickBot="1">
      <c r="D55">
        <v>23</v>
      </c>
      <c r="E55" s="9"/>
      <c r="F55" s="9"/>
      <c r="G55" s="9">
        <f>E55</f>
        <v>0</v>
      </c>
      <c r="H55" s="16"/>
      <c r="I55" s="10"/>
      <c r="J55" s="10"/>
      <c r="K55" s="10"/>
      <c r="L55" s="10"/>
      <c r="M55" s="10"/>
      <c r="N55" s="10"/>
      <c r="O55" s="10"/>
      <c r="P55" s="14"/>
      <c r="Q55" s="10"/>
    </row>
    <row r="56" spans="4:23" ht="13" thickBot="1"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4" t="s">
        <v>203</v>
      </c>
      <c r="Q56" s="9" t="str">
        <f>IF(OR(P30="",O83=""),"",+IF(P30&gt;P83,O30,O83))</f>
        <v/>
      </c>
    </row>
    <row r="57" spans="4:23" ht="13" thickBot="1">
      <c r="D57">
        <v>24</v>
      </c>
      <c r="E57" s="10"/>
      <c r="F57" s="9"/>
      <c r="G57" s="9">
        <f>E57</f>
        <v>0</v>
      </c>
      <c r="H57" s="11"/>
      <c r="I57" s="10"/>
      <c r="J57" s="10"/>
      <c r="K57" s="10"/>
      <c r="L57" s="10"/>
      <c r="M57" s="10"/>
      <c r="N57" s="10"/>
      <c r="O57" s="10"/>
      <c r="P57" s="14"/>
      <c r="Q57" s="10"/>
    </row>
    <row r="58" spans="4:23">
      <c r="E58" s="12"/>
      <c r="F58" s="10"/>
      <c r="G58" s="10"/>
      <c r="H58" s="13"/>
      <c r="I58" s="10"/>
      <c r="J58" s="10"/>
      <c r="K58" s="10"/>
      <c r="L58" s="10"/>
      <c r="M58" s="10"/>
      <c r="N58" s="10"/>
      <c r="O58" s="10"/>
      <c r="P58" s="14"/>
      <c r="Q58" s="10"/>
    </row>
    <row r="59" spans="4:23" ht="13" thickBot="1">
      <c r="E59" s="10"/>
      <c r="F59" s="10"/>
      <c r="G59" s="10"/>
      <c r="H59" s="14" t="s">
        <v>250</v>
      </c>
      <c r="I59" s="9" t="str">
        <f>IF(OR(H57="",H61=""),"",+IF(H57&gt;H61,G57,G61))</f>
        <v/>
      </c>
      <c r="J59" s="11"/>
      <c r="K59" s="10"/>
      <c r="L59" s="10"/>
      <c r="M59" s="10"/>
      <c r="N59" s="10"/>
      <c r="O59" s="10"/>
      <c r="P59" s="14"/>
      <c r="Q59" s="10"/>
    </row>
    <row r="60" spans="4:23" ht="13" thickBot="1">
      <c r="D60">
        <v>25</v>
      </c>
      <c r="E60" s="10"/>
      <c r="F60" s="11"/>
      <c r="G60" s="10"/>
      <c r="H60" s="14"/>
      <c r="I60" s="10"/>
      <c r="J60" s="13"/>
      <c r="K60" s="10"/>
      <c r="L60" s="10"/>
      <c r="M60" s="10"/>
      <c r="N60" s="10"/>
      <c r="O60" s="10"/>
      <c r="P60" s="14"/>
      <c r="Q60" s="10"/>
    </row>
    <row r="61" spans="4:23" ht="13" thickBot="1">
      <c r="E61" s="12"/>
      <c r="F61" s="13" t="s">
        <v>217</v>
      </c>
      <c r="G61" s="9" t="str">
        <f>IF(OR(F60="",F62=""),"",+IF(F60&gt;F62,E60,E62))</f>
        <v/>
      </c>
      <c r="H61" s="16"/>
      <c r="I61" s="10"/>
      <c r="J61" s="14"/>
      <c r="K61" s="10"/>
      <c r="L61" s="10"/>
      <c r="M61" s="10"/>
      <c r="N61" s="10"/>
      <c r="O61" s="10"/>
      <c r="P61" s="14"/>
      <c r="Q61" s="10"/>
    </row>
    <row r="62" spans="4:23" ht="13" thickBot="1">
      <c r="D62">
        <v>26</v>
      </c>
      <c r="E62" s="10"/>
      <c r="F62" s="16"/>
      <c r="G62" s="10"/>
      <c r="H62" s="10"/>
      <c r="I62" s="10"/>
      <c r="J62" s="14"/>
      <c r="K62" s="10"/>
      <c r="L62" s="10"/>
      <c r="M62" s="10"/>
      <c r="N62" s="10"/>
      <c r="O62" s="10"/>
      <c r="P62" s="14"/>
      <c r="Q62" s="10"/>
    </row>
    <row r="63" spans="4:23" ht="13" thickBot="1">
      <c r="E63" s="12"/>
      <c r="F63" s="10"/>
      <c r="G63" s="10"/>
      <c r="H63" s="10"/>
      <c r="I63" s="10"/>
      <c r="J63" s="14" t="s">
        <v>224</v>
      </c>
      <c r="K63" s="9" t="str">
        <f>IF(OR(J59="",J67=""),"",+IF(J59&gt;J67,I59,I67))</f>
        <v/>
      </c>
      <c r="L63" s="17"/>
      <c r="M63" s="10"/>
      <c r="N63" s="10"/>
      <c r="O63" s="10"/>
      <c r="P63" s="14"/>
      <c r="Q63" s="10"/>
    </row>
    <row r="64" spans="4:23" ht="13" thickBot="1">
      <c r="D64">
        <v>27</v>
      </c>
      <c r="E64" s="10"/>
      <c r="F64" s="11"/>
      <c r="G64" s="10"/>
      <c r="H64" s="10"/>
      <c r="I64" s="10"/>
      <c r="J64" s="14"/>
      <c r="K64" s="10"/>
      <c r="L64" s="13"/>
      <c r="M64" s="10"/>
      <c r="N64" s="10"/>
      <c r="O64" s="10"/>
      <c r="P64" s="14"/>
      <c r="Q64" s="10"/>
    </row>
    <row r="65" spans="4:17" ht="13" thickBot="1">
      <c r="E65" s="12"/>
      <c r="F65" s="13" t="s">
        <v>219</v>
      </c>
      <c r="G65" s="9" t="str">
        <f>IF(OR(F64="",F66=""),"",+IF(F64&gt;F66,E64,E66))</f>
        <v/>
      </c>
      <c r="H65" s="11"/>
      <c r="I65" s="10"/>
      <c r="J65" s="14"/>
      <c r="K65" s="10"/>
      <c r="L65" s="14"/>
      <c r="M65" s="10"/>
      <c r="N65" s="10"/>
      <c r="O65" s="10"/>
      <c r="P65" s="14"/>
      <c r="Q65" s="10"/>
    </row>
    <row r="66" spans="4:17" ht="13" thickBot="1">
      <c r="D66">
        <v>28</v>
      </c>
      <c r="E66" s="9"/>
      <c r="F66" s="16"/>
      <c r="G66" s="10"/>
      <c r="H66" s="13"/>
      <c r="I66" s="10"/>
      <c r="J66" s="14"/>
      <c r="K66" s="10"/>
      <c r="L66" s="14"/>
      <c r="M66" s="10"/>
      <c r="N66" s="10"/>
      <c r="O66" s="10"/>
      <c r="P66" s="14"/>
      <c r="Q66" s="10"/>
    </row>
    <row r="67" spans="4:17" ht="13" thickBot="1">
      <c r="E67" s="10"/>
      <c r="F67" s="10"/>
      <c r="G67" s="10"/>
      <c r="H67" s="14" t="s">
        <v>252</v>
      </c>
      <c r="I67" s="9" t="str">
        <f>IF(OR(H65="",H68=""),"",+IF(H65&gt;H68,G65,E68))</f>
        <v/>
      </c>
      <c r="J67" s="16"/>
      <c r="K67" s="10"/>
      <c r="L67" s="14"/>
      <c r="M67" s="10"/>
      <c r="N67" s="10"/>
      <c r="O67" s="10"/>
      <c r="P67" s="14"/>
      <c r="Q67" s="10"/>
    </row>
    <row r="68" spans="4:17" ht="13" thickBot="1">
      <c r="D68">
        <v>29</v>
      </c>
      <c r="E68" s="9"/>
      <c r="F68" s="9"/>
      <c r="G68" s="9">
        <f>E68</f>
        <v>0</v>
      </c>
      <c r="H68" s="16"/>
      <c r="I68" s="10"/>
      <c r="J68" s="10"/>
      <c r="K68" s="10"/>
      <c r="L68" s="14"/>
      <c r="M68" s="10"/>
      <c r="N68" s="10"/>
      <c r="O68" s="10"/>
      <c r="P68" s="14"/>
      <c r="Q68" s="10"/>
    </row>
    <row r="69" spans="4:17">
      <c r="E69" s="10"/>
      <c r="F69" s="10"/>
      <c r="G69" s="10"/>
      <c r="H69" s="10"/>
      <c r="I69" s="10"/>
      <c r="J69" s="10"/>
      <c r="K69" s="10"/>
      <c r="L69" s="14"/>
      <c r="M69" s="10"/>
      <c r="N69" s="10"/>
      <c r="O69" s="10"/>
      <c r="P69" s="14"/>
      <c r="Q69" s="10"/>
    </row>
    <row r="70" spans="4:17" ht="13" thickBot="1">
      <c r="D70">
        <v>30</v>
      </c>
      <c r="E70" s="10"/>
      <c r="F70" s="9"/>
      <c r="G70" s="9">
        <f>E70</f>
        <v>0</v>
      </c>
      <c r="H70" s="11"/>
      <c r="I70" s="10"/>
      <c r="J70" s="10"/>
      <c r="K70" s="10"/>
      <c r="L70" s="14" t="s">
        <v>247</v>
      </c>
      <c r="M70" s="9" t="str">
        <f>IF(OR(L63="",L76=""),"",+IF(L63&gt;L76,K63,K76))</f>
        <v/>
      </c>
      <c r="N70" s="17"/>
      <c r="O70" s="10"/>
      <c r="P70" s="14"/>
      <c r="Q70" s="10"/>
    </row>
    <row r="71" spans="4:17">
      <c r="E71" s="12"/>
      <c r="F71" s="10"/>
      <c r="G71" s="10"/>
      <c r="H71" s="13"/>
      <c r="I71" s="10"/>
      <c r="J71" s="10"/>
      <c r="K71" s="10"/>
      <c r="L71" s="14"/>
      <c r="M71" s="10"/>
      <c r="N71" s="13"/>
      <c r="O71" s="10"/>
      <c r="P71" s="14"/>
      <c r="Q71" s="10"/>
    </row>
    <row r="72" spans="4:17" ht="13" thickBot="1">
      <c r="E72" s="10"/>
      <c r="F72" s="10"/>
      <c r="G72" s="10"/>
      <c r="H72" s="14" t="s">
        <v>254</v>
      </c>
      <c r="I72" s="9" t="str">
        <f>IF(OR(H70="",H74=""),"",+IF(H70&gt;H74,G70,G74))</f>
        <v/>
      </c>
      <c r="J72" s="11"/>
      <c r="K72" s="10"/>
      <c r="L72" s="14"/>
      <c r="M72" s="10"/>
      <c r="N72" s="14"/>
      <c r="O72" s="10"/>
      <c r="P72" s="14"/>
      <c r="Q72" s="10"/>
    </row>
    <row r="73" spans="4:17" ht="13" thickBot="1">
      <c r="D73">
        <v>31</v>
      </c>
      <c r="E73" s="10"/>
      <c r="F73" s="11"/>
      <c r="G73" s="10"/>
      <c r="H73" s="14"/>
      <c r="I73" s="10"/>
      <c r="J73" s="13"/>
      <c r="K73" s="10"/>
      <c r="L73" s="14"/>
      <c r="M73" s="10"/>
      <c r="N73" s="14"/>
      <c r="O73" s="10"/>
      <c r="P73" s="14"/>
      <c r="Q73" s="10"/>
    </row>
    <row r="74" spans="4:17" ht="13" thickBot="1">
      <c r="E74" s="12"/>
      <c r="F74" s="13" t="s">
        <v>221</v>
      </c>
      <c r="G74" s="9" t="str">
        <f>IF(OR(F73="",F75=""),"",+IF(F73&gt;F75,E73,E75))</f>
        <v/>
      </c>
      <c r="H74" s="16"/>
      <c r="I74" s="10"/>
      <c r="J74" s="14"/>
      <c r="K74" s="10"/>
      <c r="L74" s="14"/>
      <c r="M74" s="10"/>
      <c r="N74" s="14"/>
      <c r="O74" s="10"/>
      <c r="P74" s="14"/>
      <c r="Q74" s="10"/>
    </row>
    <row r="75" spans="4:17" ht="13" thickBot="1">
      <c r="D75">
        <v>32</v>
      </c>
      <c r="E75" s="10"/>
      <c r="F75" s="16"/>
      <c r="G75" s="10"/>
      <c r="H75" s="10"/>
      <c r="I75" s="10"/>
      <c r="J75" s="14"/>
      <c r="K75" s="10"/>
      <c r="L75" s="14"/>
      <c r="M75" s="10"/>
      <c r="N75" s="14"/>
      <c r="O75" s="10"/>
      <c r="P75" s="14"/>
      <c r="Q75" s="10"/>
    </row>
    <row r="76" spans="4:17" ht="13" thickBot="1">
      <c r="E76" s="12"/>
      <c r="F76" s="10"/>
      <c r="G76" s="10"/>
      <c r="H76" s="10"/>
      <c r="I76" s="10"/>
      <c r="J76" s="14" t="s">
        <v>228</v>
      </c>
      <c r="K76" s="9" t="str">
        <f>IF(OR(J72="",J80=""),"",+IF(J72&gt;J80,I72,I80))</f>
        <v/>
      </c>
      <c r="L76" s="16"/>
      <c r="M76" s="10"/>
      <c r="N76" s="14"/>
      <c r="O76" s="10"/>
      <c r="P76" s="14"/>
      <c r="Q76" s="10"/>
    </row>
    <row r="77" spans="4:17" ht="13" thickBot="1">
      <c r="D77">
        <v>33</v>
      </c>
      <c r="E77" s="10"/>
      <c r="F77" s="11"/>
      <c r="G77" s="10"/>
      <c r="H77" s="10"/>
      <c r="I77" s="10"/>
      <c r="J77" s="14"/>
      <c r="K77" s="10"/>
      <c r="L77" s="10"/>
      <c r="M77" s="10"/>
      <c r="N77" s="14"/>
      <c r="O77" s="10"/>
      <c r="P77" s="14"/>
      <c r="Q77" s="10"/>
    </row>
    <row r="78" spans="4:17" ht="13" thickBot="1">
      <c r="E78" s="12"/>
      <c r="F78" s="13" t="s">
        <v>223</v>
      </c>
      <c r="G78" s="9" t="str">
        <f>IF(OR(F77="",F79=""),"",+IF(F77&gt;F79,E77,E79))</f>
        <v/>
      </c>
      <c r="H78" s="11"/>
      <c r="I78" s="10"/>
      <c r="J78" s="14"/>
      <c r="K78" s="10"/>
      <c r="L78" s="10"/>
      <c r="M78" s="10"/>
      <c r="N78" s="14"/>
      <c r="O78" s="10"/>
      <c r="P78" s="14"/>
      <c r="Q78" s="10"/>
    </row>
    <row r="79" spans="4:17" ht="13" thickBot="1">
      <c r="D79">
        <v>34</v>
      </c>
      <c r="E79" s="9"/>
      <c r="F79" s="16"/>
      <c r="G79" s="10"/>
      <c r="H79" s="13"/>
      <c r="I79" s="10"/>
      <c r="J79" s="14"/>
      <c r="K79" s="10"/>
      <c r="L79" s="10"/>
      <c r="M79" s="10"/>
      <c r="N79" s="14"/>
      <c r="O79" s="10"/>
      <c r="P79" s="14"/>
      <c r="Q79" s="10"/>
    </row>
    <row r="80" spans="4:17" ht="13" thickBot="1">
      <c r="E80" s="10"/>
      <c r="F80" s="10"/>
      <c r="G80" s="10"/>
      <c r="H80" s="14" t="s">
        <v>256</v>
      </c>
      <c r="I80" s="9" t="str">
        <f>IF(OR(H78="",H81=""),"",+IF(H78&gt;H81,G78,E81))</f>
        <v/>
      </c>
      <c r="J80" s="16"/>
      <c r="K80" s="10"/>
      <c r="L80" s="10"/>
      <c r="M80" s="10"/>
      <c r="N80" s="14"/>
      <c r="O80" s="10"/>
      <c r="P80" s="14"/>
      <c r="Q80" s="10"/>
    </row>
    <row r="81" spans="4:17" ht="13" thickBot="1">
      <c r="D81">
        <v>35</v>
      </c>
      <c r="E81" s="9"/>
      <c r="F81" s="9"/>
      <c r="G81" s="9">
        <f>E81</f>
        <v>0</v>
      </c>
      <c r="H81" s="16"/>
      <c r="I81" s="10"/>
      <c r="J81" s="10"/>
      <c r="K81" s="10"/>
      <c r="L81" s="10"/>
      <c r="M81" s="10"/>
      <c r="N81" s="14"/>
      <c r="O81" s="10"/>
      <c r="P81" s="14"/>
      <c r="Q81" s="10"/>
    </row>
    <row r="82" spans="4:17">
      <c r="E82" s="10"/>
      <c r="F82" s="10"/>
      <c r="G82" s="10"/>
      <c r="H82" s="10"/>
      <c r="I82" s="10"/>
      <c r="J82" s="10"/>
      <c r="K82" s="10"/>
      <c r="L82" s="10"/>
      <c r="M82" s="10"/>
      <c r="N82" s="14"/>
      <c r="O82" s="10"/>
      <c r="P82" s="14"/>
      <c r="Q82" s="10"/>
    </row>
    <row r="83" spans="4:17" ht="13" thickBot="1">
      <c r="D83">
        <v>36</v>
      </c>
      <c r="E83" s="10"/>
      <c r="F83" s="9"/>
      <c r="G83" s="9">
        <f>E83</f>
        <v>0</v>
      </c>
      <c r="H83" s="11"/>
      <c r="I83" s="10"/>
      <c r="J83" s="10"/>
      <c r="K83" s="10"/>
      <c r="L83" s="10"/>
      <c r="M83" s="10"/>
      <c r="N83" s="14" t="s">
        <v>259</v>
      </c>
      <c r="O83" s="9" t="str">
        <f>IF(OR(N70="",N96=""),"",+IF(N70&gt;N96,M70,M96))</f>
        <v/>
      </c>
      <c r="P83" s="16"/>
      <c r="Q83" s="10"/>
    </row>
    <row r="84" spans="4:17">
      <c r="E84" s="12"/>
      <c r="F84" s="10"/>
      <c r="G84" s="10"/>
      <c r="H84" s="13"/>
      <c r="I84" s="10"/>
      <c r="J84" s="10"/>
      <c r="K84" s="10"/>
      <c r="L84" s="10"/>
      <c r="M84" s="10"/>
      <c r="N84" s="14"/>
      <c r="O84" s="10"/>
      <c r="P84" s="10"/>
      <c r="Q84" s="10"/>
    </row>
    <row r="85" spans="4:17" ht="13" thickBot="1">
      <c r="E85" s="10"/>
      <c r="F85" s="10"/>
      <c r="G85" s="10"/>
      <c r="H85" s="14" t="s">
        <v>258</v>
      </c>
      <c r="I85" s="9" t="str">
        <f>IF(OR(H83="",H87=""),"",+IF(H83&gt;H87,G83,G87))</f>
        <v/>
      </c>
      <c r="J85" s="11"/>
      <c r="K85" s="10"/>
      <c r="L85" s="10"/>
      <c r="M85" s="10"/>
      <c r="N85" s="14"/>
      <c r="O85" s="10"/>
      <c r="P85" s="10"/>
      <c r="Q85" s="10"/>
    </row>
    <row r="86" spans="4:17" ht="13" thickBot="1">
      <c r="D86">
        <v>37</v>
      </c>
      <c r="E86" s="10"/>
      <c r="F86" s="11"/>
      <c r="G86" s="10"/>
      <c r="H86" s="14"/>
      <c r="I86" s="10"/>
      <c r="J86" s="13"/>
      <c r="K86" s="10"/>
      <c r="L86" s="10"/>
      <c r="M86" s="10"/>
      <c r="N86" s="14"/>
      <c r="O86" s="10"/>
      <c r="P86" s="10"/>
      <c r="Q86" s="10"/>
    </row>
    <row r="87" spans="4:17" ht="13" thickBot="1">
      <c r="E87" s="12"/>
      <c r="F87" s="13" t="s">
        <v>225</v>
      </c>
      <c r="G87" s="9" t="str">
        <f>IF(OR(F86="",F88=""),"",+IF(F86&gt;F88,E86,E88))</f>
        <v/>
      </c>
      <c r="H87" s="16"/>
      <c r="I87" s="10"/>
      <c r="J87" s="14"/>
      <c r="K87" s="10"/>
      <c r="L87" s="10"/>
      <c r="M87" s="10"/>
      <c r="N87" s="14"/>
      <c r="O87" s="10"/>
      <c r="P87" s="10"/>
      <c r="Q87" s="10"/>
    </row>
    <row r="88" spans="4:17" ht="13" thickBot="1">
      <c r="D88">
        <v>38</v>
      </c>
      <c r="E88" s="10"/>
      <c r="F88" s="16"/>
      <c r="G88" s="10"/>
      <c r="H88" s="10"/>
      <c r="I88" s="10"/>
      <c r="J88" s="14"/>
      <c r="K88" s="10"/>
      <c r="L88" s="10"/>
      <c r="M88" s="10"/>
      <c r="N88" s="14"/>
      <c r="O88" s="10"/>
      <c r="P88" s="10"/>
      <c r="Q88" s="10"/>
    </row>
    <row r="89" spans="4:17" ht="13" thickBot="1">
      <c r="E89" s="12"/>
      <c r="F89" s="10"/>
      <c r="G89" s="10"/>
      <c r="H89" s="10"/>
      <c r="I89" s="10"/>
      <c r="J89" s="14" t="s">
        <v>231</v>
      </c>
      <c r="K89" s="9" t="str">
        <f>IF(OR(J85="",J93=""),"",+IF(J85&gt;J93,I85,I93))</f>
        <v/>
      </c>
      <c r="L89" s="17"/>
      <c r="M89" s="10"/>
      <c r="N89" s="14"/>
      <c r="O89" s="10"/>
      <c r="P89" s="10"/>
      <c r="Q89" s="10"/>
    </row>
    <row r="90" spans="4:17" ht="13" thickBot="1">
      <c r="D90">
        <v>39</v>
      </c>
      <c r="E90" s="10"/>
      <c r="F90" s="11"/>
      <c r="G90" s="10"/>
      <c r="H90" s="10"/>
      <c r="I90" s="10"/>
      <c r="J90" s="14"/>
      <c r="K90" s="10"/>
      <c r="L90" s="13"/>
      <c r="M90" s="10"/>
      <c r="N90" s="14"/>
      <c r="O90" s="10"/>
      <c r="P90" s="10"/>
      <c r="Q90" s="10"/>
    </row>
    <row r="91" spans="4:17" ht="13" thickBot="1">
      <c r="E91" s="12"/>
      <c r="F91" s="13" t="s">
        <v>227</v>
      </c>
      <c r="G91" s="9" t="str">
        <f>IF(OR(F90="",F92=""),"",+IF(F90&gt;F92,E90,E92))</f>
        <v/>
      </c>
      <c r="H91" s="11"/>
      <c r="I91" s="10"/>
      <c r="J91" s="14"/>
      <c r="K91" s="10"/>
      <c r="L91" s="14"/>
      <c r="M91" s="10"/>
      <c r="N91" s="14"/>
      <c r="O91" s="10"/>
      <c r="P91" s="10"/>
      <c r="Q91" s="10"/>
    </row>
    <row r="92" spans="4:17" ht="13" thickBot="1">
      <c r="D92">
        <v>40</v>
      </c>
      <c r="E92" s="9"/>
      <c r="F92" s="16"/>
      <c r="G92" s="10"/>
      <c r="H92" s="13"/>
      <c r="I92" s="10"/>
      <c r="J92" s="14"/>
      <c r="K92" s="10"/>
      <c r="L92" s="14"/>
      <c r="M92" s="10"/>
      <c r="N92" s="14"/>
      <c r="O92" s="10"/>
      <c r="P92" s="10"/>
      <c r="Q92" s="10"/>
    </row>
    <row r="93" spans="4:17" ht="13" thickBot="1">
      <c r="E93" s="10"/>
      <c r="F93" s="10"/>
      <c r="G93" s="10"/>
      <c r="H93" s="14" t="s">
        <v>260</v>
      </c>
      <c r="I93" s="9" t="str">
        <f>IF(OR(H91="",H94=""),"",+IF(H91&gt;H94,G91,E94))</f>
        <v/>
      </c>
      <c r="J93" s="16"/>
      <c r="K93" s="10"/>
      <c r="L93" s="14"/>
      <c r="M93" s="10"/>
      <c r="N93" s="14"/>
      <c r="O93" s="10"/>
      <c r="P93" s="10"/>
      <c r="Q93" s="10"/>
    </row>
    <row r="94" spans="4:17" ht="13" thickBot="1">
      <c r="D94">
        <v>41</v>
      </c>
      <c r="E94" s="9"/>
      <c r="F94" s="9"/>
      <c r="G94" s="9">
        <f>E94</f>
        <v>0</v>
      </c>
      <c r="H94" s="16"/>
      <c r="I94" s="10"/>
      <c r="J94" s="10"/>
      <c r="K94" s="10"/>
      <c r="L94" s="14"/>
      <c r="M94" s="10"/>
      <c r="N94" s="14"/>
      <c r="O94" s="10"/>
      <c r="P94" s="10"/>
      <c r="Q94" s="10"/>
    </row>
    <row r="95" spans="4:17">
      <c r="E95" s="10"/>
      <c r="F95" s="10"/>
      <c r="G95" s="10"/>
      <c r="H95" s="10"/>
      <c r="I95" s="10"/>
      <c r="J95" s="10"/>
      <c r="K95" s="10"/>
      <c r="L95" s="14"/>
      <c r="M95" s="10"/>
      <c r="N95" s="14"/>
      <c r="O95" s="10"/>
      <c r="P95" s="10"/>
      <c r="Q95" s="10"/>
    </row>
    <row r="96" spans="4:17" ht="13" thickBot="1">
      <c r="D96">
        <v>42</v>
      </c>
      <c r="E96" s="10"/>
      <c r="F96" s="9"/>
      <c r="G96" s="9">
        <f>E96</f>
        <v>0</v>
      </c>
      <c r="H96" s="11"/>
      <c r="I96" s="10"/>
      <c r="J96" s="10"/>
      <c r="K96" s="10"/>
      <c r="L96" s="14" t="s">
        <v>251</v>
      </c>
      <c r="M96" s="9" t="str">
        <f>IF(OR(L89="",L102=""),"",+IF(L89&gt;L102,K89,K102))</f>
        <v/>
      </c>
      <c r="N96" s="16"/>
      <c r="O96" s="10"/>
      <c r="P96" s="10"/>
      <c r="Q96" s="10"/>
    </row>
    <row r="97" spans="4:17">
      <c r="E97" s="12"/>
      <c r="F97" s="10"/>
      <c r="G97" s="10"/>
      <c r="H97" s="13"/>
      <c r="I97" s="10"/>
      <c r="J97" s="10"/>
      <c r="K97" s="10"/>
      <c r="L97" s="14"/>
      <c r="M97" s="10"/>
      <c r="N97" s="10"/>
      <c r="O97" s="10"/>
      <c r="P97" s="10"/>
      <c r="Q97" s="10"/>
    </row>
    <row r="98" spans="4:17" ht="13" thickBot="1">
      <c r="E98" s="10"/>
      <c r="F98" s="10"/>
      <c r="G98" s="10"/>
      <c r="H98" s="14" t="s">
        <v>201</v>
      </c>
      <c r="I98" s="9" t="str">
        <f>IF(OR(H96="",H100=""),"",+IF(H96&gt;H100,G96,G100))</f>
        <v/>
      </c>
      <c r="J98" s="11"/>
      <c r="K98" s="10"/>
      <c r="L98" s="14"/>
      <c r="M98" s="10"/>
      <c r="N98" s="10"/>
      <c r="O98" s="10"/>
      <c r="P98" s="10"/>
      <c r="Q98" s="10"/>
    </row>
    <row r="99" spans="4:17" ht="13" thickBot="1">
      <c r="D99">
        <v>43</v>
      </c>
      <c r="E99" s="10"/>
      <c r="F99" s="11"/>
      <c r="G99" s="10"/>
      <c r="H99" s="14"/>
      <c r="I99" s="10"/>
      <c r="J99" s="13"/>
      <c r="K99" s="10"/>
      <c r="L99" s="14"/>
      <c r="M99" s="10"/>
      <c r="N99" s="10"/>
      <c r="O99" s="10"/>
      <c r="P99" s="10"/>
      <c r="Q99" s="10"/>
    </row>
    <row r="100" spans="4:17" ht="13" thickBot="1">
      <c r="E100" s="12"/>
      <c r="F100" s="13" t="s">
        <v>229</v>
      </c>
      <c r="G100" s="9" t="str">
        <f>IF(OR(F99="",F101=""),"",+IF(F99&gt;F101,E99,E101))</f>
        <v/>
      </c>
      <c r="H100" s="16"/>
      <c r="I100" s="10"/>
      <c r="J100" s="14"/>
      <c r="K100" s="10"/>
      <c r="L100" s="14"/>
      <c r="M100" s="10"/>
      <c r="N100" s="10"/>
      <c r="O100" s="10"/>
      <c r="P100" s="10"/>
      <c r="Q100" s="10"/>
    </row>
    <row r="101" spans="4:17" ht="13" thickBot="1">
      <c r="D101">
        <v>44</v>
      </c>
      <c r="E101" s="10"/>
      <c r="F101" s="16"/>
      <c r="G101" s="10"/>
      <c r="H101" s="10"/>
      <c r="I101" s="10"/>
      <c r="J101" s="14"/>
      <c r="K101" s="10"/>
      <c r="L101" s="14"/>
      <c r="M101" s="10"/>
      <c r="N101" s="10"/>
      <c r="O101" s="10"/>
      <c r="P101" s="10"/>
      <c r="Q101" s="10"/>
    </row>
    <row r="102" spans="4:17" ht="13" thickBot="1">
      <c r="E102" s="12"/>
      <c r="F102" s="10"/>
      <c r="G102" s="10"/>
      <c r="H102" s="10"/>
      <c r="I102" s="10"/>
      <c r="J102" s="14" t="s">
        <v>235</v>
      </c>
      <c r="K102" s="9" t="str">
        <f>IF(OR(J98="",J106=""),"",+IF(J98&gt;J106,I98,I106))</f>
        <v/>
      </c>
      <c r="L102" s="16"/>
      <c r="M102" s="10"/>
      <c r="N102" s="10"/>
      <c r="O102" s="10"/>
      <c r="P102" s="10"/>
      <c r="Q102" s="10"/>
    </row>
    <row r="103" spans="4:17" ht="13" thickBot="1">
      <c r="D103">
        <v>45</v>
      </c>
      <c r="E103" s="10"/>
      <c r="F103" s="11"/>
      <c r="G103" s="10"/>
      <c r="H103" s="10"/>
      <c r="I103" s="10"/>
      <c r="J103" s="14"/>
      <c r="K103" s="10"/>
      <c r="L103" s="10"/>
      <c r="M103" s="10"/>
      <c r="N103" s="10"/>
      <c r="O103" s="10"/>
      <c r="P103" s="10"/>
      <c r="Q103" s="10"/>
    </row>
    <row r="104" spans="4:17" ht="13" thickBot="1">
      <c r="E104" s="12"/>
      <c r="F104" s="13" t="s">
        <v>232</v>
      </c>
      <c r="G104" s="9" t="str">
        <f>IF(OR(F103="",F105=""),"",+IF(F103&gt;F105,E103,E105))</f>
        <v/>
      </c>
      <c r="H104" s="11"/>
      <c r="I104" s="10"/>
      <c r="J104" s="14"/>
      <c r="K104" s="10"/>
      <c r="L104" s="10"/>
      <c r="M104" s="10"/>
      <c r="N104" s="10"/>
      <c r="O104" s="10"/>
      <c r="P104" s="10"/>
      <c r="Q104" s="10"/>
    </row>
    <row r="105" spans="4:17" ht="13" thickBot="1">
      <c r="D105">
        <v>46</v>
      </c>
      <c r="E105" s="9"/>
      <c r="F105" s="16"/>
      <c r="G105" s="10"/>
      <c r="H105" s="13"/>
      <c r="I105" s="10"/>
      <c r="J105" s="14"/>
      <c r="K105" s="10"/>
      <c r="L105" s="10"/>
      <c r="M105" s="10"/>
      <c r="N105" s="10"/>
      <c r="O105" s="10"/>
      <c r="P105" s="10"/>
      <c r="Q105" s="10"/>
    </row>
    <row r="106" spans="4:17" ht="13" thickBot="1">
      <c r="E106" s="10"/>
      <c r="F106" s="10"/>
      <c r="G106" s="10"/>
      <c r="H106" s="14" t="s">
        <v>205</v>
      </c>
      <c r="I106" s="9" t="str">
        <f>IF(OR(H104="",H107=""),"",+IF(H104&gt;H107,G104,E107))</f>
        <v/>
      </c>
      <c r="J106" s="16"/>
      <c r="K106" s="10"/>
      <c r="L106" s="10"/>
      <c r="M106" s="10"/>
      <c r="N106" s="10"/>
      <c r="O106" s="10"/>
      <c r="P106" s="10"/>
      <c r="Q106" s="10"/>
    </row>
    <row r="107" spans="4:17" ht="13" thickBot="1">
      <c r="D107">
        <v>47</v>
      </c>
      <c r="E107" s="9"/>
      <c r="F107" s="9"/>
      <c r="G107" s="9">
        <f>E107</f>
        <v>0</v>
      </c>
      <c r="H107" s="16"/>
      <c r="I107" s="10"/>
      <c r="J107" s="10"/>
      <c r="K107" s="10"/>
      <c r="L107" s="10"/>
      <c r="M107" s="10"/>
      <c r="N107" s="10"/>
      <c r="O107" s="10"/>
      <c r="P107" s="10"/>
      <c r="Q107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44"/>
  <dimension ref="D4:AG105"/>
  <sheetViews>
    <sheetView showGridLines="0" topLeftCell="A49" zoomScale="50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5.64453125" customWidth="1"/>
    <col min="16" max="16" width="3.64453125" customWidth="1"/>
    <col min="17" max="17" width="18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E21</f>
        <v>0</v>
      </c>
      <c r="V6" t="s">
        <v>77</v>
      </c>
      <c r="W6" s="29">
        <f>E23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E25</f>
        <v>0</v>
      </c>
      <c r="V7" t="s">
        <v>77</v>
      </c>
      <c r="W7" s="29">
        <f>E27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E34</f>
        <v>0</v>
      </c>
      <c r="V8" t="s">
        <v>77</v>
      </c>
      <c r="W8" s="29">
        <f>E36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232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E38</f>
        <v>0</v>
      </c>
      <c r="V9" t="s">
        <v>77</v>
      </c>
      <c r="W9" s="29">
        <f>E40</f>
        <v>0</v>
      </c>
      <c r="Z9" s="34"/>
      <c r="AA9" s="40"/>
      <c r="AB9" s="40"/>
      <c r="AC9" s="38" t="s">
        <v>159</v>
      </c>
      <c r="AD9" s="48"/>
      <c r="AE9" s="53" t="e">
        <f>LOOKUP(AD9,T$5:T$78,U$5:U$52)</f>
        <v>#N/A</v>
      </c>
      <c r="AF9" s="37" t="s">
        <v>157</v>
      </c>
      <c r="AG9" s="65" t="e">
        <f>LOOKUP(AD9,T$5:T$78,W$5:W$51)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E47</f>
        <v>0</v>
      </c>
      <c r="V10" t="s">
        <v>77</v>
      </c>
      <c r="W10" s="29">
        <f>E49</f>
        <v>0</v>
      </c>
      <c r="Z10" s="34"/>
      <c r="AA10" s="40"/>
      <c r="AB10" s="40"/>
      <c r="AC10" s="38" t="s">
        <v>159</v>
      </c>
      <c r="AD10" s="48"/>
      <c r="AE10" s="53" t="e">
        <f>LOOKUP(AD10,T$5:T$78,U$5:U$52)</f>
        <v>#N/A</v>
      </c>
      <c r="AF10" s="37" t="s">
        <v>157</v>
      </c>
      <c r="AG10" s="65" t="e">
        <f>LOOKUP(AD10,T$5:T$78,W$5:W$51)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E51</f>
        <v>0</v>
      </c>
      <c r="V11" t="s">
        <v>77</v>
      </c>
      <c r="W11" s="29">
        <f>E53</f>
        <v>0</v>
      </c>
      <c r="Z11" s="34"/>
      <c r="AA11" s="40"/>
      <c r="AB11" s="40"/>
      <c r="AC11" s="38" t="s">
        <v>159</v>
      </c>
      <c r="AD11" s="48"/>
      <c r="AE11" s="53" t="e">
        <f>LOOKUP(AD11,T$5:T$78,U$5:U$52)</f>
        <v>#N/A</v>
      </c>
      <c r="AF11" s="37" t="s">
        <v>157</v>
      </c>
      <c r="AG11" s="65" t="e">
        <f>LOOKUP(AD11,T$5:T$78,W$5:W$51)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205</v>
      </c>
      <c r="K12" s="9" t="str">
        <f>IF(OR(J9="",J15=""),"",+IF(J9&gt;J15,I9,I15))</f>
        <v/>
      </c>
      <c r="L12" s="11"/>
      <c r="M12" s="10"/>
      <c r="N12" s="10"/>
      <c r="O12" s="10"/>
      <c r="P12" s="10"/>
      <c r="Q12" s="10"/>
      <c r="T12">
        <v>8</v>
      </c>
      <c r="U12" s="28">
        <f>E60</f>
        <v>0</v>
      </c>
      <c r="V12" t="s">
        <v>77</v>
      </c>
      <c r="W12" s="29">
        <f>E62</f>
        <v>0</v>
      </c>
      <c r="Z12" s="34"/>
      <c r="AA12" s="40"/>
      <c r="AB12" s="40"/>
      <c r="AC12" s="38" t="s">
        <v>159</v>
      </c>
      <c r="AD12" s="48"/>
      <c r="AE12" s="53" t="e">
        <f>LOOKUP(AD12,T$5:T$78,U$5:U$52)</f>
        <v>#N/A</v>
      </c>
      <c r="AF12" s="37" t="s">
        <v>157</v>
      </c>
      <c r="AG12" s="65" t="e">
        <f>LOOKUP(AD12,T$5:T$78,W$5:W$51)</f>
        <v>#N/A</v>
      </c>
    </row>
    <row r="13" spans="4:33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P13" s="10"/>
      <c r="Q13" s="10"/>
      <c r="T13">
        <v>9</v>
      </c>
      <c r="U13" s="28">
        <f>E71</f>
        <v>0</v>
      </c>
      <c r="V13" t="s">
        <v>77</v>
      </c>
      <c r="W13" s="29">
        <f>E73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P14" s="10"/>
      <c r="Q14" s="10"/>
      <c r="T14">
        <v>10</v>
      </c>
      <c r="U14" s="28">
        <f>E75</f>
        <v>0</v>
      </c>
      <c r="V14" t="s">
        <v>77</v>
      </c>
      <c r="W14" s="29">
        <f>E77</f>
        <v>0</v>
      </c>
      <c r="Z14" s="34"/>
      <c r="AA14" s="40"/>
      <c r="AB14" s="40"/>
      <c r="AC14" s="38" t="s">
        <v>159</v>
      </c>
      <c r="AD14" s="48"/>
      <c r="AE14" s="53" t="e">
        <f>LOOKUP(AD14,T$5:T$78,U$5:U$52)</f>
        <v>#N/A</v>
      </c>
      <c r="AF14" s="37" t="s">
        <v>157</v>
      </c>
      <c r="AG14" s="65" t="e">
        <f>LOOKUP(AD14,T$5:T$78,W$5:W$51)</f>
        <v>#N/A</v>
      </c>
    </row>
    <row r="15" spans="4:33" ht="13" thickBot="1">
      <c r="E15" s="10"/>
      <c r="F15" s="10"/>
      <c r="G15" s="10"/>
      <c r="H15" s="13" t="s">
        <v>234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P15" s="10"/>
      <c r="Q15" s="10"/>
      <c r="T15">
        <v>11</v>
      </c>
      <c r="U15" s="28">
        <f>E84</f>
        <v>0</v>
      </c>
      <c r="V15" t="s">
        <v>77</v>
      </c>
      <c r="W15" s="29">
        <f>E86</f>
        <v>0</v>
      </c>
      <c r="Z15" s="34"/>
      <c r="AA15" s="40"/>
      <c r="AB15" s="40"/>
      <c r="AC15" s="38" t="s">
        <v>159</v>
      </c>
      <c r="AD15" s="48"/>
      <c r="AE15" s="53" t="e">
        <f>LOOKUP(AD15,T$5:T$78,U$5:U$52)</f>
        <v>#N/A</v>
      </c>
      <c r="AF15" s="37" t="s">
        <v>157</v>
      </c>
      <c r="AG15" s="65" t="e">
        <f>LOOKUP(AD15,T$5:T$78,W$5:W$51)</f>
        <v>#N/A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P16" s="10"/>
      <c r="Q16" s="10"/>
      <c r="T16">
        <v>12</v>
      </c>
      <c r="U16" s="28">
        <f>E88</f>
        <v>0</v>
      </c>
      <c r="V16" t="s">
        <v>77</v>
      </c>
      <c r="W16" s="29">
        <f>E90</f>
        <v>0</v>
      </c>
      <c r="Z16" s="34"/>
      <c r="AA16" s="40"/>
      <c r="AB16" s="40"/>
      <c r="AC16" s="38" t="s">
        <v>159</v>
      </c>
      <c r="AD16" s="48"/>
      <c r="AE16" s="53" t="e">
        <f>LOOKUP(AD16,T$5:T$78,U$5:U$52)</f>
        <v>#N/A</v>
      </c>
      <c r="AF16" s="37" t="s">
        <v>157</v>
      </c>
      <c r="AG16" s="65" t="e">
        <f>LOOKUP(AD16,T$5:T$78,W$5:W$51)</f>
        <v>#N/A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235</v>
      </c>
      <c r="M17" s="9" t="str">
        <f>IF(OR(L12="",L24=""),"",+IF(L12&gt;L24,K12,K24))</f>
        <v/>
      </c>
      <c r="N17" s="17"/>
      <c r="O17" s="10"/>
      <c r="P17" s="10"/>
      <c r="Q17" s="10"/>
      <c r="T17">
        <v>13</v>
      </c>
      <c r="U17" s="28">
        <f>E97</f>
        <v>0</v>
      </c>
      <c r="V17" t="s">
        <v>77</v>
      </c>
      <c r="W17" s="29">
        <f>E99</f>
        <v>0</v>
      </c>
      <c r="Z17" s="34"/>
      <c r="AA17" s="40"/>
      <c r="AB17" s="40"/>
      <c r="AC17" s="38" t="s">
        <v>159</v>
      </c>
      <c r="AD17" s="48"/>
      <c r="AE17" s="53" t="e">
        <f>LOOKUP(AD17,T$5:T$78,U$5:U$52)</f>
        <v>#N/A</v>
      </c>
      <c r="AF17" s="37" t="s">
        <v>157</v>
      </c>
      <c r="AG17" s="65" t="e">
        <f>LOOKUP(AD17,T$5:T$78,W$5:W$51)</f>
        <v>#N/A</v>
      </c>
    </row>
    <row r="18" spans="4:33" ht="13" thickBot="1">
      <c r="D18">
        <v>6</v>
      </c>
      <c r="E18" s="10"/>
      <c r="F18" s="9"/>
      <c r="G18" s="9">
        <f>E18</f>
        <v>0</v>
      </c>
      <c r="H18" s="11"/>
      <c r="I18" s="10"/>
      <c r="J18" s="10"/>
      <c r="K18" s="10"/>
      <c r="L18" s="14"/>
      <c r="M18" s="10"/>
      <c r="N18" s="13"/>
      <c r="O18" s="10"/>
      <c r="P18" s="10"/>
      <c r="Q18" s="10"/>
      <c r="T18">
        <v>14</v>
      </c>
      <c r="U18" s="28">
        <f>E101</f>
        <v>0</v>
      </c>
      <c r="V18" t="s">
        <v>77</v>
      </c>
      <c r="W18" s="29">
        <f>E103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>
      <c r="E19" s="12"/>
      <c r="F19" s="10"/>
      <c r="G19" s="10"/>
      <c r="H19" s="13"/>
      <c r="I19" s="10"/>
      <c r="J19" s="10"/>
      <c r="K19" s="10"/>
      <c r="L19" s="14"/>
      <c r="M19" s="10"/>
      <c r="N19" s="14"/>
      <c r="O19" s="10"/>
      <c r="P19" s="10"/>
      <c r="Q19" s="10"/>
      <c r="T19">
        <v>15</v>
      </c>
      <c r="U19" s="28">
        <f>E7</f>
        <v>0</v>
      </c>
      <c r="V19" t="s">
        <v>77</v>
      </c>
      <c r="W19" s="29" t="s">
        <v>78</v>
      </c>
      <c r="Z19" s="34"/>
      <c r="AA19" s="40"/>
      <c r="AB19" s="40"/>
      <c r="AC19" s="38" t="s">
        <v>159</v>
      </c>
      <c r="AD19" s="48"/>
      <c r="AE19" s="53" t="e">
        <f>LOOKUP(AD19,T$5:T$78,U$5:U$52)</f>
        <v>#N/A</v>
      </c>
      <c r="AF19" s="37" t="s">
        <v>157</v>
      </c>
      <c r="AG19" s="65" t="e">
        <f>LOOKUP(AD19,T$5:T$78,W$5:W$51)</f>
        <v>#N/A</v>
      </c>
    </row>
    <row r="20" spans="4:33" ht="13" thickBot="1">
      <c r="E20" s="10"/>
      <c r="F20" s="10"/>
      <c r="G20" s="10"/>
      <c r="H20" s="14" t="s">
        <v>236</v>
      </c>
      <c r="I20" s="9" t="str">
        <f>IF(OR(H18="",H22=""),"",+IF(H18&gt;H22,G18,G22))</f>
        <v/>
      </c>
      <c r="J20" s="11"/>
      <c r="K20" s="10"/>
      <c r="L20" s="14"/>
      <c r="M20" s="10"/>
      <c r="N20" s="14"/>
      <c r="O20" s="10"/>
      <c r="P20" s="10"/>
      <c r="Q20" s="10"/>
      <c r="T20">
        <v>16</v>
      </c>
      <c r="U20" s="28">
        <f>E14</f>
        <v>0</v>
      </c>
      <c r="V20" t="s">
        <v>77</v>
      </c>
      <c r="W20" s="29">
        <f>E16</f>
        <v>0</v>
      </c>
      <c r="Z20" s="34"/>
      <c r="AA20" s="40"/>
      <c r="AB20" s="40"/>
      <c r="AC20" s="38" t="s">
        <v>159</v>
      </c>
      <c r="AD20" s="48"/>
      <c r="AE20" s="53" t="e">
        <f>LOOKUP(AD20,T$5:T$78,U$5:U$52)</f>
        <v>#N/A</v>
      </c>
      <c r="AF20" s="37" t="s">
        <v>157</v>
      </c>
      <c r="AG20" s="65" t="e">
        <f>LOOKUP(AD20,T$5:T$78,W$5:W$51)</f>
        <v>#N/A</v>
      </c>
    </row>
    <row r="21" spans="4:33" ht="13" thickBot="1">
      <c r="D21">
        <v>7</v>
      </c>
      <c r="E21" s="10"/>
      <c r="F21" s="11"/>
      <c r="G21" s="10"/>
      <c r="H21" s="14"/>
      <c r="I21" s="10"/>
      <c r="J21" s="13"/>
      <c r="K21" s="10"/>
      <c r="L21" s="14"/>
      <c r="M21" s="10"/>
      <c r="N21" s="14"/>
      <c r="O21" s="10"/>
      <c r="P21" s="10"/>
      <c r="Q21" s="10"/>
      <c r="T21">
        <v>17</v>
      </c>
      <c r="U21" s="28">
        <f>E18</f>
        <v>0</v>
      </c>
      <c r="V21" t="s">
        <v>77</v>
      </c>
      <c r="W21" s="29" t="s">
        <v>160</v>
      </c>
      <c r="Z21" s="34"/>
      <c r="AA21" s="40"/>
      <c r="AB21" s="40"/>
      <c r="AC21" s="38" t="s">
        <v>159</v>
      </c>
      <c r="AD21" s="48"/>
      <c r="AE21" s="53" t="e">
        <f>LOOKUP(AD21,T$5:T$78,U$5:U$52)</f>
        <v>#N/A</v>
      </c>
      <c r="AF21" s="37" t="s">
        <v>157</v>
      </c>
      <c r="AG21" s="65" t="e">
        <f>LOOKUP(AD21,T$5:T$78,W$5:W$51)</f>
        <v>#N/A</v>
      </c>
    </row>
    <row r="22" spans="4:33" ht="13" thickBot="1">
      <c r="E22" s="12"/>
      <c r="F22" s="13" t="s">
        <v>204</v>
      </c>
      <c r="G22" s="9" t="str">
        <f>IF(OR(F21="",F23=""),"",+IF(F21&gt;F23,E21,E23))</f>
        <v/>
      </c>
      <c r="H22" s="16"/>
      <c r="I22" s="10"/>
      <c r="J22" s="14"/>
      <c r="K22" s="10"/>
      <c r="L22" s="14"/>
      <c r="M22" s="10"/>
      <c r="N22" s="14"/>
      <c r="O22" s="10"/>
      <c r="P22" s="10"/>
      <c r="Q22" s="10"/>
      <c r="T22">
        <v>18</v>
      </c>
      <c r="U22" s="28" t="s">
        <v>161</v>
      </c>
      <c r="V22" t="s">
        <v>77</v>
      </c>
      <c r="W22" s="29">
        <f>E29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D23">
        <v>8</v>
      </c>
      <c r="E23" s="10"/>
      <c r="F23" s="16"/>
      <c r="G23" s="10"/>
      <c r="H23" s="10"/>
      <c r="I23" s="10"/>
      <c r="J23" s="14"/>
      <c r="K23" s="10"/>
      <c r="L23" s="14"/>
      <c r="M23" s="10"/>
      <c r="N23" s="14"/>
      <c r="O23" s="10"/>
      <c r="P23" s="10"/>
      <c r="Q23" s="10"/>
      <c r="T23">
        <v>19</v>
      </c>
      <c r="U23" s="28">
        <f>E31</f>
        <v>0</v>
      </c>
      <c r="V23" t="s">
        <v>77</v>
      </c>
      <c r="W23" s="29" t="s">
        <v>81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E24" s="12"/>
      <c r="F24" s="10"/>
      <c r="G24" s="10"/>
      <c r="H24" s="10"/>
      <c r="I24" s="10"/>
      <c r="J24" s="14" t="s">
        <v>209</v>
      </c>
      <c r="K24" s="9" t="str">
        <f>IF(OR(J20="",J28=""),"",+IF(J20&gt;J28,I20,I28))</f>
        <v/>
      </c>
      <c r="L24" s="16"/>
      <c r="M24" s="10"/>
      <c r="N24" s="14"/>
      <c r="O24" s="10"/>
      <c r="P24" s="10"/>
      <c r="Q24" s="10"/>
      <c r="T24">
        <v>20</v>
      </c>
      <c r="U24" s="28" t="s">
        <v>162</v>
      </c>
      <c r="V24" t="s">
        <v>77</v>
      </c>
      <c r="W24" s="29">
        <f>E42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D25">
        <v>9</v>
      </c>
      <c r="E25" s="10"/>
      <c r="F25" s="11"/>
      <c r="G25" s="10"/>
      <c r="H25" s="10"/>
      <c r="I25" s="10"/>
      <c r="J25" s="14"/>
      <c r="K25" s="10"/>
      <c r="L25" s="10"/>
      <c r="M25" s="10"/>
      <c r="N25" s="14"/>
      <c r="O25" s="10"/>
      <c r="P25" s="10"/>
      <c r="Q25" s="10"/>
      <c r="T25">
        <v>21</v>
      </c>
      <c r="U25" s="28">
        <f>E44</f>
        <v>0</v>
      </c>
      <c r="V25" t="s">
        <v>77</v>
      </c>
      <c r="W25" s="29" t="s">
        <v>163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E26" s="12"/>
      <c r="F26" s="13" t="s">
        <v>206</v>
      </c>
      <c r="G26" s="9" t="str">
        <f>IF(OR(F25="",F27=""),"",+IF(F25&gt;F27,E25,E27))</f>
        <v/>
      </c>
      <c r="H26" s="11"/>
      <c r="I26" s="10"/>
      <c r="J26" s="14"/>
      <c r="K26" s="10"/>
      <c r="L26" s="10"/>
      <c r="M26" s="10"/>
      <c r="N26" s="14"/>
      <c r="O26" s="10"/>
      <c r="P26" s="10"/>
      <c r="Q26" s="10"/>
      <c r="T26">
        <v>22</v>
      </c>
      <c r="U26" s="28" t="s">
        <v>84</v>
      </c>
      <c r="V26" t="s">
        <v>77</v>
      </c>
      <c r="W26" s="29">
        <f>E55</f>
        <v>0</v>
      </c>
      <c r="Z26" s="34"/>
      <c r="AA26" s="40"/>
      <c r="AB26" s="40"/>
      <c r="AC26" s="38" t="s">
        <v>159</v>
      </c>
      <c r="AD26" s="48"/>
      <c r="AE26" s="53" t="e">
        <f t="shared" ref="AE26:AE39" si="0">LOOKUP(AD26,T$5:T$78,U$5:U$52)</f>
        <v>#N/A</v>
      </c>
      <c r="AF26" s="37" t="s">
        <v>157</v>
      </c>
      <c r="AG26" s="65" t="e">
        <f t="shared" ref="AG26:AG39" si="1">LOOKUP(AD26,T$5:T$78,W$5:W$51)</f>
        <v>#N/A</v>
      </c>
    </row>
    <row r="27" spans="4:33" ht="13" thickBot="1">
      <c r="D27">
        <v>10</v>
      </c>
      <c r="E27" s="9"/>
      <c r="F27" s="16"/>
      <c r="G27" s="10"/>
      <c r="H27" s="13"/>
      <c r="I27" s="10"/>
      <c r="J27" s="14"/>
      <c r="K27" s="10"/>
      <c r="L27" s="10"/>
      <c r="M27" s="10"/>
      <c r="N27" s="14"/>
      <c r="O27" s="10"/>
      <c r="P27" s="10"/>
      <c r="Q27" s="10"/>
      <c r="T27">
        <v>23</v>
      </c>
      <c r="U27" s="28">
        <f>E57</f>
        <v>0</v>
      </c>
      <c r="V27" t="s">
        <v>77</v>
      </c>
      <c r="W27" s="29" t="s">
        <v>263</v>
      </c>
      <c r="Z27" s="34"/>
      <c r="AA27" s="40"/>
      <c r="AB27" s="40"/>
      <c r="AC27" s="38" t="s">
        <v>159</v>
      </c>
      <c r="AD27" s="48"/>
      <c r="AE27" s="53" t="e">
        <f t="shared" si="0"/>
        <v>#N/A</v>
      </c>
      <c r="AF27" s="37" t="s">
        <v>157</v>
      </c>
      <c r="AG27" s="65" t="e">
        <f t="shared" si="1"/>
        <v>#N/A</v>
      </c>
    </row>
    <row r="28" spans="4:33" ht="13" thickBot="1">
      <c r="E28" s="10"/>
      <c r="F28" s="10"/>
      <c r="G28" s="10"/>
      <c r="H28" s="14" t="s">
        <v>238</v>
      </c>
      <c r="I28" s="9" t="str">
        <f>IF(OR(H26="",H29=""),"",+IF(H26&gt;H29,G26,E29))</f>
        <v/>
      </c>
      <c r="J28" s="16"/>
      <c r="K28" s="10"/>
      <c r="L28" s="10"/>
      <c r="M28" s="10"/>
      <c r="N28" s="14"/>
      <c r="O28" s="10"/>
      <c r="P28" s="10"/>
      <c r="Q28" s="10"/>
      <c r="T28">
        <v>24</v>
      </c>
      <c r="U28" s="28">
        <f>E64</f>
        <v>0</v>
      </c>
      <c r="V28" t="s">
        <v>77</v>
      </c>
      <c r="W28" s="29">
        <f>E66</f>
        <v>0</v>
      </c>
      <c r="Z28" s="34"/>
      <c r="AA28" s="40"/>
      <c r="AB28" s="40"/>
      <c r="AC28" s="38" t="s">
        <v>159</v>
      </c>
      <c r="AD28" s="48"/>
      <c r="AE28" s="53" t="e">
        <f t="shared" si="0"/>
        <v>#N/A</v>
      </c>
      <c r="AF28" s="37" t="s">
        <v>157</v>
      </c>
      <c r="AG28" s="65" t="e">
        <f t="shared" si="1"/>
        <v>#N/A</v>
      </c>
    </row>
    <row r="29" spans="4:33" ht="13" thickBot="1">
      <c r="D29">
        <v>11</v>
      </c>
      <c r="E29" s="9"/>
      <c r="F29" s="9"/>
      <c r="G29" s="9">
        <f>E29</f>
        <v>0</v>
      </c>
      <c r="H29" s="16"/>
      <c r="I29" s="10"/>
      <c r="J29" s="10"/>
      <c r="K29" s="10"/>
      <c r="L29" s="10"/>
      <c r="M29" s="10"/>
      <c r="N29" s="14"/>
      <c r="O29" s="10"/>
      <c r="P29" s="10"/>
      <c r="Q29" s="10"/>
      <c r="T29">
        <v>25</v>
      </c>
      <c r="U29" s="28">
        <f>E68</f>
        <v>0</v>
      </c>
      <c r="V29" t="s">
        <v>77</v>
      </c>
      <c r="W29" s="29" t="s">
        <v>86</v>
      </c>
      <c r="Z29" s="34"/>
      <c r="AA29" s="40"/>
      <c r="AB29" s="40"/>
      <c r="AC29" s="38" t="s">
        <v>159</v>
      </c>
      <c r="AD29" s="48"/>
      <c r="AE29" s="53" t="e">
        <f t="shared" si="0"/>
        <v>#N/A</v>
      </c>
      <c r="AF29" s="37" t="s">
        <v>157</v>
      </c>
      <c r="AG29" s="65" t="e">
        <f t="shared" si="1"/>
        <v>#N/A</v>
      </c>
    </row>
    <row r="30" spans="4:33" ht="13" thickBot="1">
      <c r="E30" s="10"/>
      <c r="F30" s="10"/>
      <c r="G30" s="10"/>
      <c r="H30" s="10"/>
      <c r="I30" s="10"/>
      <c r="J30" s="10"/>
      <c r="K30" s="10"/>
      <c r="L30" s="10"/>
      <c r="M30" s="10"/>
      <c r="N30" s="14" t="s">
        <v>251</v>
      </c>
      <c r="O30" s="9" t="str">
        <f>IF(OR(N17="",N44=""),"",+IF(N17&gt;N44,M17,M44))</f>
        <v/>
      </c>
      <c r="P30" s="17"/>
      <c r="Q30" s="10"/>
      <c r="T30">
        <v>26</v>
      </c>
      <c r="U30" s="28" t="s">
        <v>87</v>
      </c>
      <c r="V30" t="s">
        <v>77</v>
      </c>
      <c r="W30" s="29">
        <f>E79</f>
        <v>0</v>
      </c>
      <c r="Z30" s="34"/>
      <c r="AA30" s="41"/>
      <c r="AB30" s="33"/>
      <c r="AC30" s="33"/>
      <c r="AD30" s="50"/>
      <c r="AE30" s="54" t="e">
        <f t="shared" si="0"/>
        <v>#N/A</v>
      </c>
      <c r="AF30" s="33"/>
      <c r="AG30" s="58" t="e">
        <f t="shared" si="1"/>
        <v>#N/A</v>
      </c>
    </row>
    <row r="31" spans="4:33" ht="13" thickBot="1">
      <c r="D31">
        <v>12</v>
      </c>
      <c r="E31" s="10"/>
      <c r="F31" s="9"/>
      <c r="G31" s="9">
        <f>E31</f>
        <v>0</v>
      </c>
      <c r="H31" s="11"/>
      <c r="I31" s="10"/>
      <c r="J31" s="10"/>
      <c r="K31" s="10"/>
      <c r="L31" s="10"/>
      <c r="M31" s="10"/>
      <c r="N31" s="14"/>
      <c r="O31" s="10"/>
      <c r="P31" s="14"/>
      <c r="Q31" s="10"/>
      <c r="T31">
        <v>27</v>
      </c>
      <c r="U31" s="28">
        <f>E81</f>
        <v>0</v>
      </c>
      <c r="V31" t="s">
        <v>77</v>
      </c>
      <c r="W31" s="29" t="s">
        <v>88</v>
      </c>
      <c r="Z31" s="34"/>
      <c r="AA31" s="40"/>
      <c r="AB31" s="40"/>
      <c r="AC31" s="38" t="s">
        <v>159</v>
      </c>
      <c r="AD31" s="48"/>
      <c r="AE31" s="53" t="e">
        <f t="shared" si="0"/>
        <v>#N/A</v>
      </c>
      <c r="AF31" s="37" t="s">
        <v>157</v>
      </c>
      <c r="AG31" s="65" t="e">
        <f t="shared" si="1"/>
        <v>#N/A</v>
      </c>
    </row>
    <row r="32" spans="4:33">
      <c r="E32" s="12"/>
      <c r="F32" s="10"/>
      <c r="G32" s="10"/>
      <c r="H32" s="13"/>
      <c r="I32" s="10"/>
      <c r="J32" s="10"/>
      <c r="K32" s="10"/>
      <c r="L32" s="10"/>
      <c r="M32" s="10"/>
      <c r="N32" s="14"/>
      <c r="O32" s="10"/>
      <c r="P32" s="14"/>
      <c r="Q32" s="10"/>
      <c r="T32">
        <v>28</v>
      </c>
      <c r="U32" s="28" t="s">
        <v>89</v>
      </c>
      <c r="V32" t="s">
        <v>77</v>
      </c>
      <c r="W32" s="29">
        <f>E92</f>
        <v>0</v>
      </c>
      <c r="Z32" s="34"/>
      <c r="AA32" s="40"/>
      <c r="AB32" s="40"/>
      <c r="AC32" s="38" t="s">
        <v>159</v>
      </c>
      <c r="AD32" s="48"/>
      <c r="AE32" s="53" t="e">
        <f t="shared" si="0"/>
        <v>#N/A</v>
      </c>
      <c r="AF32" s="37" t="s">
        <v>157</v>
      </c>
      <c r="AG32" s="65" t="e">
        <f t="shared" si="1"/>
        <v>#N/A</v>
      </c>
    </row>
    <row r="33" spans="4:33" ht="13" thickBot="1">
      <c r="E33" s="10"/>
      <c r="F33" s="10"/>
      <c r="G33" s="10"/>
      <c r="H33" s="14" t="s">
        <v>240</v>
      </c>
      <c r="I33" s="9" t="str">
        <f>IF(OR(H31="",H35=""),"",+IF(H31&gt;H35,G31,G35))</f>
        <v/>
      </c>
      <c r="J33" s="11"/>
      <c r="K33" s="10"/>
      <c r="L33" s="10"/>
      <c r="M33" s="10"/>
      <c r="N33" s="14"/>
      <c r="O33" s="10"/>
      <c r="P33" s="14"/>
      <c r="Q33" s="10"/>
      <c r="T33">
        <v>29</v>
      </c>
      <c r="U33" s="28">
        <f>E94</f>
        <v>0</v>
      </c>
      <c r="V33" t="s">
        <v>77</v>
      </c>
      <c r="W33" s="29" t="s">
        <v>90</v>
      </c>
      <c r="Z33" s="34"/>
      <c r="AA33" s="40"/>
      <c r="AB33" s="40"/>
      <c r="AC33" s="38" t="s">
        <v>159</v>
      </c>
      <c r="AD33" s="48"/>
      <c r="AE33" s="53" t="e">
        <f t="shared" si="0"/>
        <v>#N/A</v>
      </c>
      <c r="AF33" s="37" t="s">
        <v>157</v>
      </c>
      <c r="AG33" s="65" t="e">
        <f t="shared" si="1"/>
        <v>#N/A</v>
      </c>
    </row>
    <row r="34" spans="4:33" ht="13" thickBot="1">
      <c r="D34">
        <v>13</v>
      </c>
      <c r="E34" s="10"/>
      <c r="F34" s="11"/>
      <c r="G34" s="10"/>
      <c r="H34" s="14"/>
      <c r="I34" s="10"/>
      <c r="J34" s="13"/>
      <c r="K34" s="10"/>
      <c r="L34" s="10"/>
      <c r="M34" s="10"/>
      <c r="N34" s="14"/>
      <c r="O34" s="10"/>
      <c r="P34" s="14"/>
      <c r="Q34" s="10"/>
      <c r="T34">
        <v>30</v>
      </c>
      <c r="U34" s="28" t="s">
        <v>91</v>
      </c>
      <c r="V34" t="s">
        <v>77</v>
      </c>
      <c r="W34" s="29">
        <f>E105</f>
        <v>0</v>
      </c>
      <c r="Z34" s="34"/>
      <c r="AA34" s="40"/>
      <c r="AB34" s="40"/>
      <c r="AC34" s="38" t="s">
        <v>159</v>
      </c>
      <c r="AD34" s="48"/>
      <c r="AE34" s="53" t="e">
        <f t="shared" si="0"/>
        <v>#N/A</v>
      </c>
      <c r="AF34" s="37" t="s">
        <v>157</v>
      </c>
      <c r="AG34" s="65" t="e">
        <f t="shared" si="1"/>
        <v>#N/A</v>
      </c>
    </row>
    <row r="35" spans="4:33" ht="13" thickBot="1">
      <c r="E35" s="12"/>
      <c r="F35" s="13" t="s">
        <v>208</v>
      </c>
      <c r="G35" s="9" t="str">
        <f>IF(OR(F34="",F36=""),"",+IF(F34&gt;F36,E34,E36))</f>
        <v/>
      </c>
      <c r="H35" s="16"/>
      <c r="I35" s="10"/>
      <c r="J35" s="14"/>
      <c r="K35" s="10"/>
      <c r="L35" s="10"/>
      <c r="M35" s="10"/>
      <c r="N35" s="14"/>
      <c r="O35" s="10"/>
      <c r="P35" s="14"/>
      <c r="Q35" s="10"/>
      <c r="T35">
        <v>31</v>
      </c>
      <c r="U35" s="28" t="s">
        <v>92</v>
      </c>
      <c r="V35" t="s">
        <v>77</v>
      </c>
      <c r="W35" s="28" t="s">
        <v>165</v>
      </c>
      <c r="Z35" s="34"/>
      <c r="AA35" s="41"/>
      <c r="AB35" s="33"/>
      <c r="AC35" s="33"/>
      <c r="AD35" s="50"/>
      <c r="AE35" s="54" t="e">
        <f t="shared" si="0"/>
        <v>#N/A</v>
      </c>
      <c r="AF35" s="33"/>
      <c r="AG35" s="58" t="e">
        <f t="shared" si="1"/>
        <v>#N/A</v>
      </c>
    </row>
    <row r="36" spans="4:33" ht="13" thickBot="1">
      <c r="D36">
        <v>14</v>
      </c>
      <c r="E36" s="10"/>
      <c r="F36" s="16"/>
      <c r="G36" s="10"/>
      <c r="H36" s="10"/>
      <c r="I36" s="10"/>
      <c r="J36" s="14"/>
      <c r="K36" s="10"/>
      <c r="L36" s="10"/>
      <c r="M36" s="10"/>
      <c r="N36" s="14"/>
      <c r="O36" s="10"/>
      <c r="P36" s="14"/>
      <c r="Q36" s="10"/>
      <c r="T36">
        <v>32</v>
      </c>
      <c r="U36" s="29" t="s">
        <v>94</v>
      </c>
      <c r="V36" t="s">
        <v>77</v>
      </c>
      <c r="W36" s="28" t="s">
        <v>95</v>
      </c>
      <c r="Z36" s="34"/>
      <c r="AA36" s="40"/>
      <c r="AB36" s="40"/>
      <c r="AC36" s="38" t="s">
        <v>159</v>
      </c>
      <c r="AD36" s="48"/>
      <c r="AE36" s="53" t="e">
        <f t="shared" si="0"/>
        <v>#N/A</v>
      </c>
      <c r="AF36" s="37" t="s">
        <v>157</v>
      </c>
      <c r="AG36" s="65" t="e">
        <f t="shared" si="1"/>
        <v>#N/A</v>
      </c>
    </row>
    <row r="37" spans="4:33" ht="13" thickBot="1">
      <c r="E37" s="12"/>
      <c r="F37" s="10"/>
      <c r="G37" s="10"/>
      <c r="H37" s="10"/>
      <c r="I37" s="10"/>
      <c r="J37" s="14" t="s">
        <v>213</v>
      </c>
      <c r="K37" s="9" t="str">
        <f>IF(OR(J33="",J41=""),"",+IF(J33&gt;J41,I33,I41))</f>
        <v/>
      </c>
      <c r="L37" s="17"/>
      <c r="M37" s="10"/>
      <c r="N37" s="14"/>
      <c r="O37" s="10"/>
      <c r="P37" s="14"/>
      <c r="Q37" s="10"/>
      <c r="T37">
        <v>33</v>
      </c>
      <c r="U37" s="29" t="s">
        <v>96</v>
      </c>
      <c r="V37" t="s">
        <v>77</v>
      </c>
      <c r="W37" s="28" t="s">
        <v>97</v>
      </c>
      <c r="Z37" s="34"/>
      <c r="AA37" s="40"/>
      <c r="AB37" s="40"/>
      <c r="AC37" s="38" t="s">
        <v>159</v>
      </c>
      <c r="AD37" s="48"/>
      <c r="AE37" s="53" t="e">
        <f t="shared" si="0"/>
        <v>#N/A</v>
      </c>
      <c r="AF37" s="37" t="s">
        <v>157</v>
      </c>
      <c r="AG37" s="65" t="e">
        <f t="shared" si="1"/>
        <v>#N/A</v>
      </c>
    </row>
    <row r="38" spans="4:33" ht="13" thickBot="1">
      <c r="D38">
        <v>15</v>
      </c>
      <c r="E38" s="10"/>
      <c r="F38" s="11"/>
      <c r="G38" s="10"/>
      <c r="H38" s="10"/>
      <c r="I38" s="10"/>
      <c r="J38" s="14"/>
      <c r="K38" s="10"/>
      <c r="L38" s="13"/>
      <c r="M38" s="10"/>
      <c r="N38" s="14"/>
      <c r="O38" s="10"/>
      <c r="P38" s="14"/>
      <c r="Q38" s="10"/>
      <c r="T38">
        <v>34</v>
      </c>
      <c r="U38" s="29" t="s">
        <v>98</v>
      </c>
      <c r="V38" t="s">
        <v>77</v>
      </c>
      <c r="W38" s="28" t="s">
        <v>99</v>
      </c>
      <c r="Z38" s="34"/>
      <c r="AA38" s="40"/>
      <c r="AB38" s="40"/>
      <c r="AC38" s="38" t="s">
        <v>159</v>
      </c>
      <c r="AD38" s="48"/>
      <c r="AE38" s="53" t="e">
        <f t="shared" si="0"/>
        <v>#N/A</v>
      </c>
      <c r="AF38" s="37" t="s">
        <v>157</v>
      </c>
      <c r="AG38" s="65" t="e">
        <f t="shared" si="1"/>
        <v>#N/A</v>
      </c>
    </row>
    <row r="39" spans="4:33" ht="13" thickBot="1">
      <c r="E39" s="12"/>
      <c r="F39" s="13" t="s">
        <v>210</v>
      </c>
      <c r="G39" s="9" t="str">
        <f>IF(OR(F38="",F40=""),"",+IF(F38&gt;F40,E38,E40))</f>
        <v/>
      </c>
      <c r="H39" s="11"/>
      <c r="I39" s="10"/>
      <c r="J39" s="14"/>
      <c r="K39" s="10"/>
      <c r="L39" s="14"/>
      <c r="M39" s="10"/>
      <c r="N39" s="14"/>
      <c r="O39" s="10"/>
      <c r="P39" s="14"/>
      <c r="Q39" s="10"/>
      <c r="T39">
        <v>35</v>
      </c>
      <c r="U39" s="29" t="s">
        <v>100</v>
      </c>
      <c r="V39" t="s">
        <v>77</v>
      </c>
      <c r="W39" s="28" t="s">
        <v>101</v>
      </c>
      <c r="Z39" s="34"/>
      <c r="AA39" s="33"/>
      <c r="AB39" s="33"/>
      <c r="AC39" s="33"/>
      <c r="AD39" s="50"/>
      <c r="AE39" s="64" t="e">
        <f t="shared" si="0"/>
        <v>#N/A</v>
      </c>
      <c r="AF39" s="33"/>
      <c r="AG39" s="59" t="e">
        <f t="shared" si="1"/>
        <v>#N/A</v>
      </c>
    </row>
    <row r="40" spans="4:33" ht="13" thickBot="1">
      <c r="D40">
        <v>16</v>
      </c>
      <c r="E40" s="9"/>
      <c r="F40" s="16"/>
      <c r="G40" s="10"/>
      <c r="H40" s="13"/>
      <c r="I40" s="10"/>
      <c r="J40" s="14"/>
      <c r="K40" s="10"/>
      <c r="L40" s="14"/>
      <c r="M40" s="10"/>
      <c r="N40" s="14"/>
      <c r="O40" s="10"/>
      <c r="P40" s="14"/>
      <c r="Q40" s="10"/>
      <c r="T40">
        <v>36</v>
      </c>
      <c r="U40" s="29" t="s">
        <v>102</v>
      </c>
      <c r="V40" t="s">
        <v>77</v>
      </c>
      <c r="W40" s="28" t="s">
        <v>103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/>
      <c r="F41" s="10"/>
      <c r="G41" s="10"/>
      <c r="H41" s="14" t="s">
        <v>242</v>
      </c>
      <c r="I41" s="9" t="str">
        <f>IF(OR(H39="",H42=""),"",+IF(H39&gt;H42,G39,E42))</f>
        <v/>
      </c>
      <c r="J41" s="16"/>
      <c r="K41" s="10"/>
      <c r="L41" s="14"/>
      <c r="M41" s="10"/>
      <c r="N41" s="14"/>
      <c r="O41" s="10"/>
      <c r="P41" s="14"/>
      <c r="Q41" s="10"/>
      <c r="T41">
        <v>37</v>
      </c>
      <c r="U41" s="29" t="s">
        <v>104</v>
      </c>
      <c r="V41" t="s">
        <v>77</v>
      </c>
      <c r="W41" s="28" t="s">
        <v>105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17</v>
      </c>
      <c r="E42" s="9"/>
      <c r="F42" s="9"/>
      <c r="G42" s="9">
        <f>E42</f>
        <v>0</v>
      </c>
      <c r="H42" s="16"/>
      <c r="I42" s="10"/>
      <c r="J42" s="10"/>
      <c r="K42" s="10"/>
      <c r="L42" s="14"/>
      <c r="M42" s="10"/>
      <c r="N42" s="14"/>
      <c r="O42" s="10"/>
      <c r="P42" s="14"/>
      <c r="Q42" s="10"/>
      <c r="T42">
        <v>38</v>
      </c>
      <c r="U42" s="29" t="s">
        <v>106</v>
      </c>
      <c r="V42" t="s">
        <v>77</v>
      </c>
      <c r="W42" s="28" t="s">
        <v>107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>
      <c r="E43" s="10"/>
      <c r="F43" s="10"/>
      <c r="G43" s="10"/>
      <c r="H43" s="10"/>
      <c r="I43" s="10"/>
      <c r="J43" s="10"/>
      <c r="K43" s="10"/>
      <c r="L43" s="14"/>
      <c r="M43" s="10"/>
      <c r="N43" s="14"/>
      <c r="O43" s="10"/>
      <c r="P43" s="14"/>
      <c r="Q43" s="10"/>
      <c r="T43">
        <v>39</v>
      </c>
      <c r="U43" s="29" t="s">
        <v>108</v>
      </c>
      <c r="V43" t="s">
        <v>77</v>
      </c>
      <c r="W43" s="28" t="s">
        <v>109</v>
      </c>
      <c r="Z43" s="34"/>
      <c r="AA43" s="40"/>
      <c r="AB43" s="40"/>
      <c r="AC43" s="38" t="s">
        <v>159</v>
      </c>
      <c r="AD43" s="48"/>
      <c r="AE43" s="53" t="e">
        <f>LOOKUP(AD43,T$5:T$78,U$5:U$52)</f>
        <v>#N/A</v>
      </c>
      <c r="AF43" s="37" t="s">
        <v>157</v>
      </c>
      <c r="AG43" s="65" t="e">
        <f>LOOKUP(AD43,T$5:T$78,W$5:W$51)</f>
        <v>#N/A</v>
      </c>
    </row>
    <row r="44" spans="4:33" ht="13" thickBot="1">
      <c r="D44">
        <v>18</v>
      </c>
      <c r="E44" s="10"/>
      <c r="F44" s="9"/>
      <c r="G44" s="9">
        <f>E44</f>
        <v>0</v>
      </c>
      <c r="H44" s="11"/>
      <c r="I44" s="10"/>
      <c r="J44" s="10"/>
      <c r="K44" s="10"/>
      <c r="L44" s="14" t="s">
        <v>239</v>
      </c>
      <c r="M44" s="9" t="str">
        <f>IF(OR(L37="",L50=""),"",+IF(L37&gt;L50,K37,K50))</f>
        <v/>
      </c>
      <c r="N44" s="16"/>
      <c r="O44" s="10"/>
      <c r="P44" s="14"/>
      <c r="Q44" s="10"/>
      <c r="T44">
        <v>40</v>
      </c>
      <c r="U44" s="29" t="s">
        <v>110</v>
      </c>
      <c r="V44" t="s">
        <v>77</v>
      </c>
      <c r="W44" s="28" t="s">
        <v>111</v>
      </c>
      <c r="Z44" s="34"/>
      <c r="AA44" s="40"/>
      <c r="AB44" s="40"/>
      <c r="AC44" s="38" t="s">
        <v>159</v>
      </c>
      <c r="AD44" s="48"/>
      <c r="AE44" s="53" t="e">
        <f>LOOKUP(AD44,T$5:T$78,U$5:U$52)</f>
        <v>#N/A</v>
      </c>
      <c r="AF44" s="37" t="s">
        <v>157</v>
      </c>
      <c r="AG44" s="65" t="e">
        <f>LOOKUP(AD44,T$5:T$78,W$5:W$51)</f>
        <v>#N/A</v>
      </c>
    </row>
    <row r="45" spans="4:33">
      <c r="E45" s="12"/>
      <c r="F45" s="10"/>
      <c r="G45" s="10"/>
      <c r="H45" s="13"/>
      <c r="I45" s="10"/>
      <c r="J45" s="10"/>
      <c r="K45" s="10"/>
      <c r="L45" s="14"/>
      <c r="M45" s="10"/>
      <c r="N45" s="10"/>
      <c r="O45" s="10"/>
      <c r="P45" s="14"/>
      <c r="Q45" s="10"/>
      <c r="T45">
        <v>41</v>
      </c>
      <c r="U45" s="29" t="s">
        <v>112</v>
      </c>
      <c r="V45" t="s">
        <v>77</v>
      </c>
      <c r="W45" s="28" t="s">
        <v>113</v>
      </c>
      <c r="Z45" s="34"/>
      <c r="AA45" s="40"/>
      <c r="AB45" s="40"/>
      <c r="AC45" s="38" t="s">
        <v>159</v>
      </c>
      <c r="AD45" s="48"/>
      <c r="AE45" s="53" t="e">
        <f>LOOKUP(AD45,T$5:T$78,U$5:U$52)</f>
        <v>#N/A</v>
      </c>
      <c r="AF45" s="37" t="s">
        <v>157</v>
      </c>
      <c r="AG45" s="65" t="e">
        <f>LOOKUP(AD45,T$5:T$78,W$5:W$51)</f>
        <v>#N/A</v>
      </c>
    </row>
    <row r="46" spans="4:33" ht="13" thickBot="1">
      <c r="E46" s="10"/>
      <c r="F46" s="10"/>
      <c r="G46" s="10"/>
      <c r="H46" s="14" t="s">
        <v>244</v>
      </c>
      <c r="I46" s="9" t="str">
        <f>IF(OR(H44="",H48=""),"",+IF(H44&gt;H48,G44,G48))</f>
        <v/>
      </c>
      <c r="J46" s="11"/>
      <c r="K46" s="10"/>
      <c r="L46" s="14"/>
      <c r="M46" s="10"/>
      <c r="N46" s="10"/>
      <c r="O46" s="10"/>
      <c r="P46" s="14"/>
      <c r="Q46" s="10"/>
      <c r="T46">
        <v>42</v>
      </c>
      <c r="U46" s="29" t="s">
        <v>114</v>
      </c>
      <c r="V46" t="s">
        <v>77</v>
      </c>
      <c r="W46" s="28" t="s">
        <v>115</v>
      </c>
      <c r="Z46" s="34"/>
      <c r="AA46" s="40"/>
      <c r="AB46" s="40"/>
      <c r="AC46" s="38" t="s">
        <v>159</v>
      </c>
      <c r="AD46" s="48"/>
      <c r="AE46" s="53" t="e">
        <f>LOOKUP(AD46,T$5:T$78,U$5:U$52)</f>
        <v>#N/A</v>
      </c>
      <c r="AF46" s="37" t="s">
        <v>157</v>
      </c>
      <c r="AG46" s="65" t="e">
        <f>LOOKUP(AD46,T$5:T$78,W$5:W$51)</f>
        <v>#N/A</v>
      </c>
    </row>
    <row r="47" spans="4:33" ht="13" thickBot="1">
      <c r="D47">
        <v>19</v>
      </c>
      <c r="E47" s="10"/>
      <c r="F47" s="11"/>
      <c r="G47" s="10"/>
      <c r="H47" s="14"/>
      <c r="I47" s="10"/>
      <c r="J47" s="13"/>
      <c r="K47" s="10"/>
      <c r="L47" s="14"/>
      <c r="M47" s="10"/>
      <c r="N47" s="10"/>
      <c r="O47" s="10"/>
      <c r="P47" s="14"/>
      <c r="Q47" s="10"/>
      <c r="T47">
        <v>43</v>
      </c>
      <c r="U47" s="29" t="s">
        <v>116</v>
      </c>
      <c r="V47" t="s">
        <v>77</v>
      </c>
      <c r="W47" s="28" t="s">
        <v>117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3" t="s">
        <v>212</v>
      </c>
      <c r="G48" s="9" t="str">
        <f>IF(OR(F47="",F49=""),"",+IF(F47&gt;F49,E47,E49))</f>
        <v/>
      </c>
      <c r="H48" s="16"/>
      <c r="I48" s="10"/>
      <c r="J48" s="14"/>
      <c r="K48" s="10"/>
      <c r="L48" s="14"/>
      <c r="M48" s="10"/>
      <c r="N48" s="10"/>
      <c r="O48" s="10"/>
      <c r="P48" s="14"/>
      <c r="Q48" s="10"/>
      <c r="T48">
        <v>44</v>
      </c>
      <c r="U48" s="29" t="s">
        <v>118</v>
      </c>
      <c r="V48" t="s">
        <v>77</v>
      </c>
      <c r="W48" s="28" t="s">
        <v>119</v>
      </c>
      <c r="Z48" s="34"/>
      <c r="AA48" s="40"/>
      <c r="AB48" s="40"/>
      <c r="AC48" s="38" t="s">
        <v>159</v>
      </c>
      <c r="AD48" s="48"/>
      <c r="AE48" s="53" t="e">
        <f>LOOKUP(AD48,T$5:T$78,U$5:U$52)</f>
        <v>#N/A</v>
      </c>
      <c r="AF48" s="37" t="s">
        <v>157</v>
      </c>
      <c r="AG48" s="65" t="e">
        <f>LOOKUP(AD48,T$5:T$78,W$5:W$51)</f>
        <v>#N/A</v>
      </c>
    </row>
    <row r="49" spans="4:33" ht="13" thickBot="1">
      <c r="D49">
        <v>20</v>
      </c>
      <c r="E49" s="10"/>
      <c r="F49" s="16"/>
      <c r="G49" s="10"/>
      <c r="H49" s="10"/>
      <c r="I49" s="10"/>
      <c r="J49" s="14"/>
      <c r="K49" s="10"/>
      <c r="L49" s="14"/>
      <c r="M49" s="10"/>
      <c r="N49" s="10"/>
      <c r="O49" s="10"/>
      <c r="P49" s="14"/>
      <c r="Q49" s="10"/>
      <c r="T49">
        <v>45</v>
      </c>
      <c r="U49" s="29" t="s">
        <v>120</v>
      </c>
      <c r="V49" t="s">
        <v>77</v>
      </c>
      <c r="W49" s="28" t="s">
        <v>121</v>
      </c>
      <c r="Z49" s="34"/>
      <c r="AA49" s="40"/>
      <c r="AB49" s="40"/>
      <c r="AC49" s="38" t="s">
        <v>159</v>
      </c>
      <c r="AD49" s="48"/>
      <c r="AE49" s="53" t="e">
        <f>LOOKUP(AD49,T$5:T$78,U$5:U$52)</f>
        <v>#N/A</v>
      </c>
      <c r="AF49" s="37" t="s">
        <v>157</v>
      </c>
      <c r="AG49" s="65" t="e">
        <f>LOOKUP(AD49,T$5:T$78,W$5:W$51)</f>
        <v>#N/A</v>
      </c>
    </row>
    <row r="50" spans="4:33" ht="13" thickBot="1">
      <c r="E50" s="12"/>
      <c r="F50" s="10"/>
      <c r="G50" s="10"/>
      <c r="H50" s="10"/>
      <c r="I50" s="10"/>
      <c r="J50" s="14" t="s">
        <v>216</v>
      </c>
      <c r="K50" s="9" t="str">
        <f>IF(OR(J46="",J54=""),"",+IF(J46&gt;J54,I46,I54))</f>
        <v/>
      </c>
      <c r="L50" s="16"/>
      <c r="M50" s="10"/>
      <c r="N50" s="10"/>
      <c r="O50" s="10"/>
      <c r="P50" s="14"/>
      <c r="Q50" s="10"/>
      <c r="U50" s="29"/>
      <c r="Z50" s="34"/>
      <c r="AA50" s="40"/>
      <c r="AB50" s="40"/>
      <c r="AC50" s="38" t="s">
        <v>159</v>
      </c>
      <c r="AD50" s="48"/>
      <c r="AE50" s="53" t="e">
        <f>LOOKUP(AD50,T$5:T$78,U$5:U$52)</f>
        <v>#N/A</v>
      </c>
      <c r="AF50" s="37" t="s">
        <v>157</v>
      </c>
      <c r="AG50" s="65" t="e">
        <f>LOOKUP(AD50,T$5:T$78,W$5:W$51)</f>
        <v>#N/A</v>
      </c>
    </row>
    <row r="51" spans="4:33" ht="13" thickBot="1">
      <c r="D51">
        <v>21</v>
      </c>
      <c r="E51" s="10"/>
      <c r="F51" s="11"/>
      <c r="G51" s="10"/>
      <c r="H51" s="10"/>
      <c r="I51" s="10"/>
      <c r="J51" s="14"/>
      <c r="K51" s="10"/>
      <c r="L51" s="10"/>
      <c r="M51" s="10"/>
      <c r="N51" s="10"/>
      <c r="O51" s="10"/>
      <c r="P51" s="14"/>
      <c r="Q51" s="10"/>
      <c r="Z51" s="34"/>
      <c r="AA51" s="40"/>
      <c r="AB51" s="40"/>
      <c r="AC51" s="38" t="s">
        <v>159</v>
      </c>
      <c r="AD51" s="48"/>
      <c r="AE51" s="53" t="e">
        <f>LOOKUP(AD51,T$5:T$78,U$5:U$52)</f>
        <v>#N/A</v>
      </c>
      <c r="AF51" s="37" t="s">
        <v>157</v>
      </c>
      <c r="AG51" s="65" t="e">
        <f>LOOKUP(AD51,T$5:T$78,W$5:W$51)</f>
        <v>#N/A</v>
      </c>
    </row>
    <row r="52" spans="4:33" ht="13" thickBot="1">
      <c r="E52" s="12"/>
      <c r="F52" s="13" t="s">
        <v>214</v>
      </c>
      <c r="G52" s="9" t="str">
        <f>IF(OR(F51="",F53=""),"",+IF(F51&gt;F53,E51,E53))</f>
        <v/>
      </c>
      <c r="H52" s="11"/>
      <c r="I52" s="10"/>
      <c r="J52" s="14"/>
      <c r="K52" s="10"/>
      <c r="L52" s="10"/>
      <c r="M52" s="10"/>
      <c r="N52" s="10"/>
      <c r="O52" s="10"/>
      <c r="P52" s="14"/>
      <c r="Q52" s="10"/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22</v>
      </c>
      <c r="E53" s="9"/>
      <c r="F53" s="16"/>
      <c r="G53" s="10"/>
      <c r="H53" s="13"/>
      <c r="I53" s="10"/>
      <c r="J53" s="14"/>
      <c r="K53" s="10"/>
      <c r="L53" s="10"/>
      <c r="M53" s="10"/>
      <c r="N53" s="10"/>
      <c r="O53" s="10"/>
      <c r="P53" s="14"/>
      <c r="Q53" s="10"/>
      <c r="Z53" s="34"/>
      <c r="AA53" s="40"/>
      <c r="AB53" s="40"/>
      <c r="AC53" s="38" t="s">
        <v>159</v>
      </c>
      <c r="AD53" s="48"/>
      <c r="AE53" s="53" t="e">
        <f>LOOKUP(AD53,T$5:T$78,U$5:U$52)</f>
        <v>#N/A</v>
      </c>
      <c r="AF53" s="37" t="s">
        <v>157</v>
      </c>
      <c r="AG53" s="65" t="e">
        <f>LOOKUP(AD53,T$5:T$78,W$5:W$51)</f>
        <v>#N/A</v>
      </c>
    </row>
    <row r="54" spans="4:33" ht="13" thickBot="1">
      <c r="E54" s="10"/>
      <c r="F54" s="10"/>
      <c r="G54" s="10"/>
      <c r="H54" s="14" t="s">
        <v>246</v>
      </c>
      <c r="I54" s="9" t="str">
        <f>IF(OR(H52="",H55=""),"",+IF(H52&gt;H55,G52,E55))</f>
        <v/>
      </c>
      <c r="J54" s="16"/>
      <c r="K54" s="10"/>
      <c r="L54" s="10"/>
      <c r="M54" s="10"/>
      <c r="N54" s="10"/>
      <c r="O54" s="10"/>
      <c r="P54" s="14"/>
      <c r="Q54" s="10"/>
      <c r="Z54" s="34"/>
      <c r="AA54" s="40"/>
      <c r="AB54" s="40"/>
      <c r="AC54" s="38" t="s">
        <v>159</v>
      </c>
      <c r="AD54" s="48"/>
      <c r="AE54" s="53" t="e">
        <f>LOOKUP(AD54,T$5:T$78,U$5:U$52)</f>
        <v>#N/A</v>
      </c>
      <c r="AF54" s="37" t="s">
        <v>157</v>
      </c>
      <c r="AG54" s="65" t="e">
        <f>LOOKUP(AD54,T$5:T$78,W$5:W$51)</f>
        <v>#N/A</v>
      </c>
    </row>
    <row r="55" spans="4:33" ht="13" thickBot="1">
      <c r="D55">
        <v>23</v>
      </c>
      <c r="E55" s="9"/>
      <c r="F55" s="9"/>
      <c r="G55" s="9">
        <f>E55</f>
        <v>0</v>
      </c>
      <c r="H55" s="16"/>
      <c r="I55" s="10"/>
      <c r="J55" s="10"/>
      <c r="K55" s="10"/>
      <c r="L55" s="10"/>
      <c r="M55" s="10"/>
      <c r="N55" s="10"/>
      <c r="O55" s="10"/>
      <c r="P55" s="14"/>
      <c r="Q55" s="10"/>
      <c r="Z55" s="34"/>
      <c r="AA55" s="40"/>
      <c r="AB55" s="40"/>
      <c r="AC55" s="38" t="s">
        <v>159</v>
      </c>
      <c r="AD55" s="48"/>
      <c r="AE55" s="53" t="e">
        <f>LOOKUP(AD55,T$5:T$78,U$5:U$52)</f>
        <v>#N/A</v>
      </c>
      <c r="AF55" s="37" t="s">
        <v>157</v>
      </c>
      <c r="AG55" s="65" t="e">
        <f>LOOKUP(AD55,T$5:T$78,W$5:W$51)</f>
        <v>#N/A</v>
      </c>
    </row>
    <row r="56" spans="4:33" ht="13" thickBot="1"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4" t="s">
        <v>259</v>
      </c>
      <c r="Q56" s="9" t="str">
        <f>IF(OR(P30="",P80=""),"",+IF(P30&gt;P80,O30,O80))</f>
        <v/>
      </c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24</v>
      </c>
      <c r="E57" s="10"/>
      <c r="F57" s="9"/>
      <c r="G57" s="9">
        <f>E57</f>
        <v>0</v>
      </c>
      <c r="H57" s="11"/>
      <c r="I57" s="10"/>
      <c r="J57" s="10"/>
      <c r="K57" s="10"/>
      <c r="L57" s="10"/>
      <c r="M57" s="10"/>
      <c r="N57" s="10"/>
      <c r="O57" s="10"/>
      <c r="P57" s="14"/>
      <c r="Q57" s="10"/>
    </row>
    <row r="58" spans="4:33">
      <c r="E58" s="12"/>
      <c r="F58" s="10"/>
      <c r="G58" s="10"/>
      <c r="H58" s="13"/>
      <c r="I58" s="10"/>
      <c r="J58" s="10"/>
      <c r="K58" s="10"/>
      <c r="L58" s="10"/>
      <c r="M58" s="10"/>
      <c r="N58" s="10"/>
      <c r="O58" s="10"/>
      <c r="P58" s="14"/>
      <c r="Q58" s="10"/>
    </row>
    <row r="59" spans="4:33" ht="13" thickBot="1">
      <c r="E59" s="10"/>
      <c r="F59" s="10"/>
      <c r="G59" s="10"/>
      <c r="H59" s="14" t="s">
        <v>248</v>
      </c>
      <c r="I59" s="9" t="str">
        <f>IF(OR(H57="",H61=""),"",+IF(H57&gt;H61,G57,G61))</f>
        <v/>
      </c>
      <c r="J59" s="11"/>
      <c r="K59" s="10"/>
      <c r="L59" s="10"/>
      <c r="M59" s="10"/>
      <c r="N59" s="10"/>
      <c r="O59" s="10"/>
      <c r="P59" s="14"/>
      <c r="Q59" s="10"/>
    </row>
    <row r="60" spans="4:33" ht="13" thickBot="1">
      <c r="D60">
        <v>25</v>
      </c>
      <c r="E60" s="10"/>
      <c r="F60" s="11"/>
      <c r="G60" s="10"/>
      <c r="H60" s="14"/>
      <c r="I60" s="10"/>
      <c r="J60" s="13"/>
      <c r="K60" s="10"/>
      <c r="L60" s="10"/>
      <c r="M60" s="10"/>
      <c r="N60" s="10"/>
      <c r="O60" s="10"/>
      <c r="P60" s="14"/>
      <c r="Q60" s="10"/>
    </row>
    <row r="61" spans="4:33" ht="13" thickBot="1">
      <c r="E61" s="12"/>
      <c r="F61" s="13" t="s">
        <v>217</v>
      </c>
      <c r="G61" s="9" t="str">
        <f>IF(OR(F60="",F62=""),"",+IF(F60&gt;F62,E60,E62))</f>
        <v/>
      </c>
      <c r="H61" s="16"/>
      <c r="I61" s="10"/>
      <c r="J61" s="14"/>
      <c r="K61" s="10"/>
      <c r="L61" s="10"/>
      <c r="M61" s="10"/>
      <c r="N61" s="10"/>
      <c r="O61" s="10"/>
      <c r="P61" s="14"/>
      <c r="Q61" s="10"/>
    </row>
    <row r="62" spans="4:33" ht="13" thickBot="1">
      <c r="D62">
        <v>26</v>
      </c>
      <c r="E62" s="10"/>
      <c r="F62" s="16"/>
      <c r="G62" s="10"/>
      <c r="H62" s="10"/>
      <c r="I62" s="10"/>
      <c r="J62" s="14" t="s">
        <v>220</v>
      </c>
      <c r="K62" s="9" t="str">
        <f>IF(OR(J59="",J65=""),"",+IF(J59&gt;J65,I59,I65))</f>
        <v/>
      </c>
      <c r="L62" s="11"/>
      <c r="M62" s="10"/>
      <c r="N62" s="10"/>
      <c r="O62" s="10"/>
      <c r="P62" s="14"/>
      <c r="Q62" s="10"/>
    </row>
    <row r="63" spans="4:33">
      <c r="E63" s="12"/>
      <c r="F63" s="10"/>
      <c r="G63" s="10"/>
      <c r="H63" s="10"/>
      <c r="I63" s="10"/>
      <c r="J63" s="14"/>
      <c r="K63" s="12"/>
      <c r="L63" s="13"/>
      <c r="M63" s="10"/>
      <c r="N63" s="10"/>
      <c r="O63" s="10"/>
      <c r="P63" s="14"/>
      <c r="Q63" s="10"/>
    </row>
    <row r="64" spans="4:33" ht="13" thickBot="1">
      <c r="D64">
        <v>27</v>
      </c>
      <c r="E64" s="9"/>
      <c r="F64" s="9"/>
      <c r="G64" s="9">
        <f>E64</f>
        <v>0</v>
      </c>
      <c r="H64" s="11"/>
      <c r="I64" s="10"/>
      <c r="J64" s="14"/>
      <c r="K64" s="10"/>
      <c r="L64" s="14"/>
      <c r="M64" s="10"/>
      <c r="N64" s="10"/>
      <c r="O64" s="10"/>
      <c r="P64" s="14"/>
      <c r="Q64" s="10"/>
    </row>
    <row r="65" spans="4:17" ht="13" thickBot="1">
      <c r="E65" s="10"/>
      <c r="F65" s="10"/>
      <c r="G65" s="10"/>
      <c r="H65" s="13" t="s">
        <v>250</v>
      </c>
      <c r="I65" s="9" t="str">
        <f>IF(OR(H64="",H66=""),"",+IF(H64&gt;H66,E64,E66))</f>
        <v/>
      </c>
      <c r="J65" s="16"/>
      <c r="K65" s="10"/>
      <c r="L65" s="14"/>
      <c r="M65" s="10"/>
      <c r="N65" s="10"/>
      <c r="O65" s="10"/>
      <c r="P65" s="14"/>
      <c r="Q65" s="10"/>
    </row>
    <row r="66" spans="4:17" ht="13" thickBot="1">
      <c r="D66">
        <v>28</v>
      </c>
      <c r="E66" s="9"/>
      <c r="F66" s="9"/>
      <c r="G66" s="9">
        <f>E66</f>
        <v>0</v>
      </c>
      <c r="H66" s="16"/>
      <c r="I66" s="10"/>
      <c r="J66" s="10"/>
      <c r="K66" s="10"/>
      <c r="L66" s="14"/>
      <c r="M66" s="10"/>
      <c r="N66" s="10"/>
      <c r="O66" s="10"/>
      <c r="P66" s="14"/>
      <c r="Q66" s="10"/>
    </row>
    <row r="67" spans="4:17" ht="13" thickBot="1">
      <c r="E67" s="10"/>
      <c r="F67" s="10"/>
      <c r="G67" s="10"/>
      <c r="H67" s="10"/>
      <c r="I67" s="10"/>
      <c r="J67" s="10"/>
      <c r="K67" s="10"/>
      <c r="L67" s="14" t="s">
        <v>243</v>
      </c>
      <c r="M67" s="9" t="str">
        <f>IF(OR(L62="",L74=""),"",+IF(L62&gt;L74,K62,K74))</f>
        <v/>
      </c>
      <c r="N67" s="17"/>
      <c r="O67" s="10"/>
      <c r="P67" s="14"/>
      <c r="Q67" s="10"/>
    </row>
    <row r="68" spans="4:17" ht="13" thickBot="1">
      <c r="D68">
        <v>29</v>
      </c>
      <c r="E68" s="10"/>
      <c r="F68" s="9"/>
      <c r="G68" s="9">
        <f>E68</f>
        <v>0</v>
      </c>
      <c r="H68" s="11"/>
      <c r="I68" s="10"/>
      <c r="J68" s="10"/>
      <c r="K68" s="10"/>
      <c r="L68" s="14"/>
      <c r="M68" s="10"/>
      <c r="N68" s="13"/>
      <c r="O68" s="10"/>
      <c r="P68" s="14"/>
      <c r="Q68" s="10"/>
    </row>
    <row r="69" spans="4:17">
      <c r="E69" s="12"/>
      <c r="F69" s="10"/>
      <c r="G69" s="10"/>
      <c r="H69" s="13"/>
      <c r="I69" s="10"/>
      <c r="J69" s="10"/>
      <c r="K69" s="10"/>
      <c r="L69" s="14"/>
      <c r="M69" s="10"/>
      <c r="N69" s="14"/>
      <c r="O69" s="10"/>
      <c r="P69" s="14"/>
      <c r="Q69" s="10"/>
    </row>
    <row r="70" spans="4:17" ht="13" thickBot="1">
      <c r="E70" s="10"/>
      <c r="F70" s="10"/>
      <c r="G70" s="10"/>
      <c r="H70" s="14" t="s">
        <v>252</v>
      </c>
      <c r="I70" s="9" t="str">
        <f>IF(OR(H68="",H72=""),"",+IF(H68&gt;H72,G68,G72))</f>
        <v/>
      </c>
      <c r="J70" s="11"/>
      <c r="K70" s="10"/>
      <c r="L70" s="14"/>
      <c r="M70" s="10"/>
      <c r="N70" s="14"/>
      <c r="O70" s="10"/>
      <c r="P70" s="14"/>
      <c r="Q70" s="10"/>
    </row>
    <row r="71" spans="4:17" ht="13" thickBot="1">
      <c r="D71">
        <v>30</v>
      </c>
      <c r="E71" s="10"/>
      <c r="F71" s="11"/>
      <c r="G71" s="10"/>
      <c r="H71" s="14"/>
      <c r="I71" s="10"/>
      <c r="J71" s="13"/>
      <c r="K71" s="10"/>
      <c r="L71" s="14"/>
      <c r="M71" s="10"/>
      <c r="N71" s="14"/>
      <c r="O71" s="10"/>
      <c r="P71" s="14"/>
      <c r="Q71" s="10"/>
    </row>
    <row r="72" spans="4:17" ht="13" thickBot="1">
      <c r="E72" s="12"/>
      <c r="F72" s="13" t="s">
        <v>219</v>
      </c>
      <c r="G72" s="9" t="str">
        <f>IF(OR(F71="",F73=""),"",+IF(F71&gt;F73,E71,E73))</f>
        <v/>
      </c>
      <c r="H72" s="16"/>
      <c r="I72" s="10"/>
      <c r="J72" s="14"/>
      <c r="K72" s="10"/>
      <c r="L72" s="14"/>
      <c r="M72" s="10"/>
      <c r="N72" s="14"/>
      <c r="O72" s="10"/>
      <c r="P72" s="14"/>
      <c r="Q72" s="10"/>
    </row>
    <row r="73" spans="4:17" ht="13" thickBot="1">
      <c r="D73">
        <v>31</v>
      </c>
      <c r="E73" s="10"/>
      <c r="F73" s="16"/>
      <c r="G73" s="10"/>
      <c r="H73" s="10"/>
      <c r="I73" s="10"/>
      <c r="J73" s="14"/>
      <c r="K73" s="10"/>
      <c r="L73" s="14"/>
      <c r="M73" s="10"/>
      <c r="N73" s="14"/>
      <c r="O73" s="10"/>
      <c r="P73" s="14"/>
      <c r="Q73" s="10"/>
    </row>
    <row r="74" spans="4:17" ht="13" thickBot="1">
      <c r="E74" s="12"/>
      <c r="F74" s="10"/>
      <c r="G74" s="10"/>
      <c r="H74" s="10"/>
      <c r="I74" s="10"/>
      <c r="J74" s="14" t="s">
        <v>224</v>
      </c>
      <c r="K74" s="9" t="str">
        <f>IF(OR(J70="",J78=""),"",+IF(J70&gt;J78,I70,I78))</f>
        <v/>
      </c>
      <c r="L74" s="16"/>
      <c r="M74" s="10"/>
      <c r="N74" s="14"/>
      <c r="O74" s="10"/>
      <c r="P74" s="14"/>
      <c r="Q74" s="10"/>
    </row>
    <row r="75" spans="4:17" ht="13" thickBot="1">
      <c r="D75">
        <v>32</v>
      </c>
      <c r="E75" s="10"/>
      <c r="F75" s="11"/>
      <c r="G75" s="10"/>
      <c r="H75" s="10"/>
      <c r="I75" s="10"/>
      <c r="J75" s="14"/>
      <c r="K75" s="10"/>
      <c r="L75" s="10"/>
      <c r="M75" s="10"/>
      <c r="N75" s="14"/>
      <c r="O75" s="10"/>
      <c r="P75" s="14"/>
      <c r="Q75" s="10"/>
    </row>
    <row r="76" spans="4:17" ht="13" thickBot="1">
      <c r="E76" s="12"/>
      <c r="F76" s="13" t="s">
        <v>221</v>
      </c>
      <c r="G76" s="9" t="str">
        <f>IF(OR(F75="",F77=""),"",+IF(F75&gt;F77,E75,E77))</f>
        <v/>
      </c>
      <c r="H76" s="11"/>
      <c r="I76" s="10"/>
      <c r="J76" s="14"/>
      <c r="K76" s="10"/>
      <c r="L76" s="10"/>
      <c r="M76" s="10"/>
      <c r="N76" s="14"/>
      <c r="O76" s="10"/>
      <c r="P76" s="14"/>
      <c r="Q76" s="10"/>
    </row>
    <row r="77" spans="4:17" ht="13" thickBot="1">
      <c r="D77">
        <v>33</v>
      </c>
      <c r="E77" s="9"/>
      <c r="F77" s="16"/>
      <c r="G77" s="10"/>
      <c r="H77" s="13"/>
      <c r="I77" s="10"/>
      <c r="J77" s="14"/>
      <c r="K77" s="10"/>
      <c r="L77" s="10"/>
      <c r="M77" s="10"/>
      <c r="N77" s="14"/>
      <c r="O77" s="10"/>
      <c r="P77" s="14"/>
      <c r="Q77" s="10"/>
    </row>
    <row r="78" spans="4:17" ht="13" thickBot="1">
      <c r="E78" s="10"/>
      <c r="F78" s="10"/>
      <c r="G78" s="10"/>
      <c r="H78" s="14" t="s">
        <v>254</v>
      </c>
      <c r="I78" s="9" t="str">
        <f>IF(OR(H76="",H79=""),"",+IF(H76&gt;H79,G76,E79))</f>
        <v/>
      </c>
      <c r="J78" s="16"/>
      <c r="K78" s="10"/>
      <c r="L78" s="10"/>
      <c r="M78" s="10"/>
      <c r="N78" s="14"/>
      <c r="O78" s="10"/>
      <c r="P78" s="14"/>
      <c r="Q78" s="10"/>
    </row>
    <row r="79" spans="4:17" ht="13" thickBot="1">
      <c r="D79">
        <v>34</v>
      </c>
      <c r="E79" s="9"/>
      <c r="F79" s="9"/>
      <c r="G79" s="9">
        <f>E79</f>
        <v>0</v>
      </c>
      <c r="H79" s="16"/>
      <c r="I79" s="10"/>
      <c r="J79" s="10"/>
      <c r="K79" s="10"/>
      <c r="L79" s="10"/>
      <c r="M79" s="10"/>
      <c r="N79" s="14"/>
      <c r="O79" s="10"/>
      <c r="P79" s="14"/>
      <c r="Q79" s="10"/>
    </row>
    <row r="80" spans="4:17" ht="13" thickBot="1">
      <c r="E80" s="10"/>
      <c r="F80" s="10"/>
      <c r="G80" s="10"/>
      <c r="H80" s="10"/>
      <c r="I80" s="10"/>
      <c r="J80" s="10"/>
      <c r="K80" s="10"/>
      <c r="L80" s="10"/>
      <c r="M80" s="10"/>
      <c r="N80" s="14" t="s">
        <v>255</v>
      </c>
      <c r="O80" s="9" t="str">
        <f>IF(OR(N67="",N94=""),"",+IF(N67&gt;N94,M67,M94))</f>
        <v/>
      </c>
      <c r="P80" s="16"/>
      <c r="Q80" s="10"/>
    </row>
    <row r="81" spans="4:17" ht="13" thickBot="1">
      <c r="D81">
        <v>35</v>
      </c>
      <c r="E81" s="10"/>
      <c r="F81" s="9"/>
      <c r="G81" s="9">
        <f>E81</f>
        <v>0</v>
      </c>
      <c r="H81" s="11"/>
      <c r="I81" s="10"/>
      <c r="J81" s="10"/>
      <c r="K81" s="10"/>
      <c r="L81" s="10"/>
      <c r="M81" s="10"/>
      <c r="N81" s="14"/>
      <c r="O81" s="10"/>
      <c r="P81" s="10"/>
      <c r="Q81" s="10"/>
    </row>
    <row r="82" spans="4:17">
      <c r="E82" s="12"/>
      <c r="F82" s="10"/>
      <c r="G82" s="10"/>
      <c r="H82" s="13"/>
      <c r="I82" s="10"/>
      <c r="J82" s="10"/>
      <c r="K82" s="10"/>
      <c r="L82" s="10"/>
      <c r="M82" s="10"/>
      <c r="N82" s="14"/>
      <c r="O82" s="10"/>
      <c r="P82" s="10"/>
      <c r="Q82" s="10"/>
    </row>
    <row r="83" spans="4:17" ht="13" thickBot="1">
      <c r="E83" s="10"/>
      <c r="F83" s="10"/>
      <c r="G83" s="10"/>
      <c r="H83" s="14" t="s">
        <v>256</v>
      </c>
      <c r="I83" s="9" t="str">
        <f>IF(OR(H81="",H85=""),"",+IF(H81&gt;H85,G81,G85))</f>
        <v/>
      </c>
      <c r="J83" s="11"/>
      <c r="K83" s="10"/>
      <c r="L83" s="10"/>
      <c r="M83" s="10"/>
      <c r="N83" s="14"/>
      <c r="O83" s="10"/>
      <c r="P83" s="10"/>
      <c r="Q83" s="10"/>
    </row>
    <row r="84" spans="4:17" ht="13" thickBot="1">
      <c r="D84">
        <v>36</v>
      </c>
      <c r="E84" s="10"/>
      <c r="F84" s="11"/>
      <c r="G84" s="10"/>
      <c r="H84" s="14"/>
      <c r="I84" s="10"/>
      <c r="J84" s="13"/>
      <c r="K84" s="10"/>
      <c r="L84" s="10"/>
      <c r="M84" s="10"/>
      <c r="N84" s="14"/>
      <c r="O84" s="10"/>
      <c r="P84" s="10"/>
      <c r="Q84" s="10"/>
    </row>
    <row r="85" spans="4:17" ht="13" thickBot="1">
      <c r="E85" s="12"/>
      <c r="F85" s="13" t="s">
        <v>223</v>
      </c>
      <c r="G85" s="9" t="str">
        <f>IF(OR(F84="",F86=""),"",+IF(F84&gt;F86,E84,E86))</f>
        <v/>
      </c>
      <c r="H85" s="16"/>
      <c r="I85" s="10"/>
      <c r="J85" s="14"/>
      <c r="K85" s="10"/>
      <c r="L85" s="10"/>
      <c r="M85" s="10"/>
      <c r="N85" s="14"/>
      <c r="O85" s="10"/>
      <c r="P85" s="10"/>
      <c r="Q85" s="10"/>
    </row>
    <row r="86" spans="4:17" ht="13" thickBot="1">
      <c r="D86">
        <v>37</v>
      </c>
      <c r="E86" s="10"/>
      <c r="F86" s="16"/>
      <c r="G86" s="10"/>
      <c r="H86" s="10"/>
      <c r="I86" s="10"/>
      <c r="J86" s="14"/>
      <c r="K86" s="10"/>
      <c r="L86" s="10"/>
      <c r="M86" s="10"/>
      <c r="N86" s="14"/>
      <c r="O86" s="10"/>
      <c r="P86" s="10"/>
      <c r="Q86" s="10"/>
    </row>
    <row r="87" spans="4:17" ht="13" thickBot="1">
      <c r="E87" s="12"/>
      <c r="F87" s="10"/>
      <c r="G87" s="10"/>
      <c r="H87" s="10"/>
      <c r="I87" s="10"/>
      <c r="J87" s="14" t="s">
        <v>228</v>
      </c>
      <c r="K87" s="9" t="str">
        <f>IF(OR(J83="",J91=""),"",+IF(J83&gt;J91,I83,I91))</f>
        <v/>
      </c>
      <c r="L87" s="17"/>
      <c r="M87" s="10"/>
      <c r="N87" s="14"/>
      <c r="O87" s="10"/>
      <c r="P87" s="10"/>
      <c r="Q87" s="10"/>
    </row>
    <row r="88" spans="4:17" ht="13" thickBot="1">
      <c r="D88">
        <v>38</v>
      </c>
      <c r="E88" s="10"/>
      <c r="F88" s="11"/>
      <c r="G88" s="10"/>
      <c r="H88" s="10"/>
      <c r="I88" s="10"/>
      <c r="J88" s="14"/>
      <c r="K88" s="10"/>
      <c r="L88" s="13"/>
      <c r="M88" s="10"/>
      <c r="N88" s="14"/>
      <c r="O88" s="10"/>
      <c r="P88" s="10"/>
      <c r="Q88" s="10"/>
    </row>
    <row r="89" spans="4:17" ht="13" thickBot="1">
      <c r="E89" s="12"/>
      <c r="F89" s="13" t="s">
        <v>225</v>
      </c>
      <c r="G89" s="9" t="str">
        <f>IF(OR(F88="",F90=""),"",+IF(F88&gt;F90,E88,E90))</f>
        <v/>
      </c>
      <c r="H89" s="11"/>
      <c r="I89" s="10"/>
      <c r="J89" s="14"/>
      <c r="K89" s="10"/>
      <c r="L89" s="14"/>
      <c r="M89" s="10"/>
      <c r="N89" s="14"/>
      <c r="O89" s="10"/>
      <c r="P89" s="10"/>
      <c r="Q89" s="10"/>
    </row>
    <row r="90" spans="4:17" ht="13" thickBot="1">
      <c r="D90">
        <v>39</v>
      </c>
      <c r="E90" s="9"/>
      <c r="F90" s="16"/>
      <c r="G90" s="10"/>
      <c r="H90" s="13"/>
      <c r="I90" s="10"/>
      <c r="J90" s="14"/>
      <c r="K90" s="10"/>
      <c r="L90" s="14"/>
      <c r="M90" s="10"/>
      <c r="N90" s="14"/>
      <c r="O90" s="10"/>
      <c r="P90" s="10"/>
      <c r="Q90" s="10"/>
    </row>
    <row r="91" spans="4:17" ht="13" thickBot="1">
      <c r="E91" s="10"/>
      <c r="F91" s="10"/>
      <c r="G91" s="10"/>
      <c r="H91" s="14" t="s">
        <v>258</v>
      </c>
      <c r="I91" s="9" t="str">
        <f>IF(OR(H89="",H92=""),"",+IF(H89&gt;H92,G89,E92))</f>
        <v/>
      </c>
      <c r="J91" s="16"/>
      <c r="K91" s="10"/>
      <c r="L91" s="14"/>
      <c r="M91" s="10"/>
      <c r="N91" s="14"/>
      <c r="O91" s="10"/>
      <c r="P91" s="10"/>
      <c r="Q91" s="10"/>
    </row>
    <row r="92" spans="4:17" ht="13" thickBot="1">
      <c r="D92">
        <v>40</v>
      </c>
      <c r="E92" s="9"/>
      <c r="F92" s="9"/>
      <c r="G92" s="9">
        <f>E92</f>
        <v>0</v>
      </c>
      <c r="H92" s="16"/>
      <c r="I92" s="10"/>
      <c r="J92" s="10"/>
      <c r="K92" s="10"/>
      <c r="L92" s="14"/>
      <c r="M92" s="10"/>
      <c r="N92" s="14"/>
      <c r="O92" s="10"/>
      <c r="P92" s="10"/>
      <c r="Q92" s="10"/>
    </row>
    <row r="93" spans="4:17">
      <c r="E93" s="10"/>
      <c r="F93" s="10"/>
      <c r="G93" s="10"/>
      <c r="H93" s="10"/>
      <c r="I93" s="10"/>
      <c r="J93" s="10"/>
      <c r="K93" s="10"/>
      <c r="L93" s="14"/>
      <c r="M93" s="10"/>
      <c r="N93" s="14"/>
      <c r="O93" s="10"/>
      <c r="P93" s="10"/>
      <c r="Q93" s="10"/>
    </row>
    <row r="94" spans="4:17" ht="13" thickBot="1">
      <c r="D94">
        <v>41</v>
      </c>
      <c r="E94" s="10"/>
      <c r="F94" s="9"/>
      <c r="G94" s="9">
        <f>E94</f>
        <v>0</v>
      </c>
      <c r="H94" s="11"/>
      <c r="I94" s="10"/>
      <c r="J94" s="10"/>
      <c r="K94" s="10"/>
      <c r="L94" s="14" t="s">
        <v>247</v>
      </c>
      <c r="M94" s="9" t="str">
        <f>IF(OR(L87="",L100=""),"",+IF(L87&gt;L100,K87,K100))</f>
        <v/>
      </c>
      <c r="N94" s="16"/>
      <c r="O94" s="10"/>
      <c r="P94" s="10"/>
      <c r="Q94" s="10"/>
    </row>
    <row r="95" spans="4:17">
      <c r="E95" s="12"/>
      <c r="F95" s="10"/>
      <c r="G95" s="10"/>
      <c r="H95" s="13"/>
      <c r="I95" s="10"/>
      <c r="J95" s="10"/>
      <c r="K95" s="10"/>
      <c r="L95" s="14"/>
      <c r="M95" s="10"/>
      <c r="N95" s="10"/>
      <c r="O95" s="10"/>
      <c r="P95" s="10"/>
      <c r="Q95" s="10"/>
    </row>
    <row r="96" spans="4:17" ht="13" thickBot="1">
      <c r="E96" s="10"/>
      <c r="F96" s="10"/>
      <c r="G96" s="10"/>
      <c r="H96" s="14" t="s">
        <v>260</v>
      </c>
      <c r="I96" s="9" t="str">
        <f>IF(OR(H94="",H98=""),"",+IF(H94&gt;H98,G94,G98))</f>
        <v/>
      </c>
      <c r="J96" s="11"/>
      <c r="K96" s="10"/>
      <c r="L96" s="14"/>
      <c r="M96" s="10"/>
      <c r="N96" s="10"/>
      <c r="O96" s="10"/>
      <c r="P96" s="10"/>
      <c r="Q96" s="10"/>
    </row>
    <row r="97" spans="4:17" ht="13" thickBot="1">
      <c r="D97">
        <v>42</v>
      </c>
      <c r="E97" s="10"/>
      <c r="F97" s="11"/>
      <c r="G97" s="10"/>
      <c r="H97" s="14"/>
      <c r="I97" s="10"/>
      <c r="J97" s="13"/>
      <c r="K97" s="10"/>
      <c r="L97" s="14"/>
      <c r="M97" s="10"/>
      <c r="N97" s="10"/>
      <c r="O97" s="10"/>
      <c r="P97" s="10"/>
      <c r="Q97" s="10"/>
    </row>
    <row r="98" spans="4:17" ht="13" thickBot="1">
      <c r="E98" s="12"/>
      <c r="F98" s="13" t="s">
        <v>227</v>
      </c>
      <c r="G98" s="9" t="str">
        <f>IF(OR(F97="",F99=""),"",+IF(F97&gt;F99,E97,E99))</f>
        <v/>
      </c>
      <c r="H98" s="16"/>
      <c r="I98" s="10"/>
      <c r="J98" s="14"/>
      <c r="K98" s="10"/>
      <c r="L98" s="14"/>
      <c r="M98" s="10"/>
      <c r="N98" s="10"/>
      <c r="O98" s="10"/>
      <c r="P98" s="10"/>
      <c r="Q98" s="10"/>
    </row>
    <row r="99" spans="4:17" ht="13" thickBot="1">
      <c r="D99">
        <v>43</v>
      </c>
      <c r="E99" s="10"/>
      <c r="F99" s="16"/>
      <c r="G99" s="10"/>
      <c r="H99" s="10"/>
      <c r="I99" s="10"/>
      <c r="J99" s="14"/>
      <c r="K99" s="10"/>
      <c r="L99" s="14"/>
      <c r="M99" s="10"/>
      <c r="N99" s="10"/>
      <c r="O99" s="10"/>
      <c r="P99" s="10"/>
      <c r="Q99" s="10"/>
    </row>
    <row r="100" spans="4:17" ht="13" thickBot="1">
      <c r="E100" s="12"/>
      <c r="F100" s="10"/>
      <c r="G100" s="10"/>
      <c r="H100" s="10"/>
      <c r="I100" s="10"/>
      <c r="J100" s="14" t="s">
        <v>231</v>
      </c>
      <c r="K100" s="9" t="str">
        <f>IF(OR(J96="",J104=""),"",+IF(J96&gt;J104,I96,I104))</f>
        <v/>
      </c>
      <c r="L100" s="16"/>
      <c r="M100" s="10"/>
      <c r="N100" s="10"/>
      <c r="O100" s="10"/>
      <c r="P100" s="10"/>
      <c r="Q100" s="10"/>
    </row>
    <row r="101" spans="4:17" ht="13" thickBot="1">
      <c r="D101">
        <v>44</v>
      </c>
      <c r="E101" s="10"/>
      <c r="F101" s="11"/>
      <c r="G101" s="10"/>
      <c r="H101" s="10"/>
      <c r="I101" s="10"/>
      <c r="J101" s="14"/>
      <c r="K101" s="10"/>
      <c r="L101" s="10"/>
      <c r="M101" s="10"/>
      <c r="N101" s="10"/>
      <c r="O101" s="10"/>
      <c r="P101" s="10"/>
      <c r="Q101" s="10"/>
    </row>
    <row r="102" spans="4:17" ht="13" thickBot="1">
      <c r="E102" s="12"/>
      <c r="F102" s="13" t="s">
        <v>229</v>
      </c>
      <c r="G102" s="9" t="str">
        <f>IF(OR(F101="",F103=""),"",+IF(F101&gt;F103,E101,E103))</f>
        <v/>
      </c>
      <c r="H102" s="11"/>
      <c r="I102" s="10"/>
      <c r="J102" s="14"/>
      <c r="K102" s="10"/>
      <c r="L102" s="10"/>
      <c r="M102" s="10"/>
      <c r="N102" s="10"/>
      <c r="O102" s="10"/>
      <c r="P102" s="10"/>
      <c r="Q102" s="10"/>
    </row>
    <row r="103" spans="4:17" ht="13" thickBot="1">
      <c r="D103">
        <v>45</v>
      </c>
      <c r="E103" s="9"/>
      <c r="F103" s="16"/>
      <c r="G103" s="10"/>
      <c r="H103" s="13"/>
      <c r="I103" s="10"/>
      <c r="J103" s="14"/>
      <c r="K103" s="10"/>
      <c r="L103" s="10"/>
      <c r="M103" s="10"/>
      <c r="N103" s="10"/>
      <c r="O103" s="10"/>
      <c r="P103" s="10"/>
      <c r="Q103" s="10"/>
    </row>
    <row r="104" spans="4:17" ht="13" thickBot="1">
      <c r="E104" s="10"/>
      <c r="F104" s="10"/>
      <c r="G104" s="10"/>
      <c r="H104" s="14" t="s">
        <v>201</v>
      </c>
      <c r="I104" s="9" t="str">
        <f>IF(OR(H102="",H105=""),"",+IF(H102&gt;H105,G102,E105))</f>
        <v/>
      </c>
      <c r="J104" s="16"/>
      <c r="K104" s="10"/>
      <c r="L104" s="10"/>
      <c r="M104" s="10"/>
      <c r="N104" s="10"/>
      <c r="O104" s="10"/>
      <c r="P104" s="10"/>
      <c r="Q104" s="10"/>
    </row>
    <row r="105" spans="4:17" ht="13" thickBot="1">
      <c r="D105">
        <v>46</v>
      </c>
      <c r="E105" s="9"/>
      <c r="F105" s="9"/>
      <c r="G105" s="9">
        <f>E105</f>
        <v>0</v>
      </c>
      <c r="H105" s="16"/>
      <c r="I105" s="10"/>
      <c r="J105" s="10"/>
      <c r="K105" s="10"/>
      <c r="L105" s="10"/>
      <c r="M105" s="10"/>
      <c r="N105" s="10"/>
      <c r="O105" s="10"/>
      <c r="P105" s="10"/>
      <c r="Q105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43"/>
  <dimension ref="D4:AG103"/>
  <sheetViews>
    <sheetView showGridLines="0" topLeftCell="A11" zoomScale="50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5.64453125" customWidth="1"/>
    <col min="16" max="16" width="3.64453125" customWidth="1"/>
    <col min="17" max="17" width="20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E21</f>
        <v>0</v>
      </c>
      <c r="V6" t="s">
        <v>77</v>
      </c>
      <c r="W6" s="29">
        <f>E23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E25</f>
        <v>0</v>
      </c>
      <c r="V7" t="s">
        <v>77</v>
      </c>
      <c r="W7" s="29">
        <f>E27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E34</f>
        <v>0</v>
      </c>
      <c r="V8" t="s">
        <v>77</v>
      </c>
      <c r="W8" s="29">
        <f>E36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229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E45</f>
        <v>0</v>
      </c>
      <c r="V9" t="s">
        <v>77</v>
      </c>
      <c r="W9" s="29">
        <f>E47</f>
        <v>0</v>
      </c>
      <c r="Z9" s="34"/>
      <c r="AA9" s="40"/>
      <c r="AB9" s="40"/>
      <c r="AC9" s="38" t="s">
        <v>159</v>
      </c>
      <c r="AD9" s="48"/>
      <c r="AE9" s="53" t="e">
        <f>LOOKUP(AD9,T$5:T$78,U$5:U$51)</f>
        <v>#N/A</v>
      </c>
      <c r="AF9" s="37" t="s">
        <v>157</v>
      </c>
      <c r="AG9" s="65" t="e">
        <f>LOOKUP(AD9,T$5:T$78,W$5:W$50)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E49</f>
        <v>0</v>
      </c>
      <c r="V10" t="s">
        <v>77</v>
      </c>
      <c r="W10" s="29">
        <f>E51</f>
        <v>0</v>
      </c>
      <c r="Z10" s="34"/>
      <c r="AA10" s="40"/>
      <c r="AB10" s="40"/>
      <c r="AC10" s="38" t="s">
        <v>159</v>
      </c>
      <c r="AD10" s="48"/>
      <c r="AE10" s="53" t="e">
        <f>LOOKUP(AD10,T$5:T$78,U$5:U$51)</f>
        <v>#N/A</v>
      </c>
      <c r="AF10" s="37" t="s">
        <v>157</v>
      </c>
      <c r="AG10" s="65" t="e">
        <f>LOOKUP(AD10,T$5:T$78,W$5:W$50)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E58</f>
        <v>0</v>
      </c>
      <c r="V11" t="s">
        <v>77</v>
      </c>
      <c r="W11" s="29">
        <f>E60</f>
        <v>0</v>
      </c>
      <c r="Z11" s="34"/>
      <c r="AA11" s="40"/>
      <c r="AB11" s="40"/>
      <c r="AC11" s="38" t="s">
        <v>159</v>
      </c>
      <c r="AD11" s="48"/>
      <c r="AE11" s="53" t="e">
        <f>LOOKUP(AD11,T$5:T$78,U$5:U$51)</f>
        <v>#N/A</v>
      </c>
      <c r="AF11" s="37" t="s">
        <v>157</v>
      </c>
      <c r="AG11" s="65" t="e">
        <f>LOOKUP(AD11,T$5:T$78,W$5:W$50)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201</v>
      </c>
      <c r="K12" s="9" t="str">
        <f>IF(OR(J9="",J15=""),"",+IF(J9&gt;J15,I9,I15))</f>
        <v/>
      </c>
      <c r="L12" s="11"/>
      <c r="M12" s="10"/>
      <c r="N12" s="10"/>
      <c r="O12" s="10"/>
      <c r="P12" s="10"/>
      <c r="Q12" s="10"/>
      <c r="T12">
        <v>8</v>
      </c>
      <c r="U12" s="28">
        <f>E69</f>
        <v>0</v>
      </c>
      <c r="V12" t="s">
        <v>77</v>
      </c>
      <c r="W12" s="29">
        <f>E71</f>
        <v>0</v>
      </c>
      <c r="Z12" s="34"/>
      <c r="AA12" s="40"/>
      <c r="AB12" s="40"/>
      <c r="AC12" s="38" t="s">
        <v>159</v>
      </c>
      <c r="AD12" s="48"/>
      <c r="AE12" s="53" t="e">
        <f>LOOKUP(AD12,T$5:T$78,U$5:U$51)</f>
        <v>#N/A</v>
      </c>
      <c r="AF12" s="37" t="s">
        <v>157</v>
      </c>
      <c r="AG12" s="65" t="e">
        <f>LOOKUP(AD12,T$5:T$78,W$5:W$50)</f>
        <v>#N/A</v>
      </c>
    </row>
    <row r="13" spans="4:33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P13" s="10"/>
      <c r="Q13" s="10"/>
      <c r="T13">
        <v>9</v>
      </c>
      <c r="U13" s="28">
        <f>E73</f>
        <v>0</v>
      </c>
      <c r="V13" t="s">
        <v>77</v>
      </c>
      <c r="W13" s="29">
        <f>E75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P14" s="10"/>
      <c r="Q14" s="10"/>
      <c r="T14">
        <v>10</v>
      </c>
      <c r="U14" s="28">
        <f>E82</f>
        <v>0</v>
      </c>
      <c r="V14" t="s">
        <v>77</v>
      </c>
      <c r="W14" s="29">
        <f>E84</f>
        <v>0</v>
      </c>
      <c r="Z14" s="34"/>
      <c r="AA14" s="40"/>
      <c r="AB14" s="40"/>
      <c r="AC14" s="38" t="s">
        <v>159</v>
      </c>
      <c r="AD14" s="48"/>
      <c r="AE14" s="53" t="e">
        <f>LOOKUP(AD14,T$5:T$78,U$5:U$51)</f>
        <v>#N/A</v>
      </c>
      <c r="AF14" s="37" t="s">
        <v>157</v>
      </c>
      <c r="AG14" s="65" t="e">
        <f>LOOKUP(AD14,T$5:T$78,W$5:W$50)</f>
        <v>#N/A</v>
      </c>
    </row>
    <row r="15" spans="4:33" ht="13" thickBot="1">
      <c r="E15" s="10"/>
      <c r="F15" s="10"/>
      <c r="G15" s="10"/>
      <c r="H15" s="13" t="s">
        <v>232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P15" s="10"/>
      <c r="Q15" s="10"/>
      <c r="T15">
        <v>11</v>
      </c>
      <c r="U15" s="28">
        <f>E86</f>
        <v>0</v>
      </c>
      <c r="V15" t="s">
        <v>77</v>
      </c>
      <c r="W15" s="29">
        <f>E88</f>
        <v>0</v>
      </c>
      <c r="Z15" s="34"/>
      <c r="AA15" s="40"/>
      <c r="AB15" s="40"/>
      <c r="AC15" s="38" t="s">
        <v>159</v>
      </c>
      <c r="AD15" s="48"/>
      <c r="AE15" s="53" t="e">
        <f>LOOKUP(AD15,T$5:T$78,U$5:U$51)</f>
        <v>#N/A</v>
      </c>
      <c r="AF15" s="37" t="s">
        <v>157</v>
      </c>
      <c r="AG15" s="65" t="e">
        <f>LOOKUP(AD15,T$5:T$78,W$5:W$50)</f>
        <v>#N/A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P16" s="10"/>
      <c r="Q16" s="10"/>
      <c r="T16">
        <v>12</v>
      </c>
      <c r="U16" s="28">
        <f>E95</f>
        <v>0</v>
      </c>
      <c r="V16" t="s">
        <v>77</v>
      </c>
      <c r="W16" s="29">
        <f>E90</f>
        <v>0</v>
      </c>
      <c r="Z16" s="34"/>
      <c r="AA16" s="40"/>
      <c r="AB16" s="40"/>
      <c r="AC16" s="38" t="s">
        <v>159</v>
      </c>
      <c r="AD16" s="48"/>
      <c r="AE16" s="53" t="e">
        <f>LOOKUP(AD16,T$5:T$78,U$5:U$51)</f>
        <v>#N/A</v>
      </c>
      <c r="AF16" s="37" t="s">
        <v>157</v>
      </c>
      <c r="AG16" s="65" t="e">
        <f>LOOKUP(AD16,T$5:T$78,W$5:W$50)</f>
        <v>#N/A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231</v>
      </c>
      <c r="M17" s="9" t="str">
        <f>IF(OR(L12="",L24=""),"",+IF(L12&gt;L24,K12,K24))</f>
        <v/>
      </c>
      <c r="N17" s="17"/>
      <c r="O17" s="10"/>
      <c r="P17" s="10"/>
      <c r="Q17" s="10"/>
      <c r="T17">
        <v>13</v>
      </c>
      <c r="U17" s="28">
        <f>E97</f>
        <v>0</v>
      </c>
      <c r="V17" t="s">
        <v>77</v>
      </c>
      <c r="W17" s="29">
        <f>E97</f>
        <v>0</v>
      </c>
      <c r="Z17" s="34"/>
      <c r="AA17" s="40"/>
      <c r="AB17" s="40"/>
      <c r="AC17" s="38" t="s">
        <v>159</v>
      </c>
      <c r="AD17" s="48"/>
      <c r="AE17" s="53" t="e">
        <f>LOOKUP(AD17,T$5:T$78,U$5:U$51)</f>
        <v>#N/A</v>
      </c>
      <c r="AF17" s="37" t="s">
        <v>157</v>
      </c>
      <c r="AG17" s="65" t="e">
        <f>LOOKUP(AD17,T$5:T$78,W$5:W$50)</f>
        <v>#N/A</v>
      </c>
    </row>
    <row r="18" spans="4:33" ht="13" thickBot="1">
      <c r="D18">
        <v>6</v>
      </c>
      <c r="E18" s="10"/>
      <c r="F18" s="9"/>
      <c r="G18" s="9">
        <f>E18</f>
        <v>0</v>
      </c>
      <c r="H18" s="11"/>
      <c r="I18" s="10"/>
      <c r="J18" s="10"/>
      <c r="K18" s="10"/>
      <c r="L18" s="14"/>
      <c r="M18" s="10"/>
      <c r="N18" s="14"/>
      <c r="O18" s="10"/>
      <c r="P18" s="10"/>
      <c r="Q18" s="10"/>
      <c r="T18">
        <v>14</v>
      </c>
      <c r="U18" s="28">
        <f>E7</f>
        <v>0</v>
      </c>
      <c r="V18" t="s">
        <v>77</v>
      </c>
      <c r="W18" s="29" t="s">
        <v>78</v>
      </c>
      <c r="Z18" s="34"/>
      <c r="AA18" s="41"/>
      <c r="AB18" s="33"/>
      <c r="AC18" s="33"/>
      <c r="AD18" s="50"/>
      <c r="AE18" s="54"/>
      <c r="AF18" s="33"/>
      <c r="AG18" s="58"/>
    </row>
    <row r="19" spans="4:33">
      <c r="E19" s="12"/>
      <c r="F19" s="10"/>
      <c r="G19" s="10"/>
      <c r="H19" s="13"/>
      <c r="I19" s="10"/>
      <c r="J19" s="10"/>
      <c r="K19" s="10"/>
      <c r="L19" s="14"/>
      <c r="M19" s="10"/>
      <c r="N19" s="14"/>
      <c r="O19" s="10"/>
      <c r="P19" s="10"/>
      <c r="Q19" s="10"/>
      <c r="T19">
        <v>15</v>
      </c>
      <c r="U19" s="28">
        <f>E14</f>
        <v>0</v>
      </c>
      <c r="V19" t="s">
        <v>77</v>
      </c>
      <c r="W19" s="29">
        <f>E16</f>
        <v>0</v>
      </c>
      <c r="Z19" s="34"/>
      <c r="AA19" s="40"/>
      <c r="AB19" s="40"/>
      <c r="AC19" s="38" t="s">
        <v>159</v>
      </c>
      <c r="AD19" s="48"/>
      <c r="AE19" s="53" t="e">
        <f>LOOKUP(AD19,T$5:T$78,U$5:U$51)</f>
        <v>#N/A</v>
      </c>
      <c r="AF19" s="37" t="s">
        <v>157</v>
      </c>
      <c r="AG19" s="65" t="e">
        <f>LOOKUP(AD19,T$5:T$78,W$5:W$50)</f>
        <v>#N/A</v>
      </c>
    </row>
    <row r="20" spans="4:33" ht="13" thickBot="1">
      <c r="E20" s="10"/>
      <c r="F20" s="10"/>
      <c r="G20" s="10"/>
      <c r="H20" s="14" t="s">
        <v>234</v>
      </c>
      <c r="I20" s="9" t="str">
        <f>IF(OR(H18="",H22=""),"",+IF(H18&gt;H22,G18,G22))</f>
        <v/>
      </c>
      <c r="J20" s="11"/>
      <c r="K20" s="10"/>
      <c r="L20" s="14"/>
      <c r="M20" s="10"/>
      <c r="N20" s="14"/>
      <c r="O20" s="10"/>
      <c r="P20" s="10"/>
      <c r="Q20" s="10"/>
      <c r="T20">
        <v>16</v>
      </c>
      <c r="U20" s="28">
        <f>E18</f>
        <v>0</v>
      </c>
      <c r="V20" t="s">
        <v>77</v>
      </c>
      <c r="W20" s="29" t="s">
        <v>160</v>
      </c>
      <c r="Z20" s="34"/>
      <c r="AA20" s="40"/>
      <c r="AB20" s="40"/>
      <c r="AC20" s="38" t="s">
        <v>159</v>
      </c>
      <c r="AD20" s="48"/>
      <c r="AE20" s="53" t="e">
        <f>LOOKUP(AD20,T$5:T$78,U$5:U$51)</f>
        <v>#N/A</v>
      </c>
      <c r="AF20" s="37" t="s">
        <v>157</v>
      </c>
      <c r="AG20" s="65" t="e">
        <f>LOOKUP(AD20,T$5:T$78,W$5:W$50)</f>
        <v>#N/A</v>
      </c>
    </row>
    <row r="21" spans="4:33" ht="13" thickBot="1">
      <c r="D21">
        <v>7</v>
      </c>
      <c r="E21" s="10"/>
      <c r="F21" s="11"/>
      <c r="G21" s="10"/>
      <c r="H21" s="14"/>
      <c r="I21" s="10"/>
      <c r="J21" s="13"/>
      <c r="K21" s="10"/>
      <c r="L21" s="14"/>
      <c r="M21" s="10"/>
      <c r="N21" s="14"/>
      <c r="O21" s="10"/>
      <c r="P21" s="10"/>
      <c r="Q21" s="10"/>
      <c r="T21">
        <v>17</v>
      </c>
      <c r="U21" s="28" t="s">
        <v>161</v>
      </c>
      <c r="V21" t="s">
        <v>77</v>
      </c>
      <c r="W21" s="29">
        <f>E29</f>
        <v>0</v>
      </c>
      <c r="Z21" s="34"/>
      <c r="AA21" s="40"/>
      <c r="AB21" s="40"/>
      <c r="AC21" s="38" t="s">
        <v>159</v>
      </c>
      <c r="AD21" s="48"/>
      <c r="AE21" s="53" t="e">
        <f>LOOKUP(AD21,T$5:T$78,U$5:U$51)</f>
        <v>#N/A</v>
      </c>
      <c r="AF21" s="37" t="s">
        <v>157</v>
      </c>
      <c r="AG21" s="65" t="e">
        <f>LOOKUP(AD21,T$5:T$78,W$5:W$50)</f>
        <v>#N/A</v>
      </c>
    </row>
    <row r="22" spans="4:33" ht="13" thickBot="1">
      <c r="E22" s="12"/>
      <c r="F22" s="13" t="s">
        <v>204</v>
      </c>
      <c r="G22" s="9" t="str">
        <f>IF(OR(F21="",F23=""),"",+IF(F21&gt;F23,E21,E23))</f>
        <v/>
      </c>
      <c r="H22" s="16"/>
      <c r="I22" s="10"/>
      <c r="J22" s="14"/>
      <c r="K22" s="10"/>
      <c r="L22" s="14"/>
      <c r="M22" s="10"/>
      <c r="N22" s="14"/>
      <c r="O22" s="10"/>
      <c r="P22" s="10"/>
      <c r="Q22" s="10"/>
      <c r="T22">
        <v>18</v>
      </c>
      <c r="U22" s="28">
        <f>E31</f>
        <v>0</v>
      </c>
      <c r="V22" t="s">
        <v>77</v>
      </c>
      <c r="W22" s="29" t="s">
        <v>81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D23">
        <v>8</v>
      </c>
      <c r="E23" s="10"/>
      <c r="F23" s="16"/>
      <c r="G23" s="10"/>
      <c r="H23" s="10"/>
      <c r="I23" s="10"/>
      <c r="J23" s="14"/>
      <c r="K23" s="10"/>
      <c r="L23" s="14"/>
      <c r="M23" s="10"/>
      <c r="N23" s="14"/>
      <c r="O23" s="10"/>
      <c r="P23" s="10"/>
      <c r="Q23" s="10"/>
      <c r="T23">
        <v>19</v>
      </c>
      <c r="U23" s="28">
        <f>E38</f>
        <v>0</v>
      </c>
      <c r="V23" t="s">
        <v>77</v>
      </c>
      <c r="W23" s="29">
        <f>E40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E24" s="12"/>
      <c r="F24" s="10"/>
      <c r="G24" s="10"/>
      <c r="H24" s="10"/>
      <c r="I24" s="10"/>
      <c r="J24" s="14" t="s">
        <v>205</v>
      </c>
      <c r="K24" s="9" t="str">
        <f>IF(OR(J20="",J28=""),"",+IF(J20&gt;J28,I20,I28))</f>
        <v/>
      </c>
      <c r="L24" s="16"/>
      <c r="M24" s="10"/>
      <c r="N24" s="14"/>
      <c r="O24" s="10"/>
      <c r="P24" s="10"/>
      <c r="Q24" s="10"/>
      <c r="T24">
        <v>20</v>
      </c>
      <c r="U24" s="28">
        <f>E42</f>
        <v>0</v>
      </c>
      <c r="V24" t="s">
        <v>77</v>
      </c>
      <c r="W24" s="29" t="s">
        <v>162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D25">
        <v>9</v>
      </c>
      <c r="E25" s="10"/>
      <c r="F25" s="11"/>
      <c r="G25" s="10"/>
      <c r="H25" s="10"/>
      <c r="I25" s="10"/>
      <c r="J25" s="14"/>
      <c r="K25" s="10"/>
      <c r="L25" s="10"/>
      <c r="M25" s="10"/>
      <c r="N25" s="14"/>
      <c r="O25" s="10"/>
      <c r="P25" s="10"/>
      <c r="Q25" s="10"/>
      <c r="T25">
        <v>21</v>
      </c>
      <c r="U25" s="28" t="s">
        <v>163</v>
      </c>
      <c r="V25" t="s">
        <v>77</v>
      </c>
      <c r="W25" s="29">
        <f>E53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E26" s="12"/>
      <c r="F26" s="13" t="s">
        <v>206</v>
      </c>
      <c r="G26" s="9" t="str">
        <f>IF(OR(F25="",F27=""),"",+IF(F25&gt;F27,E25,E27))</f>
        <v/>
      </c>
      <c r="H26" s="11"/>
      <c r="I26" s="10"/>
      <c r="J26" s="14"/>
      <c r="K26" s="10"/>
      <c r="L26" s="10"/>
      <c r="M26" s="10"/>
      <c r="N26" s="14"/>
      <c r="O26" s="10"/>
      <c r="P26" s="10"/>
      <c r="Q26" s="10"/>
      <c r="T26">
        <v>22</v>
      </c>
      <c r="U26" s="28">
        <f>E55</f>
        <v>0</v>
      </c>
      <c r="V26" t="s">
        <v>77</v>
      </c>
      <c r="W26" s="29" t="s">
        <v>199</v>
      </c>
      <c r="Z26" s="34"/>
      <c r="AA26" s="40"/>
      <c r="AB26" s="40"/>
      <c r="AC26" s="38" t="s">
        <v>159</v>
      </c>
      <c r="AD26" s="48"/>
      <c r="AE26" s="53" t="e">
        <f t="shared" ref="AE26:AE39" si="0">LOOKUP(AD26,T$5:T$78,U$5:U$51)</f>
        <v>#N/A</v>
      </c>
      <c r="AF26" s="37" t="s">
        <v>157</v>
      </c>
      <c r="AG26" s="65" t="e">
        <f t="shared" ref="AG26:AG39" si="1">LOOKUP(AD26,T$5:T$78,W$5:W$50)</f>
        <v>#N/A</v>
      </c>
    </row>
    <row r="27" spans="4:33" ht="13" thickBot="1">
      <c r="D27">
        <v>10</v>
      </c>
      <c r="E27" s="9"/>
      <c r="F27" s="16"/>
      <c r="G27" s="10"/>
      <c r="H27" s="13"/>
      <c r="I27" s="10"/>
      <c r="J27" s="14"/>
      <c r="K27" s="10"/>
      <c r="L27" s="10"/>
      <c r="M27" s="10"/>
      <c r="N27" s="14"/>
      <c r="O27" s="10"/>
      <c r="P27" s="10"/>
      <c r="Q27" s="10"/>
      <c r="T27">
        <v>23</v>
      </c>
      <c r="U27" s="28">
        <f>E62</f>
        <v>0</v>
      </c>
      <c r="V27" t="s">
        <v>77</v>
      </c>
      <c r="W27" s="29">
        <f>E64</f>
        <v>0</v>
      </c>
      <c r="Z27" s="34"/>
      <c r="AA27" s="40"/>
      <c r="AB27" s="40"/>
      <c r="AC27" s="38" t="s">
        <v>159</v>
      </c>
      <c r="AD27" s="48"/>
      <c r="AE27" s="53" t="e">
        <f t="shared" si="0"/>
        <v>#N/A</v>
      </c>
      <c r="AF27" s="37" t="s">
        <v>157</v>
      </c>
      <c r="AG27" s="65" t="e">
        <f t="shared" si="1"/>
        <v>#N/A</v>
      </c>
    </row>
    <row r="28" spans="4:33" ht="13" thickBot="1">
      <c r="E28" s="10"/>
      <c r="F28" s="10"/>
      <c r="G28" s="10"/>
      <c r="H28" s="14" t="s">
        <v>236</v>
      </c>
      <c r="I28" s="9" t="str">
        <f>IF(OR(H26="",H29=""),"",+IF(H26&gt;H29,G26,E29))</f>
        <v/>
      </c>
      <c r="J28" s="16"/>
      <c r="K28" s="10"/>
      <c r="L28" s="10"/>
      <c r="M28" s="10"/>
      <c r="N28" s="14" t="s">
        <v>247</v>
      </c>
      <c r="O28" s="9" t="str">
        <f>IF(OR(N17="",N41=""),"",+IF(N17&gt;N41,M17,M41))</f>
        <v/>
      </c>
      <c r="P28" s="17"/>
      <c r="Q28" s="10"/>
      <c r="T28">
        <v>24</v>
      </c>
      <c r="U28" s="28">
        <f>E66</f>
        <v>0</v>
      </c>
      <c r="V28" t="s">
        <v>77</v>
      </c>
      <c r="W28" s="29" t="s">
        <v>164</v>
      </c>
      <c r="Z28" s="34"/>
      <c r="AA28" s="40"/>
      <c r="AB28" s="40"/>
      <c r="AC28" s="38" t="s">
        <v>159</v>
      </c>
      <c r="AD28" s="48"/>
      <c r="AE28" s="53" t="e">
        <f t="shared" si="0"/>
        <v>#N/A</v>
      </c>
      <c r="AF28" s="37" t="s">
        <v>157</v>
      </c>
      <c r="AG28" s="65" t="e">
        <f t="shared" si="1"/>
        <v>#N/A</v>
      </c>
    </row>
    <row r="29" spans="4:33" ht="13" thickBot="1">
      <c r="D29">
        <v>11</v>
      </c>
      <c r="E29" s="9"/>
      <c r="F29" s="9"/>
      <c r="G29" s="9">
        <f>E29</f>
        <v>0</v>
      </c>
      <c r="H29" s="16"/>
      <c r="I29" s="10"/>
      <c r="J29" s="10"/>
      <c r="K29" s="10"/>
      <c r="L29" s="10"/>
      <c r="M29" s="10"/>
      <c r="N29" s="14"/>
      <c r="O29" s="10"/>
      <c r="P29" s="14"/>
      <c r="Q29" s="10"/>
      <c r="T29">
        <v>25</v>
      </c>
      <c r="U29" s="28" t="s">
        <v>86</v>
      </c>
      <c r="V29" t="s">
        <v>77</v>
      </c>
      <c r="W29" s="29">
        <f>E77</f>
        <v>0</v>
      </c>
      <c r="Z29" s="34"/>
      <c r="AA29" s="40"/>
      <c r="AB29" s="40"/>
      <c r="AC29" s="38" t="s">
        <v>159</v>
      </c>
      <c r="AD29" s="48"/>
      <c r="AE29" s="53" t="e">
        <f t="shared" si="0"/>
        <v>#N/A</v>
      </c>
      <c r="AF29" s="37" t="s">
        <v>157</v>
      </c>
      <c r="AG29" s="65" t="e">
        <f t="shared" si="1"/>
        <v>#N/A</v>
      </c>
    </row>
    <row r="30" spans="4:33">
      <c r="E30" s="10"/>
      <c r="F30" s="10"/>
      <c r="G30" s="10"/>
      <c r="H30" s="10"/>
      <c r="I30" s="10"/>
      <c r="J30" s="10"/>
      <c r="K30" s="10"/>
      <c r="L30" s="10"/>
      <c r="M30" s="10"/>
      <c r="N30" s="14"/>
      <c r="O30" s="10"/>
      <c r="P30" s="14"/>
      <c r="Q30" s="10"/>
      <c r="T30">
        <v>26</v>
      </c>
      <c r="U30" s="28">
        <f>E79</f>
        <v>0</v>
      </c>
      <c r="V30" t="s">
        <v>77</v>
      </c>
      <c r="W30" s="29" t="s">
        <v>87</v>
      </c>
      <c r="Z30" s="34"/>
      <c r="AA30" s="41"/>
      <c r="AB30" s="33"/>
      <c r="AC30" s="33"/>
      <c r="AD30" s="50"/>
      <c r="AE30" s="54" t="e">
        <f t="shared" si="0"/>
        <v>#N/A</v>
      </c>
      <c r="AF30" s="33"/>
      <c r="AG30" s="58" t="e">
        <f t="shared" si="1"/>
        <v>#N/A</v>
      </c>
    </row>
    <row r="31" spans="4:33" ht="13" thickBot="1">
      <c r="D31">
        <v>12</v>
      </c>
      <c r="E31" s="10"/>
      <c r="F31" s="9"/>
      <c r="G31" s="9">
        <f>E31</f>
        <v>0</v>
      </c>
      <c r="H31" s="11"/>
      <c r="I31" s="10"/>
      <c r="J31" s="10"/>
      <c r="K31" s="10"/>
      <c r="L31" s="10"/>
      <c r="M31" s="10"/>
      <c r="N31" s="14"/>
      <c r="O31" s="10"/>
      <c r="P31" s="14"/>
      <c r="Q31" s="10"/>
      <c r="T31">
        <v>27</v>
      </c>
      <c r="U31" s="28" t="s">
        <v>88</v>
      </c>
      <c r="V31" t="s">
        <v>77</v>
      </c>
      <c r="W31" s="29">
        <f>E90</f>
        <v>0</v>
      </c>
      <c r="Z31" s="34"/>
      <c r="AA31" s="40"/>
      <c r="AB31" s="40"/>
      <c r="AC31" s="38" t="s">
        <v>159</v>
      </c>
      <c r="AD31" s="48"/>
      <c r="AE31" s="53" t="e">
        <f t="shared" si="0"/>
        <v>#N/A</v>
      </c>
      <c r="AF31" s="37" t="s">
        <v>157</v>
      </c>
      <c r="AG31" s="65" t="e">
        <f t="shared" si="1"/>
        <v>#N/A</v>
      </c>
    </row>
    <row r="32" spans="4:33">
      <c r="E32" s="12"/>
      <c r="F32" s="10"/>
      <c r="G32" s="10"/>
      <c r="H32" s="13"/>
      <c r="I32" s="10"/>
      <c r="J32" s="10"/>
      <c r="K32" s="10"/>
      <c r="L32" s="10"/>
      <c r="M32" s="10"/>
      <c r="N32" s="14"/>
      <c r="O32" s="10"/>
      <c r="P32" s="14"/>
      <c r="Q32" s="10"/>
      <c r="T32">
        <v>28</v>
      </c>
      <c r="U32" s="28">
        <f>E92</f>
        <v>0</v>
      </c>
      <c r="V32" t="s">
        <v>77</v>
      </c>
      <c r="W32" s="29" t="s">
        <v>89</v>
      </c>
      <c r="Z32" s="34"/>
      <c r="AA32" s="40"/>
      <c r="AB32" s="40"/>
      <c r="AC32" s="38" t="s">
        <v>159</v>
      </c>
      <c r="AD32" s="48"/>
      <c r="AE32" s="53" t="e">
        <f t="shared" si="0"/>
        <v>#N/A</v>
      </c>
      <c r="AF32" s="37" t="s">
        <v>157</v>
      </c>
      <c r="AG32" s="65" t="e">
        <f t="shared" si="1"/>
        <v>#N/A</v>
      </c>
    </row>
    <row r="33" spans="4:33" ht="13" thickBot="1">
      <c r="E33" s="10"/>
      <c r="F33" s="10"/>
      <c r="G33" s="10"/>
      <c r="H33" s="14" t="s">
        <v>238</v>
      </c>
      <c r="I33" s="9" t="str">
        <f>IF(OR(H31="",H35=""),"",+IF(H31&gt;H35,G31,G35))</f>
        <v/>
      </c>
      <c r="J33" s="11"/>
      <c r="K33" s="10"/>
      <c r="L33" s="10"/>
      <c r="M33" s="10"/>
      <c r="N33" s="14"/>
      <c r="O33" s="10"/>
      <c r="P33" s="14"/>
      <c r="Q33" s="10"/>
      <c r="T33">
        <v>29</v>
      </c>
      <c r="U33" s="28" t="s">
        <v>90</v>
      </c>
      <c r="V33" t="s">
        <v>77</v>
      </c>
      <c r="W33" s="29">
        <f>E103</f>
        <v>0</v>
      </c>
      <c r="Z33" s="34"/>
      <c r="AA33" s="40"/>
      <c r="AB33" s="40"/>
      <c r="AC33" s="38" t="s">
        <v>159</v>
      </c>
      <c r="AD33" s="48"/>
      <c r="AE33" s="53" t="e">
        <f t="shared" si="0"/>
        <v>#N/A</v>
      </c>
      <c r="AF33" s="37" t="s">
        <v>157</v>
      </c>
      <c r="AG33" s="65" t="e">
        <f t="shared" si="1"/>
        <v>#N/A</v>
      </c>
    </row>
    <row r="34" spans="4:33" ht="13" thickBot="1">
      <c r="D34">
        <v>13</v>
      </c>
      <c r="E34" s="10"/>
      <c r="F34" s="11"/>
      <c r="G34" s="10"/>
      <c r="H34" s="14"/>
      <c r="I34" s="10"/>
      <c r="J34" s="13"/>
      <c r="K34" s="10"/>
      <c r="L34" s="10"/>
      <c r="M34" s="10"/>
      <c r="N34" s="14"/>
      <c r="O34" s="10"/>
      <c r="P34" s="14"/>
      <c r="Q34" s="10"/>
      <c r="T34">
        <v>30</v>
      </c>
      <c r="U34" s="28" t="s">
        <v>91</v>
      </c>
      <c r="V34" t="s">
        <v>77</v>
      </c>
      <c r="W34" s="28" t="s">
        <v>92</v>
      </c>
      <c r="Z34" s="34"/>
      <c r="AA34" s="40"/>
      <c r="AB34" s="40"/>
      <c r="AC34" s="38" t="s">
        <v>159</v>
      </c>
      <c r="AD34" s="48"/>
      <c r="AE34" s="53" t="e">
        <f t="shared" si="0"/>
        <v>#N/A</v>
      </c>
      <c r="AF34" s="37" t="s">
        <v>157</v>
      </c>
      <c r="AG34" s="65" t="e">
        <f t="shared" si="1"/>
        <v>#N/A</v>
      </c>
    </row>
    <row r="35" spans="4:33" ht="13" thickBot="1">
      <c r="E35" s="12"/>
      <c r="F35" s="13" t="s">
        <v>208</v>
      </c>
      <c r="G35" s="9" t="str">
        <f>IF(OR(F34="",F36=""),"",+IF(F34&gt;F36,E34,E36))</f>
        <v/>
      </c>
      <c r="H35" s="16"/>
      <c r="I35" s="10"/>
      <c r="J35" s="14"/>
      <c r="K35" s="10"/>
      <c r="L35" s="10"/>
      <c r="M35" s="10"/>
      <c r="N35" s="14"/>
      <c r="O35" s="10"/>
      <c r="P35" s="14"/>
      <c r="Q35" s="10"/>
      <c r="T35">
        <v>31</v>
      </c>
      <c r="U35" s="28" t="s">
        <v>165</v>
      </c>
      <c r="V35" t="s">
        <v>77</v>
      </c>
      <c r="W35" s="29" t="s">
        <v>94</v>
      </c>
      <c r="Z35" s="34"/>
      <c r="AA35" s="41"/>
      <c r="AB35" s="33"/>
      <c r="AC35" s="33"/>
      <c r="AD35" s="50"/>
      <c r="AE35" s="54" t="e">
        <f t="shared" si="0"/>
        <v>#N/A</v>
      </c>
      <c r="AF35" s="33"/>
      <c r="AG35" s="58" t="e">
        <f t="shared" si="1"/>
        <v>#N/A</v>
      </c>
    </row>
    <row r="36" spans="4:33" ht="13" thickBot="1">
      <c r="D36">
        <v>14</v>
      </c>
      <c r="E36" s="10"/>
      <c r="F36" s="16"/>
      <c r="G36" s="10"/>
      <c r="H36" s="10"/>
      <c r="I36" s="10"/>
      <c r="J36" s="14" t="s">
        <v>209</v>
      </c>
      <c r="K36" s="9" t="str">
        <f>IF(OR(J33="",J39=""),"",+IF(J33&gt;J39,I33,I39))</f>
        <v/>
      </c>
      <c r="L36" s="11"/>
      <c r="M36" s="10"/>
      <c r="N36" s="14"/>
      <c r="O36" s="10"/>
      <c r="P36" s="14"/>
      <c r="Q36" s="10"/>
      <c r="T36">
        <v>32</v>
      </c>
      <c r="U36" s="28" t="s">
        <v>95</v>
      </c>
      <c r="V36" t="s">
        <v>77</v>
      </c>
      <c r="W36" s="29" t="s">
        <v>96</v>
      </c>
      <c r="Z36" s="34"/>
      <c r="AA36" s="40"/>
      <c r="AB36" s="40"/>
      <c r="AC36" s="38" t="s">
        <v>159</v>
      </c>
      <c r="AD36" s="48"/>
      <c r="AE36" s="53" t="e">
        <f t="shared" si="0"/>
        <v>#N/A</v>
      </c>
      <c r="AF36" s="37" t="s">
        <v>157</v>
      </c>
      <c r="AG36" s="65" t="e">
        <f t="shared" si="1"/>
        <v>#N/A</v>
      </c>
    </row>
    <row r="37" spans="4:33">
      <c r="E37" s="12"/>
      <c r="F37" s="10"/>
      <c r="G37" s="10"/>
      <c r="H37" s="10"/>
      <c r="I37" s="10"/>
      <c r="J37" s="14"/>
      <c r="K37" s="12"/>
      <c r="L37" s="13"/>
      <c r="M37" s="10"/>
      <c r="N37" s="14"/>
      <c r="O37" s="10"/>
      <c r="P37" s="14"/>
      <c r="Q37" s="10"/>
      <c r="T37">
        <v>33</v>
      </c>
      <c r="U37" s="28" t="s">
        <v>97</v>
      </c>
      <c r="V37" t="s">
        <v>77</v>
      </c>
      <c r="W37" s="29" t="s">
        <v>98</v>
      </c>
      <c r="Z37" s="34"/>
      <c r="AA37" s="40"/>
      <c r="AB37" s="40"/>
      <c r="AC37" s="38" t="s">
        <v>159</v>
      </c>
      <c r="AD37" s="48"/>
      <c r="AE37" s="53" t="e">
        <f t="shared" si="0"/>
        <v>#N/A</v>
      </c>
      <c r="AF37" s="37" t="s">
        <v>157</v>
      </c>
      <c r="AG37" s="65" t="e">
        <f t="shared" si="1"/>
        <v>#N/A</v>
      </c>
    </row>
    <row r="38" spans="4:33" ht="13" thickBot="1">
      <c r="D38">
        <v>15</v>
      </c>
      <c r="E38" s="9"/>
      <c r="F38" s="9"/>
      <c r="G38" s="9">
        <f>E38</f>
        <v>0</v>
      </c>
      <c r="H38" s="11"/>
      <c r="I38" s="10"/>
      <c r="J38" s="14"/>
      <c r="K38" s="10"/>
      <c r="L38" s="14"/>
      <c r="M38" s="10"/>
      <c r="N38" s="14"/>
      <c r="O38" s="10"/>
      <c r="P38" s="14"/>
      <c r="Q38" s="10"/>
      <c r="T38">
        <v>34</v>
      </c>
      <c r="U38" s="28" t="s">
        <v>99</v>
      </c>
      <c r="V38" t="s">
        <v>77</v>
      </c>
      <c r="W38" s="29" t="s">
        <v>100</v>
      </c>
      <c r="Z38" s="34"/>
      <c r="AA38" s="40"/>
      <c r="AB38" s="40"/>
      <c r="AC38" s="38" t="s">
        <v>159</v>
      </c>
      <c r="AD38" s="48"/>
      <c r="AE38" s="53" t="e">
        <f t="shared" si="0"/>
        <v>#N/A</v>
      </c>
      <c r="AF38" s="37" t="s">
        <v>157</v>
      </c>
      <c r="AG38" s="65" t="e">
        <f t="shared" si="1"/>
        <v>#N/A</v>
      </c>
    </row>
    <row r="39" spans="4:33" ht="13" thickBot="1">
      <c r="E39" s="10"/>
      <c r="F39" s="10"/>
      <c r="G39" s="10"/>
      <c r="H39" s="13" t="s">
        <v>240</v>
      </c>
      <c r="I39" s="9" t="str">
        <f>IF(OR(H38="",H40=""),"",+IF(H38&gt;H40,E38,E40))</f>
        <v/>
      </c>
      <c r="J39" s="16"/>
      <c r="K39" s="10"/>
      <c r="L39" s="14"/>
      <c r="M39" s="10"/>
      <c r="N39" s="14"/>
      <c r="O39" s="10"/>
      <c r="P39" s="14"/>
      <c r="Q39" s="10"/>
      <c r="T39">
        <v>35</v>
      </c>
      <c r="U39" s="28" t="s">
        <v>101</v>
      </c>
      <c r="V39" t="s">
        <v>77</v>
      </c>
      <c r="W39" s="29" t="s">
        <v>102</v>
      </c>
      <c r="Z39" s="34"/>
      <c r="AA39" s="33"/>
      <c r="AB39" s="33"/>
      <c r="AC39" s="33"/>
      <c r="AD39" s="50"/>
      <c r="AE39" s="64" t="e">
        <f t="shared" si="0"/>
        <v>#N/A</v>
      </c>
      <c r="AF39" s="33"/>
      <c r="AG39" s="59" t="e">
        <f t="shared" si="1"/>
        <v>#N/A</v>
      </c>
    </row>
    <row r="40" spans="4:33" ht="13" thickBot="1">
      <c r="D40">
        <v>16</v>
      </c>
      <c r="E40" s="9"/>
      <c r="F40" s="9"/>
      <c r="G40" s="9">
        <f>E40</f>
        <v>0</v>
      </c>
      <c r="H40" s="16"/>
      <c r="I40" s="10"/>
      <c r="J40" s="10"/>
      <c r="K40" s="10"/>
      <c r="L40" s="14"/>
      <c r="M40" s="10"/>
      <c r="N40" s="14"/>
      <c r="O40" s="10"/>
      <c r="P40" s="14"/>
      <c r="Q40" s="10"/>
      <c r="T40">
        <v>36</v>
      </c>
      <c r="U40" s="28" t="s">
        <v>103</v>
      </c>
      <c r="V40" t="s">
        <v>77</v>
      </c>
      <c r="W40" s="29" t="s">
        <v>104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/>
      <c r="F41" s="10"/>
      <c r="G41" s="10"/>
      <c r="H41" s="10"/>
      <c r="I41" s="10"/>
      <c r="J41" s="10"/>
      <c r="K41" s="10"/>
      <c r="L41" s="14" t="s">
        <v>235</v>
      </c>
      <c r="M41" s="9" t="str">
        <f>IF(OR(L36="",L48=""),"",+IF(L36&gt;L48,K36,K48))</f>
        <v/>
      </c>
      <c r="N41" s="16"/>
      <c r="O41" s="10"/>
      <c r="P41" s="14"/>
      <c r="Q41" s="10"/>
      <c r="T41">
        <v>37</v>
      </c>
      <c r="U41" s="28" t="s">
        <v>105</v>
      </c>
      <c r="V41" t="s">
        <v>77</v>
      </c>
      <c r="W41" s="29" t="s">
        <v>106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17</v>
      </c>
      <c r="E42" s="10"/>
      <c r="F42" s="9"/>
      <c r="G42" s="9">
        <f>E42</f>
        <v>0</v>
      </c>
      <c r="H42" s="11"/>
      <c r="I42" s="10"/>
      <c r="J42" s="10"/>
      <c r="K42" s="10"/>
      <c r="L42" s="14"/>
      <c r="M42" s="10"/>
      <c r="N42" s="10"/>
      <c r="O42" s="10"/>
      <c r="P42" s="14"/>
      <c r="Q42" s="10"/>
      <c r="T42">
        <v>38</v>
      </c>
      <c r="U42" s="28" t="s">
        <v>107</v>
      </c>
      <c r="V42" t="s">
        <v>77</v>
      </c>
      <c r="W42" s="29" t="s">
        <v>108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>
      <c r="E43" s="12"/>
      <c r="F43" s="10"/>
      <c r="G43" s="10"/>
      <c r="H43" s="13"/>
      <c r="I43" s="10"/>
      <c r="J43" s="10"/>
      <c r="K43" s="10"/>
      <c r="L43" s="14"/>
      <c r="M43" s="10"/>
      <c r="N43" s="10"/>
      <c r="O43" s="10"/>
      <c r="P43" s="14"/>
      <c r="Q43" s="10"/>
      <c r="T43">
        <v>39</v>
      </c>
      <c r="U43" s="28" t="s">
        <v>109</v>
      </c>
      <c r="V43" t="s">
        <v>77</v>
      </c>
      <c r="W43" s="29" t="s">
        <v>110</v>
      </c>
      <c r="Z43" s="34"/>
      <c r="AA43" s="40"/>
      <c r="AB43" s="40"/>
      <c r="AC43" s="38" t="s">
        <v>159</v>
      </c>
      <c r="AD43" s="48"/>
      <c r="AE43" s="53" t="e">
        <f>LOOKUP(AD43,T$5:T$78,U$5:U$51)</f>
        <v>#N/A</v>
      </c>
      <c r="AF43" s="37" t="s">
        <v>157</v>
      </c>
      <c r="AG43" s="65" t="e">
        <f>LOOKUP(AD43,T$5:T$78,W$5:W$50)</f>
        <v>#N/A</v>
      </c>
    </row>
    <row r="44" spans="4:33" ht="13" thickBot="1">
      <c r="E44" s="10"/>
      <c r="F44" s="10"/>
      <c r="G44" s="10"/>
      <c r="H44" s="14" t="s">
        <v>242</v>
      </c>
      <c r="I44" s="9" t="str">
        <f>IF(OR(H42="",H46=""),"",+IF(H42&gt;H46,G42,G46))</f>
        <v/>
      </c>
      <c r="J44" s="11"/>
      <c r="K44" s="10"/>
      <c r="L44" s="14"/>
      <c r="M44" s="10"/>
      <c r="N44" s="10"/>
      <c r="O44" s="10"/>
      <c r="P44" s="14"/>
      <c r="Q44" s="10"/>
      <c r="T44">
        <v>40</v>
      </c>
      <c r="U44" s="28" t="s">
        <v>111</v>
      </c>
      <c r="V44" t="s">
        <v>77</v>
      </c>
      <c r="W44" s="29" t="s">
        <v>112</v>
      </c>
      <c r="Z44" s="34"/>
      <c r="AA44" s="40"/>
      <c r="AB44" s="40"/>
      <c r="AC44" s="38" t="s">
        <v>159</v>
      </c>
      <c r="AD44" s="48"/>
      <c r="AE44" s="53" t="e">
        <f>LOOKUP(AD44,T$5:T$78,U$5:U$51)</f>
        <v>#N/A</v>
      </c>
      <c r="AF44" s="37" t="s">
        <v>157</v>
      </c>
      <c r="AG44" s="65" t="e">
        <f>LOOKUP(AD44,T$5:T$78,W$5:W$50)</f>
        <v>#N/A</v>
      </c>
    </row>
    <row r="45" spans="4:33" ht="13" thickBot="1">
      <c r="D45">
        <v>18</v>
      </c>
      <c r="E45" s="10"/>
      <c r="F45" s="11"/>
      <c r="G45" s="10"/>
      <c r="H45" s="14"/>
      <c r="I45" s="10"/>
      <c r="J45" s="13"/>
      <c r="K45" s="10"/>
      <c r="L45" s="14"/>
      <c r="M45" s="10"/>
      <c r="N45" s="10"/>
      <c r="O45" s="10"/>
      <c r="P45" s="14"/>
      <c r="Q45" s="10"/>
      <c r="T45">
        <v>41</v>
      </c>
      <c r="U45" s="28" t="s">
        <v>113</v>
      </c>
      <c r="V45" t="s">
        <v>77</v>
      </c>
      <c r="W45" s="29" t="s">
        <v>114</v>
      </c>
      <c r="Z45" s="34"/>
      <c r="AA45" s="40"/>
      <c r="AB45" s="40"/>
      <c r="AC45" s="38" t="s">
        <v>159</v>
      </c>
      <c r="AD45" s="48"/>
      <c r="AE45" s="53" t="e">
        <f>LOOKUP(AD45,T$5:T$78,U$5:U$51)</f>
        <v>#N/A</v>
      </c>
      <c r="AF45" s="37" t="s">
        <v>157</v>
      </c>
      <c r="AG45" s="65" t="e">
        <f>LOOKUP(AD45,T$5:T$78,W$5:W$50)</f>
        <v>#N/A</v>
      </c>
    </row>
    <row r="46" spans="4:33" ht="13" thickBot="1">
      <c r="E46" s="12"/>
      <c r="F46" s="13" t="s">
        <v>210</v>
      </c>
      <c r="G46" s="9" t="str">
        <f>IF(OR(F45="",F47=""),"",+IF(F45&gt;F47,E45,E47))</f>
        <v/>
      </c>
      <c r="H46" s="16"/>
      <c r="I46" s="10"/>
      <c r="J46" s="14"/>
      <c r="K46" s="10"/>
      <c r="L46" s="14"/>
      <c r="M46" s="10"/>
      <c r="N46" s="10"/>
      <c r="O46" s="10"/>
      <c r="P46" s="14"/>
      <c r="Q46" s="10"/>
      <c r="T46">
        <v>42</v>
      </c>
      <c r="U46" s="28" t="s">
        <v>115</v>
      </c>
      <c r="V46" t="s">
        <v>77</v>
      </c>
      <c r="W46" s="29" t="s">
        <v>116</v>
      </c>
      <c r="Z46" s="34"/>
      <c r="AA46" s="40"/>
      <c r="AB46" s="40"/>
      <c r="AC46" s="38" t="s">
        <v>159</v>
      </c>
      <c r="AD46" s="48"/>
      <c r="AE46" s="53" t="e">
        <f>LOOKUP(AD46,T$5:T$78,U$5:U$51)</f>
        <v>#N/A</v>
      </c>
      <c r="AF46" s="37" t="s">
        <v>157</v>
      </c>
      <c r="AG46" s="65" t="e">
        <f>LOOKUP(AD46,T$5:T$78,W$5:W$50)</f>
        <v>#N/A</v>
      </c>
    </row>
    <row r="47" spans="4:33" ht="13" thickBot="1">
      <c r="D47">
        <v>19</v>
      </c>
      <c r="E47" s="10"/>
      <c r="F47" s="16"/>
      <c r="G47" s="10"/>
      <c r="H47" s="10"/>
      <c r="I47" s="10"/>
      <c r="J47" s="14"/>
      <c r="K47" s="10"/>
      <c r="L47" s="14"/>
      <c r="M47" s="10"/>
      <c r="N47" s="10"/>
      <c r="O47" s="10"/>
      <c r="P47" s="14"/>
      <c r="Q47" s="10"/>
      <c r="T47">
        <v>43</v>
      </c>
      <c r="U47" s="28" t="s">
        <v>117</v>
      </c>
      <c r="V47" t="s">
        <v>77</v>
      </c>
      <c r="W47" s="29" t="s">
        <v>118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0"/>
      <c r="G48" s="10"/>
      <c r="H48" s="10"/>
      <c r="I48" s="10"/>
      <c r="J48" s="14" t="s">
        <v>213</v>
      </c>
      <c r="K48" s="9" t="str">
        <f>IF(OR(J44="",J52=""),"",+IF(J44&gt;J52,I44,I52))</f>
        <v/>
      </c>
      <c r="L48" s="16"/>
      <c r="M48" s="10"/>
      <c r="N48" s="10"/>
      <c r="O48" s="10"/>
      <c r="P48" s="14"/>
      <c r="Q48" s="10"/>
      <c r="T48">
        <v>44</v>
      </c>
      <c r="U48" s="28" t="s">
        <v>119</v>
      </c>
      <c r="V48" t="s">
        <v>77</v>
      </c>
      <c r="W48" s="29" t="s">
        <v>120</v>
      </c>
      <c r="Z48" s="34"/>
      <c r="AA48" s="40"/>
      <c r="AB48" s="40"/>
      <c r="AC48" s="38" t="s">
        <v>159</v>
      </c>
      <c r="AD48" s="48"/>
      <c r="AE48" s="53" t="e">
        <f>LOOKUP(AD48,T$5:T$78,U$5:U$51)</f>
        <v>#N/A</v>
      </c>
      <c r="AF48" s="37" t="s">
        <v>157</v>
      </c>
      <c r="AG48" s="65" t="e">
        <f>LOOKUP(AD48,T$5:T$78,W$5:W$50)</f>
        <v>#N/A</v>
      </c>
    </row>
    <row r="49" spans="4:33" ht="13" thickBot="1">
      <c r="D49">
        <v>20</v>
      </c>
      <c r="E49" s="10"/>
      <c r="F49" s="11"/>
      <c r="G49" s="10"/>
      <c r="H49" s="10"/>
      <c r="I49" s="10"/>
      <c r="J49" s="14"/>
      <c r="K49" s="10"/>
      <c r="L49" s="10"/>
      <c r="M49" s="10"/>
      <c r="N49" s="10"/>
      <c r="O49" s="10"/>
      <c r="P49" s="14"/>
      <c r="Q49" s="10"/>
      <c r="Z49" s="34"/>
      <c r="AA49" s="40"/>
      <c r="AB49" s="40"/>
      <c r="AC49" s="38" t="s">
        <v>159</v>
      </c>
      <c r="AD49" s="48"/>
      <c r="AE49" s="53" t="e">
        <f>LOOKUP(AD49,T$5:T$78,U$5:U$51)</f>
        <v>#N/A</v>
      </c>
      <c r="AF49" s="37" t="s">
        <v>157</v>
      </c>
      <c r="AG49" s="65" t="e">
        <f>LOOKUP(AD49,T$5:T$78,W$5:W$50)</f>
        <v>#N/A</v>
      </c>
    </row>
    <row r="50" spans="4:33" ht="13" thickBot="1">
      <c r="E50" s="12"/>
      <c r="F50" s="13" t="s">
        <v>212</v>
      </c>
      <c r="G50" s="9" t="str">
        <f>IF(OR(F49="",F51=""),"",+IF(F49&gt;F51,E49,E51))</f>
        <v/>
      </c>
      <c r="H50" s="11"/>
      <c r="I50" s="10"/>
      <c r="J50" s="14"/>
      <c r="K50" s="10"/>
      <c r="L50" s="10"/>
      <c r="M50" s="10"/>
      <c r="N50" s="10"/>
      <c r="O50" s="10"/>
      <c r="P50" s="14"/>
      <c r="Q50" s="10"/>
      <c r="Z50" s="34"/>
      <c r="AA50" s="40"/>
      <c r="AB50" s="40"/>
      <c r="AC50" s="38" t="s">
        <v>159</v>
      </c>
      <c r="AD50" s="48"/>
      <c r="AE50" s="53" t="e">
        <f>LOOKUP(AD50,T$5:T$78,U$5:U$51)</f>
        <v>#N/A</v>
      </c>
      <c r="AF50" s="37" t="s">
        <v>157</v>
      </c>
      <c r="AG50" s="65" t="e">
        <f>LOOKUP(AD50,T$5:T$78,W$5:W$50)</f>
        <v>#N/A</v>
      </c>
    </row>
    <row r="51" spans="4:33" ht="13" thickBot="1">
      <c r="D51">
        <v>21</v>
      </c>
      <c r="E51" s="9"/>
      <c r="F51" s="16"/>
      <c r="G51" s="10"/>
      <c r="H51" s="13"/>
      <c r="I51" s="10"/>
      <c r="J51" s="14"/>
      <c r="K51" s="10"/>
      <c r="L51" s="10"/>
      <c r="M51" s="10"/>
      <c r="N51" s="10"/>
      <c r="O51" s="10"/>
      <c r="P51" s="14"/>
      <c r="Q51" s="10"/>
      <c r="Z51" s="34"/>
      <c r="AA51" s="40"/>
      <c r="AB51" s="40"/>
      <c r="AC51" s="38" t="s">
        <v>159</v>
      </c>
      <c r="AD51" s="48"/>
      <c r="AE51" s="53" t="e">
        <f>LOOKUP(AD51,T$5:T$78,U$5:U$51)</f>
        <v>#N/A</v>
      </c>
      <c r="AF51" s="37" t="s">
        <v>157</v>
      </c>
      <c r="AG51" s="65" t="e">
        <f>LOOKUP(AD51,T$5:T$78,W$5:W$50)</f>
        <v>#N/A</v>
      </c>
    </row>
    <row r="52" spans="4:33" ht="13" thickBot="1">
      <c r="E52" s="10"/>
      <c r="F52" s="10"/>
      <c r="G52" s="10"/>
      <c r="H52" s="14" t="s">
        <v>244</v>
      </c>
      <c r="I52" s="9" t="str">
        <f>IF(OR(H50="",H53=""),"",+IF(H50&gt;H53,G50,E53))</f>
        <v/>
      </c>
      <c r="J52" s="16"/>
      <c r="K52" s="10"/>
      <c r="L52" s="10"/>
      <c r="M52" s="10"/>
      <c r="N52" s="10"/>
      <c r="O52" s="10"/>
      <c r="P52" s="14"/>
      <c r="Q52" s="10"/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22</v>
      </c>
      <c r="E53" s="9"/>
      <c r="F53" s="9"/>
      <c r="G53" s="9">
        <f>E53</f>
        <v>0</v>
      </c>
      <c r="H53" s="16"/>
      <c r="I53" s="10"/>
      <c r="J53" s="10"/>
      <c r="K53" s="10"/>
      <c r="L53" s="10"/>
      <c r="M53" s="10"/>
      <c r="N53" s="10"/>
      <c r="O53" s="10"/>
      <c r="P53" s="14"/>
      <c r="Q53" s="10"/>
      <c r="Z53" s="34"/>
      <c r="AA53" s="40"/>
      <c r="AB53" s="40"/>
      <c r="AC53" s="38" t="s">
        <v>159</v>
      </c>
      <c r="AD53" s="48"/>
      <c r="AE53" s="53" t="e">
        <f>LOOKUP(AD53,T$5:T$78,U$5:U$51)</f>
        <v>#N/A</v>
      </c>
      <c r="AF53" s="37" t="s">
        <v>157</v>
      </c>
      <c r="AG53" s="65" t="e">
        <f>LOOKUP(AD53,T$5:T$78,W$5:W$50)</f>
        <v>#N/A</v>
      </c>
    </row>
    <row r="54" spans="4:33" ht="13" thickBot="1"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4" t="s">
        <v>255</v>
      </c>
      <c r="Q54" s="9" t="str">
        <f>IF(OR(P28="",P78=""),"",+IF(P28&gt;P78,O28,O78))</f>
        <v/>
      </c>
      <c r="Z54" s="34"/>
      <c r="AA54" s="40"/>
      <c r="AB54" s="40"/>
      <c r="AC54" s="38" t="s">
        <v>159</v>
      </c>
      <c r="AD54" s="48"/>
      <c r="AE54" s="53" t="e">
        <f>LOOKUP(AD54,T$5:T$78,U$5:U$51)</f>
        <v>#N/A</v>
      </c>
      <c r="AF54" s="37" t="s">
        <v>157</v>
      </c>
      <c r="AG54" s="65" t="e">
        <f>LOOKUP(AD54,T$5:T$78,W$5:W$50)</f>
        <v>#N/A</v>
      </c>
    </row>
    <row r="55" spans="4:33" ht="13" thickBot="1">
      <c r="D55">
        <v>23</v>
      </c>
      <c r="E55" s="10"/>
      <c r="F55" s="9"/>
      <c r="G55" s="9">
        <f>E55</f>
        <v>0</v>
      </c>
      <c r="H55" s="11"/>
      <c r="I55" s="10"/>
      <c r="J55" s="10"/>
      <c r="K55" s="10"/>
      <c r="L55" s="10"/>
      <c r="M55" s="10"/>
      <c r="N55" s="10"/>
      <c r="O55" s="10"/>
      <c r="P55" s="14"/>
      <c r="Q55" s="10"/>
      <c r="Z55" s="34"/>
      <c r="AA55" s="40"/>
      <c r="AB55" s="40"/>
      <c r="AC55" s="38" t="s">
        <v>159</v>
      </c>
      <c r="AD55" s="48"/>
      <c r="AE55" s="53" t="e">
        <f>LOOKUP(AD55,T$5:T$78,U$5:U$51)</f>
        <v>#N/A</v>
      </c>
      <c r="AF55" s="37" t="s">
        <v>157</v>
      </c>
      <c r="AG55" s="65" t="e">
        <f>LOOKUP(AD55,T$5:T$78,W$5:W$50)</f>
        <v>#N/A</v>
      </c>
    </row>
    <row r="56" spans="4:33" ht="13" thickBot="1">
      <c r="E56" s="12"/>
      <c r="F56" s="10"/>
      <c r="G56" s="10"/>
      <c r="H56" s="13"/>
      <c r="I56" s="10"/>
      <c r="J56" s="10"/>
      <c r="K56" s="10"/>
      <c r="L56" s="10"/>
      <c r="M56" s="10"/>
      <c r="N56" s="10"/>
      <c r="O56" s="10"/>
      <c r="P56" s="14"/>
      <c r="Q56" s="10"/>
      <c r="Z56" s="42"/>
      <c r="AA56" s="43"/>
      <c r="AB56" s="43"/>
      <c r="AC56" s="43"/>
      <c r="AD56" s="61"/>
      <c r="AE56" s="62"/>
      <c r="AF56" s="63"/>
      <c r="AG56" s="60"/>
    </row>
    <row r="57" spans="4:33" ht="13.35" thickTop="1" thickBot="1">
      <c r="E57" s="10"/>
      <c r="F57" s="10"/>
      <c r="G57" s="10"/>
      <c r="H57" s="14" t="s">
        <v>246</v>
      </c>
      <c r="I57" s="9" t="str">
        <f>IF(OR(H55="",H59=""),"",+IF(H55&gt;H59,G55,G59))</f>
        <v/>
      </c>
      <c r="J57" s="11"/>
      <c r="K57" s="10"/>
      <c r="L57" s="10"/>
      <c r="M57" s="10"/>
      <c r="N57" s="10"/>
      <c r="O57" s="10"/>
      <c r="P57" s="14"/>
      <c r="Q57" s="10"/>
    </row>
    <row r="58" spans="4:33" ht="13" thickBot="1">
      <c r="D58">
        <v>24</v>
      </c>
      <c r="E58" s="10"/>
      <c r="F58" s="11"/>
      <c r="G58" s="10"/>
      <c r="H58" s="14"/>
      <c r="I58" s="10"/>
      <c r="J58" s="13"/>
      <c r="K58" s="10"/>
      <c r="L58" s="10"/>
      <c r="M58" s="10"/>
      <c r="N58" s="10"/>
      <c r="O58" s="10"/>
      <c r="P58" s="14"/>
      <c r="Q58" s="10"/>
    </row>
    <row r="59" spans="4:33" ht="13" thickBot="1">
      <c r="E59" s="12"/>
      <c r="F59" s="13" t="s">
        <v>214</v>
      </c>
      <c r="G59" s="9" t="str">
        <f>IF(OR(F58="",F60=""),"",+IF(F58&gt;F60,E58,E60))</f>
        <v/>
      </c>
      <c r="H59" s="16"/>
      <c r="I59" s="10"/>
      <c r="J59" s="14"/>
      <c r="K59" s="10"/>
      <c r="L59" s="10"/>
      <c r="M59" s="10"/>
      <c r="N59" s="10"/>
      <c r="O59" s="10"/>
      <c r="P59" s="14"/>
      <c r="Q59" s="10"/>
    </row>
    <row r="60" spans="4:33" ht="13" thickBot="1">
      <c r="D60">
        <v>25</v>
      </c>
      <c r="E60" s="10"/>
      <c r="F60" s="16"/>
      <c r="G60" s="10"/>
      <c r="H60" s="10"/>
      <c r="I60" s="10"/>
      <c r="J60" s="14" t="s">
        <v>216</v>
      </c>
      <c r="K60" s="9" t="str">
        <f>IF(OR(J57="",J63=""),"",+IF(J57&gt;J63,I57,I63))</f>
        <v/>
      </c>
      <c r="L60" s="11"/>
      <c r="M60" s="10"/>
      <c r="N60" s="10"/>
      <c r="O60" s="10"/>
      <c r="P60" s="14"/>
      <c r="Q60" s="10"/>
    </row>
    <row r="61" spans="4:33">
      <c r="E61" s="12"/>
      <c r="F61" s="10"/>
      <c r="G61" s="10"/>
      <c r="H61" s="10"/>
      <c r="I61" s="10"/>
      <c r="J61" s="14"/>
      <c r="K61" s="12"/>
      <c r="L61" s="13"/>
      <c r="M61" s="10"/>
      <c r="N61" s="10"/>
      <c r="O61" s="10"/>
      <c r="P61" s="14"/>
      <c r="Q61" s="10"/>
    </row>
    <row r="62" spans="4:33" ht="13" thickBot="1">
      <c r="D62">
        <v>26</v>
      </c>
      <c r="E62" s="9"/>
      <c r="F62" s="9"/>
      <c r="G62" s="9">
        <f>E62</f>
        <v>0</v>
      </c>
      <c r="H62" s="11"/>
      <c r="I62" s="10"/>
      <c r="J62" s="14"/>
      <c r="K62" s="10"/>
      <c r="L62" s="14"/>
      <c r="M62" s="10"/>
      <c r="N62" s="10"/>
      <c r="O62" s="10"/>
      <c r="P62" s="14"/>
      <c r="Q62" s="10"/>
    </row>
    <row r="63" spans="4:33" ht="13" thickBot="1">
      <c r="E63" s="10"/>
      <c r="F63" s="10"/>
      <c r="G63" s="10"/>
      <c r="H63" s="13" t="s">
        <v>248</v>
      </c>
      <c r="I63" s="9" t="str">
        <f>IF(OR(H62="",H64=""),"",+IF(H62&gt;H64,E62,E64))</f>
        <v/>
      </c>
      <c r="J63" s="16"/>
      <c r="K63" s="10"/>
      <c r="L63" s="14"/>
      <c r="M63" s="10"/>
      <c r="N63" s="10"/>
      <c r="O63" s="10"/>
      <c r="P63" s="14"/>
      <c r="Q63" s="10"/>
    </row>
    <row r="64" spans="4:33" ht="13" thickBot="1">
      <c r="D64">
        <v>27</v>
      </c>
      <c r="E64" s="9"/>
      <c r="F64" s="9"/>
      <c r="G64" s="9">
        <f>E64</f>
        <v>0</v>
      </c>
      <c r="H64" s="16"/>
      <c r="I64" s="10"/>
      <c r="J64" s="10"/>
      <c r="K64" s="10"/>
      <c r="L64" s="14"/>
      <c r="M64" s="10"/>
      <c r="N64" s="10"/>
      <c r="O64" s="10"/>
      <c r="P64" s="14"/>
      <c r="Q64" s="10"/>
    </row>
    <row r="65" spans="4:17" ht="13" thickBot="1">
      <c r="E65" s="10"/>
      <c r="F65" s="10"/>
      <c r="G65" s="10"/>
      <c r="H65" s="10"/>
      <c r="I65" s="10"/>
      <c r="J65" s="10"/>
      <c r="K65" s="10"/>
      <c r="L65" s="14" t="s">
        <v>239</v>
      </c>
      <c r="M65" s="9" t="str">
        <f>IF(OR(L60="",L72=""),"",+IF(L60&gt;L72,K60,K72))</f>
        <v/>
      </c>
      <c r="N65" s="17"/>
      <c r="O65" s="10"/>
      <c r="P65" s="14"/>
      <c r="Q65" s="10"/>
    </row>
    <row r="66" spans="4:17" ht="13" thickBot="1">
      <c r="D66">
        <v>28</v>
      </c>
      <c r="E66" s="10"/>
      <c r="F66" s="9"/>
      <c r="G66" s="9">
        <f>E66</f>
        <v>0</v>
      </c>
      <c r="H66" s="11"/>
      <c r="I66" s="10"/>
      <c r="J66" s="10"/>
      <c r="K66" s="10"/>
      <c r="L66" s="14"/>
      <c r="M66" s="10"/>
      <c r="N66" s="13"/>
      <c r="O66" s="10"/>
      <c r="P66" s="14"/>
      <c r="Q66" s="10"/>
    </row>
    <row r="67" spans="4:17">
      <c r="E67" s="12"/>
      <c r="F67" s="10"/>
      <c r="G67" s="10"/>
      <c r="H67" s="13"/>
      <c r="I67" s="10"/>
      <c r="J67" s="10"/>
      <c r="K67" s="10"/>
      <c r="L67" s="14"/>
      <c r="M67" s="10"/>
      <c r="N67" s="14"/>
      <c r="O67" s="10"/>
      <c r="P67" s="14"/>
      <c r="Q67" s="10"/>
    </row>
    <row r="68" spans="4:17" ht="13" thickBot="1">
      <c r="E68" s="10"/>
      <c r="F68" s="10"/>
      <c r="G68" s="10"/>
      <c r="H68" s="14" t="s">
        <v>250</v>
      </c>
      <c r="I68" s="9" t="str">
        <f>IF(OR(H66="",H70=""),"",+IF(H66&gt;H70,G66,G70))</f>
        <v/>
      </c>
      <c r="J68" s="11"/>
      <c r="K68" s="10"/>
      <c r="L68" s="14"/>
      <c r="M68" s="10"/>
      <c r="N68" s="14"/>
      <c r="O68" s="10"/>
      <c r="P68" s="14"/>
      <c r="Q68" s="10"/>
    </row>
    <row r="69" spans="4:17" ht="13" thickBot="1">
      <c r="D69">
        <v>29</v>
      </c>
      <c r="E69" s="10"/>
      <c r="F69" s="11"/>
      <c r="G69" s="10"/>
      <c r="H69" s="14"/>
      <c r="I69" s="10"/>
      <c r="J69" s="13"/>
      <c r="K69" s="10"/>
      <c r="L69" s="14"/>
      <c r="M69" s="10"/>
      <c r="N69" s="14"/>
      <c r="O69" s="10"/>
      <c r="P69" s="14"/>
      <c r="Q69" s="10"/>
    </row>
    <row r="70" spans="4:17" ht="13" thickBot="1">
      <c r="E70" s="12"/>
      <c r="F70" s="13" t="s">
        <v>217</v>
      </c>
      <c r="G70" s="9" t="str">
        <f>IF(OR(F69="",F71=""),"",+IF(F69&gt;F71,E69,E71))</f>
        <v/>
      </c>
      <c r="H70" s="16"/>
      <c r="I70" s="10"/>
      <c r="J70" s="14"/>
      <c r="K70" s="10"/>
      <c r="L70" s="14"/>
      <c r="M70" s="10"/>
      <c r="N70" s="14"/>
      <c r="O70" s="10"/>
      <c r="P70" s="14"/>
      <c r="Q70" s="10"/>
    </row>
    <row r="71" spans="4:17" ht="13" thickBot="1">
      <c r="D71">
        <v>30</v>
      </c>
      <c r="E71" s="10"/>
      <c r="F71" s="16"/>
      <c r="G71" s="10"/>
      <c r="H71" s="10"/>
      <c r="I71" s="10"/>
      <c r="J71" s="14"/>
      <c r="K71" s="10"/>
      <c r="L71" s="14"/>
      <c r="M71" s="10"/>
      <c r="N71" s="14"/>
      <c r="O71" s="10"/>
      <c r="P71" s="14"/>
      <c r="Q71" s="10"/>
    </row>
    <row r="72" spans="4:17" ht="13" thickBot="1">
      <c r="E72" s="12"/>
      <c r="F72" s="10"/>
      <c r="G72" s="10"/>
      <c r="H72" s="10"/>
      <c r="I72" s="10"/>
      <c r="J72" s="14" t="s">
        <v>220</v>
      </c>
      <c r="K72" s="9" t="str">
        <f>IF(OR(J68="",J76=""),"",+IF(J68&gt;J76,I68,I76))</f>
        <v/>
      </c>
      <c r="L72" s="16"/>
      <c r="M72" s="10"/>
      <c r="N72" s="14"/>
      <c r="O72" s="10"/>
      <c r="P72" s="14"/>
      <c r="Q72" s="10"/>
    </row>
    <row r="73" spans="4:17" ht="13" thickBot="1">
      <c r="D73">
        <v>31</v>
      </c>
      <c r="E73" s="10"/>
      <c r="F73" s="11"/>
      <c r="G73" s="10"/>
      <c r="H73" s="10"/>
      <c r="I73" s="10"/>
      <c r="J73" s="14"/>
      <c r="K73" s="10"/>
      <c r="L73" s="10"/>
      <c r="M73" s="10"/>
      <c r="N73" s="14"/>
      <c r="O73" s="10"/>
      <c r="P73" s="14"/>
      <c r="Q73" s="10"/>
    </row>
    <row r="74" spans="4:17" ht="13" thickBot="1">
      <c r="E74" s="12"/>
      <c r="F74" s="13" t="s">
        <v>219</v>
      </c>
      <c r="G74" s="9" t="str">
        <f>IF(OR(F73="",F75=""),"",+IF(F73&gt;F75,E73,E75))</f>
        <v/>
      </c>
      <c r="H74" s="11"/>
      <c r="I74" s="10"/>
      <c r="J74" s="14"/>
      <c r="K74" s="10"/>
      <c r="L74" s="10"/>
      <c r="M74" s="10"/>
      <c r="N74" s="14"/>
      <c r="O74" s="10"/>
      <c r="P74" s="14"/>
      <c r="Q74" s="10"/>
    </row>
    <row r="75" spans="4:17" ht="13" thickBot="1">
      <c r="D75">
        <v>32</v>
      </c>
      <c r="E75" s="9"/>
      <c r="F75" s="16"/>
      <c r="G75" s="10"/>
      <c r="H75" s="13"/>
      <c r="I75" s="10"/>
      <c r="J75" s="14"/>
      <c r="K75" s="10"/>
      <c r="L75" s="10"/>
      <c r="M75" s="10"/>
      <c r="N75" s="14"/>
      <c r="O75" s="10"/>
      <c r="P75" s="14"/>
      <c r="Q75" s="10"/>
    </row>
    <row r="76" spans="4:17" ht="13" thickBot="1">
      <c r="E76" s="10"/>
      <c r="F76" s="10"/>
      <c r="G76" s="10"/>
      <c r="H76" s="14" t="s">
        <v>252</v>
      </c>
      <c r="I76" s="9" t="str">
        <f>IF(OR(H74="",H77=""),"",+IF(H74&gt;H77,G74,E77))</f>
        <v/>
      </c>
      <c r="J76" s="16"/>
      <c r="K76" s="10"/>
      <c r="L76" s="10"/>
      <c r="M76" s="10"/>
      <c r="N76" s="14"/>
      <c r="O76" s="10"/>
      <c r="P76" s="14"/>
      <c r="Q76" s="10"/>
    </row>
    <row r="77" spans="4:17" ht="13" thickBot="1">
      <c r="D77">
        <v>33</v>
      </c>
      <c r="E77" s="9"/>
      <c r="F77" s="9"/>
      <c r="G77" s="9">
        <f>E77</f>
        <v>0</v>
      </c>
      <c r="H77" s="16"/>
      <c r="I77" s="10"/>
      <c r="J77" s="10"/>
      <c r="K77" s="10"/>
      <c r="L77" s="10"/>
      <c r="M77" s="10"/>
      <c r="N77" s="14"/>
      <c r="O77" s="10"/>
      <c r="P77" s="14"/>
      <c r="Q77" s="10"/>
    </row>
    <row r="78" spans="4:17" ht="13" thickBot="1">
      <c r="E78" s="10"/>
      <c r="F78" s="10"/>
      <c r="G78" s="10"/>
      <c r="H78" s="10"/>
      <c r="I78" s="10"/>
      <c r="J78" s="10"/>
      <c r="K78" s="10"/>
      <c r="L78" s="10"/>
      <c r="M78" s="10"/>
      <c r="N78" s="14" t="s">
        <v>251</v>
      </c>
      <c r="O78" s="9" t="str">
        <f>IF(OR(N65="",N92=""),"",+IF(N65&gt;N92,M65,M92))</f>
        <v/>
      </c>
      <c r="P78" s="16"/>
      <c r="Q78" s="10"/>
    </row>
    <row r="79" spans="4:17" ht="13" thickBot="1">
      <c r="D79">
        <v>34</v>
      </c>
      <c r="E79" s="10"/>
      <c r="F79" s="9"/>
      <c r="G79" s="9">
        <f>E79</f>
        <v>0</v>
      </c>
      <c r="H79" s="11"/>
      <c r="I79" s="10"/>
      <c r="J79" s="10"/>
      <c r="K79" s="10"/>
      <c r="L79" s="10"/>
      <c r="M79" s="10"/>
      <c r="N79" s="14"/>
      <c r="O79" s="10"/>
      <c r="P79" s="10"/>
      <c r="Q79" s="10"/>
    </row>
    <row r="80" spans="4:17">
      <c r="E80" s="12"/>
      <c r="F80" s="10"/>
      <c r="G80" s="10"/>
      <c r="H80" s="13"/>
      <c r="I80" s="10"/>
      <c r="J80" s="10"/>
      <c r="K80" s="10"/>
      <c r="L80" s="10"/>
      <c r="M80" s="10"/>
      <c r="N80" s="14"/>
      <c r="O80" s="10"/>
      <c r="P80" s="10"/>
      <c r="Q80" s="10"/>
    </row>
    <row r="81" spans="4:17" ht="13" thickBot="1">
      <c r="E81" s="10"/>
      <c r="F81" s="10"/>
      <c r="G81" s="10"/>
      <c r="H81" s="14" t="s">
        <v>254</v>
      </c>
      <c r="I81" s="9" t="str">
        <f>IF(OR(H79="",H83=""),"",+IF(H79&gt;H83,G79,G83))</f>
        <v/>
      </c>
      <c r="J81" s="11"/>
      <c r="K81" s="10"/>
      <c r="L81" s="10"/>
      <c r="M81" s="10"/>
      <c r="N81" s="14"/>
      <c r="O81" s="10"/>
      <c r="P81" s="10"/>
      <c r="Q81" s="10"/>
    </row>
    <row r="82" spans="4:17" ht="13" thickBot="1">
      <c r="D82">
        <v>35</v>
      </c>
      <c r="E82" s="10"/>
      <c r="F82" s="11"/>
      <c r="G82" s="10"/>
      <c r="H82" s="14"/>
      <c r="I82" s="10"/>
      <c r="J82" s="13"/>
      <c r="K82" s="10"/>
      <c r="L82" s="10"/>
      <c r="M82" s="10"/>
      <c r="N82" s="14"/>
      <c r="O82" s="10"/>
      <c r="P82" s="10"/>
      <c r="Q82" s="10"/>
    </row>
    <row r="83" spans="4:17" ht="13" thickBot="1">
      <c r="E83" s="12"/>
      <c r="F83" s="13" t="s">
        <v>221</v>
      </c>
      <c r="G83" s="9" t="str">
        <f>IF(OR(F82="",F84=""),"",+IF(F82&gt;F84,E82,E84))</f>
        <v/>
      </c>
      <c r="H83" s="16"/>
      <c r="I83" s="10"/>
      <c r="J83" s="14"/>
      <c r="K83" s="10"/>
      <c r="L83" s="10"/>
      <c r="M83" s="10"/>
      <c r="N83" s="14"/>
      <c r="O83" s="10"/>
      <c r="P83" s="10"/>
      <c r="Q83" s="10"/>
    </row>
    <row r="84" spans="4:17" ht="13" thickBot="1">
      <c r="D84">
        <v>36</v>
      </c>
      <c r="E84" s="10"/>
      <c r="F84" s="16"/>
      <c r="G84" s="10"/>
      <c r="H84" s="10"/>
      <c r="I84" s="10"/>
      <c r="J84" s="14"/>
      <c r="K84" s="10"/>
      <c r="L84" s="10"/>
      <c r="M84" s="10"/>
      <c r="N84" s="14"/>
      <c r="O84" s="10"/>
      <c r="P84" s="10"/>
      <c r="Q84" s="10"/>
    </row>
    <row r="85" spans="4:17" ht="13" thickBot="1">
      <c r="E85" s="12"/>
      <c r="F85" s="10"/>
      <c r="G85" s="10"/>
      <c r="H85" s="10"/>
      <c r="I85" s="10"/>
      <c r="J85" s="14" t="s">
        <v>224</v>
      </c>
      <c r="K85" s="9" t="str">
        <f>IF(OR(J81="",J89=""),"",+IF(J81&gt;J89,I81,I89))</f>
        <v/>
      </c>
      <c r="L85" s="17"/>
      <c r="M85" s="10"/>
      <c r="N85" s="14"/>
      <c r="O85" s="10"/>
      <c r="P85" s="10"/>
      <c r="Q85" s="10"/>
    </row>
    <row r="86" spans="4:17" ht="13" thickBot="1">
      <c r="D86">
        <v>37</v>
      </c>
      <c r="E86" s="10"/>
      <c r="F86" s="11"/>
      <c r="G86" s="10"/>
      <c r="H86" s="10"/>
      <c r="I86" s="10"/>
      <c r="J86" s="14"/>
      <c r="K86" s="10"/>
      <c r="L86" s="13"/>
      <c r="M86" s="10"/>
      <c r="N86" s="14"/>
      <c r="O86" s="10"/>
      <c r="P86" s="10"/>
      <c r="Q86" s="10"/>
    </row>
    <row r="87" spans="4:17" ht="13" thickBot="1">
      <c r="E87" s="12"/>
      <c r="F87" s="13" t="s">
        <v>223</v>
      </c>
      <c r="G87" s="9" t="str">
        <f>IF(OR(F86="",F88=""),"",+IF(F86&gt;F88,E86,E88))</f>
        <v/>
      </c>
      <c r="H87" s="11"/>
      <c r="I87" s="10"/>
      <c r="J87" s="14"/>
      <c r="K87" s="10"/>
      <c r="L87" s="14"/>
      <c r="M87" s="10"/>
      <c r="N87" s="14"/>
      <c r="O87" s="10"/>
      <c r="P87" s="10"/>
      <c r="Q87" s="10"/>
    </row>
    <row r="88" spans="4:17" ht="13" thickBot="1">
      <c r="D88">
        <v>38</v>
      </c>
      <c r="E88" s="9"/>
      <c r="F88" s="16"/>
      <c r="G88" s="10"/>
      <c r="H88" s="13"/>
      <c r="I88" s="10"/>
      <c r="J88" s="14"/>
      <c r="K88" s="10"/>
      <c r="L88" s="14"/>
      <c r="M88" s="10"/>
      <c r="N88" s="14"/>
      <c r="O88" s="10"/>
      <c r="P88" s="10"/>
      <c r="Q88" s="10"/>
    </row>
    <row r="89" spans="4:17" ht="13" thickBot="1">
      <c r="E89" s="10"/>
      <c r="F89" s="10"/>
      <c r="G89" s="10"/>
      <c r="H89" s="14" t="s">
        <v>256</v>
      </c>
      <c r="I89" s="9" t="str">
        <f>IF(OR(H87="",H90=""),"",+IF(H87&gt;H90,G87,E90))</f>
        <v/>
      </c>
      <c r="J89" s="16"/>
      <c r="K89" s="10"/>
      <c r="L89" s="14"/>
      <c r="M89" s="10"/>
      <c r="N89" s="14"/>
      <c r="O89" s="10"/>
      <c r="P89" s="10"/>
      <c r="Q89" s="10"/>
    </row>
    <row r="90" spans="4:17" ht="13" thickBot="1">
      <c r="D90">
        <v>39</v>
      </c>
      <c r="E90" s="9"/>
      <c r="F90" s="9"/>
      <c r="G90" s="9">
        <f>E90</f>
        <v>0</v>
      </c>
      <c r="H90" s="16"/>
      <c r="I90" s="10"/>
      <c r="J90" s="10"/>
      <c r="K90" s="10"/>
      <c r="L90" s="14"/>
      <c r="M90" s="10"/>
      <c r="N90" s="14"/>
      <c r="O90" s="10"/>
      <c r="P90" s="10"/>
      <c r="Q90" s="10"/>
    </row>
    <row r="91" spans="4:17">
      <c r="E91" s="10"/>
      <c r="F91" s="10"/>
      <c r="G91" s="10"/>
      <c r="H91" s="10"/>
      <c r="I91" s="10"/>
      <c r="J91" s="10"/>
      <c r="K91" s="10"/>
      <c r="L91" s="14"/>
      <c r="M91" s="10"/>
      <c r="N91" s="14"/>
      <c r="O91" s="10"/>
      <c r="P91" s="10"/>
      <c r="Q91" s="10"/>
    </row>
    <row r="92" spans="4:17" ht="13" thickBot="1">
      <c r="D92">
        <v>40</v>
      </c>
      <c r="E92" s="10"/>
      <c r="F92" s="9"/>
      <c r="G92" s="9">
        <f>E92</f>
        <v>0</v>
      </c>
      <c r="H92" s="11"/>
      <c r="I92" s="10"/>
      <c r="J92" s="10"/>
      <c r="K92" s="10"/>
      <c r="L92" s="14" t="s">
        <v>243</v>
      </c>
      <c r="M92" s="9" t="str">
        <f>IF(OR(L85="",L98=""),"",+IF(L85&gt;L98,K85,K98))</f>
        <v/>
      </c>
      <c r="N92" s="16"/>
      <c r="O92" s="10"/>
      <c r="P92" s="10"/>
      <c r="Q92" s="10"/>
    </row>
    <row r="93" spans="4:17">
      <c r="E93" s="12"/>
      <c r="F93" s="10"/>
      <c r="G93" s="10"/>
      <c r="H93" s="13"/>
      <c r="I93" s="10"/>
      <c r="J93" s="10"/>
      <c r="K93" s="10"/>
      <c r="L93" s="14"/>
      <c r="M93" s="10"/>
      <c r="N93" s="10"/>
      <c r="O93" s="10"/>
      <c r="P93" s="10"/>
      <c r="Q93" s="10"/>
    </row>
    <row r="94" spans="4:17" ht="13" thickBot="1">
      <c r="E94" s="10"/>
      <c r="F94" s="10"/>
      <c r="G94" s="10"/>
      <c r="H94" s="14" t="s">
        <v>258</v>
      </c>
      <c r="I94" s="9" t="str">
        <f>IF(OR(H92="",H96=""),"",+IF(H92&gt;H96,G92,G96))</f>
        <v/>
      </c>
      <c r="J94" s="11"/>
      <c r="K94" s="10"/>
      <c r="L94" s="14"/>
      <c r="M94" s="10"/>
      <c r="N94" s="10"/>
      <c r="O94" s="10"/>
      <c r="P94" s="10"/>
      <c r="Q94" s="10"/>
    </row>
    <row r="95" spans="4:17" ht="13" thickBot="1">
      <c r="D95">
        <v>41</v>
      </c>
      <c r="E95" s="10"/>
      <c r="F95" s="11"/>
      <c r="G95" s="10"/>
      <c r="H95" s="14"/>
      <c r="I95" s="10"/>
      <c r="J95" s="13"/>
      <c r="K95" s="10"/>
      <c r="L95" s="14"/>
      <c r="M95" s="10"/>
      <c r="N95" s="10"/>
      <c r="O95" s="10"/>
      <c r="P95" s="10"/>
      <c r="Q95" s="10"/>
    </row>
    <row r="96" spans="4:17" ht="13" thickBot="1">
      <c r="E96" s="12"/>
      <c r="F96" s="13" t="s">
        <v>225</v>
      </c>
      <c r="G96" s="9" t="str">
        <f>IF(OR(F95="",F97=""),"",+IF(F95&gt;F97,E95,E97))</f>
        <v/>
      </c>
      <c r="H96" s="16"/>
      <c r="I96" s="10"/>
      <c r="J96" s="14"/>
      <c r="K96" s="10"/>
      <c r="L96" s="14"/>
      <c r="M96" s="10"/>
      <c r="N96" s="10"/>
      <c r="O96" s="10"/>
      <c r="P96" s="10"/>
      <c r="Q96" s="10"/>
    </row>
    <row r="97" spans="4:17" ht="13" thickBot="1">
      <c r="D97">
        <v>42</v>
      </c>
      <c r="E97" s="10"/>
      <c r="F97" s="16"/>
      <c r="G97" s="10"/>
      <c r="H97" s="10"/>
      <c r="I97" s="10"/>
      <c r="J97" s="14"/>
      <c r="K97" s="10"/>
      <c r="L97" s="14"/>
      <c r="M97" s="10"/>
      <c r="N97" s="10"/>
      <c r="O97" s="10"/>
      <c r="P97" s="10"/>
      <c r="Q97" s="10"/>
    </row>
    <row r="98" spans="4:17" ht="13" thickBot="1">
      <c r="E98" s="12"/>
      <c r="F98" s="10"/>
      <c r="G98" s="10"/>
      <c r="H98" s="10"/>
      <c r="I98" s="10"/>
      <c r="J98" s="14" t="s">
        <v>228</v>
      </c>
      <c r="K98" s="9" t="str">
        <f>IF(OR(J94="",J102=""),"",+IF(J94&gt;J102,I94,I102))</f>
        <v/>
      </c>
      <c r="L98" s="16"/>
      <c r="M98" s="10"/>
      <c r="N98" s="10"/>
      <c r="O98" s="10"/>
      <c r="P98" s="10"/>
      <c r="Q98" s="10"/>
    </row>
    <row r="99" spans="4:17" ht="13" thickBot="1">
      <c r="D99">
        <v>43</v>
      </c>
      <c r="E99" s="10"/>
      <c r="F99" s="11"/>
      <c r="G99" s="10"/>
      <c r="H99" s="10"/>
      <c r="I99" s="10"/>
      <c r="J99" s="14"/>
      <c r="K99" s="10"/>
      <c r="L99" s="10"/>
      <c r="M99" s="10"/>
      <c r="N99" s="10"/>
      <c r="O99" s="10"/>
      <c r="P99" s="10"/>
      <c r="Q99" s="10"/>
    </row>
    <row r="100" spans="4:17" ht="13" thickBot="1">
      <c r="E100" s="12"/>
      <c r="F100" s="13" t="s">
        <v>227</v>
      </c>
      <c r="G100" s="9" t="str">
        <f>IF(OR(F99="",F101=""),"",+IF(F99&gt;F101,E99,E101))</f>
        <v/>
      </c>
      <c r="H100" s="11"/>
      <c r="I100" s="10"/>
      <c r="J100" s="14"/>
      <c r="K100" s="10"/>
      <c r="L100" s="10"/>
      <c r="M100" s="10"/>
      <c r="N100" s="10"/>
      <c r="O100" s="10"/>
      <c r="P100" s="10"/>
      <c r="Q100" s="10"/>
    </row>
    <row r="101" spans="4:17" ht="13" thickBot="1">
      <c r="D101">
        <v>44</v>
      </c>
      <c r="E101" s="9"/>
      <c r="F101" s="16"/>
      <c r="G101" s="10"/>
      <c r="H101" s="13"/>
      <c r="I101" s="10"/>
      <c r="J101" s="14"/>
      <c r="K101" s="10"/>
      <c r="L101" s="10"/>
      <c r="M101" s="10"/>
      <c r="N101" s="10"/>
      <c r="O101" s="10"/>
      <c r="P101" s="10"/>
      <c r="Q101" s="10"/>
    </row>
    <row r="102" spans="4:17" ht="13" thickBot="1">
      <c r="E102" s="10"/>
      <c r="F102" s="10"/>
      <c r="G102" s="10"/>
      <c r="H102" s="14" t="s">
        <v>260</v>
      </c>
      <c r="I102" s="9" t="str">
        <f>IF(OR(H100="",H103=""),"",+IF(H100&gt;H103,G100,E103))</f>
        <v/>
      </c>
      <c r="J102" s="16"/>
      <c r="K102" s="10"/>
      <c r="L102" s="10"/>
      <c r="M102" s="10"/>
      <c r="N102" s="10"/>
      <c r="O102" s="10"/>
      <c r="P102" s="10"/>
      <c r="Q102" s="10"/>
    </row>
    <row r="103" spans="4:17" ht="13" thickBot="1">
      <c r="D103">
        <v>45</v>
      </c>
      <c r="E103" s="9"/>
      <c r="F103" s="9"/>
      <c r="G103" s="9">
        <f>E103</f>
        <v>0</v>
      </c>
      <c r="H103" s="16"/>
      <c r="I103" s="10"/>
      <c r="J103" s="10"/>
      <c r="K103" s="10"/>
      <c r="L103" s="10"/>
      <c r="M103" s="10"/>
      <c r="N103" s="10"/>
      <c r="O103" s="10"/>
      <c r="P103" s="10"/>
      <c r="Q103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42"/>
  <dimension ref="D4:AG101"/>
  <sheetViews>
    <sheetView showGridLines="0" topLeftCell="A9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5.64453125" customWidth="1"/>
    <col min="16" max="16" width="3.64453125" customWidth="1"/>
    <col min="17" max="17" width="18.3515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E21</f>
        <v>0</v>
      </c>
      <c r="V6" t="s">
        <v>77</v>
      </c>
      <c r="W6" s="29">
        <f>E23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E25</f>
        <v>0</v>
      </c>
      <c r="V7" t="s">
        <v>77</v>
      </c>
      <c r="W7" s="29">
        <f>E27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E34</f>
        <v>0</v>
      </c>
      <c r="V8" t="s">
        <v>77</v>
      </c>
      <c r="W8" s="29">
        <f>E36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227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E45</f>
        <v>0</v>
      </c>
      <c r="V9" t="s">
        <v>77</v>
      </c>
      <c r="W9" s="29">
        <f>E47</f>
        <v>0</v>
      </c>
      <c r="Z9" s="34"/>
      <c r="AA9" s="40"/>
      <c r="AB9" s="40"/>
      <c r="AC9" s="38" t="s">
        <v>159</v>
      </c>
      <c r="AD9" s="48"/>
      <c r="AE9" s="53" t="e">
        <f>LOOKUP(AD9,T$5:T$78,U$5:U$50)</f>
        <v>#N/A</v>
      </c>
      <c r="AF9" s="37" t="s">
        <v>157</v>
      </c>
      <c r="AG9" s="65" t="e">
        <f>LOOKUP(AD9,T$5:T$78,W$5:W$49)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E49</f>
        <v>0</v>
      </c>
      <c r="V10" t="s">
        <v>77</v>
      </c>
      <c r="W10" s="29">
        <f>E51</f>
        <v>0</v>
      </c>
      <c r="Z10" s="34"/>
      <c r="AA10" s="40"/>
      <c r="AB10" s="40"/>
      <c r="AC10" s="38" t="s">
        <v>159</v>
      </c>
      <c r="AD10" s="48"/>
      <c r="AE10" s="53" t="e">
        <f>LOOKUP(AD10,T$5:T$78,U$5:U$50)</f>
        <v>#N/A</v>
      </c>
      <c r="AF10" s="37" t="s">
        <v>157</v>
      </c>
      <c r="AG10" s="65" t="e">
        <f>LOOKUP(AD10,T$5:T$78,W$5:W$49)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E58</f>
        <v>0</v>
      </c>
      <c r="V11" t="s">
        <v>77</v>
      </c>
      <c r="W11" s="29">
        <f>E60</f>
        <v>0</v>
      </c>
      <c r="Z11" s="34"/>
      <c r="AA11" s="40"/>
      <c r="AB11" s="40"/>
      <c r="AC11" s="38" t="s">
        <v>159</v>
      </c>
      <c r="AD11" s="48"/>
      <c r="AE11" s="53" t="e">
        <f>LOOKUP(AD11,T$5:T$78,U$5:U$50)</f>
        <v>#N/A</v>
      </c>
      <c r="AF11" s="37" t="s">
        <v>157</v>
      </c>
      <c r="AG11" s="65" t="e">
        <f>LOOKUP(AD11,T$5:T$78,W$5:W$49)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260</v>
      </c>
      <c r="K12" s="9" t="str">
        <f>IF(OR(J9="",J15=""),"",+IF(J9&gt;J15,I9,I15))</f>
        <v/>
      </c>
      <c r="L12" s="11"/>
      <c r="M12" s="10"/>
      <c r="N12" s="10"/>
      <c r="O12" s="10"/>
      <c r="P12" s="10"/>
      <c r="Q12" s="10"/>
      <c r="T12">
        <v>8</v>
      </c>
      <c r="U12" s="28">
        <f>E69</f>
        <v>0</v>
      </c>
      <c r="V12" t="s">
        <v>77</v>
      </c>
      <c r="W12" s="29">
        <f>E71</f>
        <v>0</v>
      </c>
      <c r="Z12" s="34"/>
      <c r="AA12" s="40"/>
      <c r="AB12" s="40"/>
      <c r="AC12" s="38" t="s">
        <v>159</v>
      </c>
      <c r="AD12" s="48"/>
      <c r="AE12" s="53" t="e">
        <f>LOOKUP(AD12,T$5:T$78,U$5:U$50)</f>
        <v>#N/A</v>
      </c>
      <c r="AF12" s="37" t="s">
        <v>157</v>
      </c>
      <c r="AG12" s="65" t="e">
        <f>LOOKUP(AD12,T$5:T$78,W$5:W$49)</f>
        <v>#N/A</v>
      </c>
    </row>
    <row r="13" spans="4:33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P13" s="10"/>
      <c r="Q13" s="10"/>
      <c r="T13">
        <v>9</v>
      </c>
      <c r="U13" s="28">
        <f>E73</f>
        <v>0</v>
      </c>
      <c r="V13" t="s">
        <v>77</v>
      </c>
      <c r="W13" s="29">
        <f>E75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P14" s="10"/>
      <c r="Q14" s="10"/>
      <c r="T14">
        <v>10</v>
      </c>
      <c r="U14" s="28">
        <f>E82</f>
        <v>0</v>
      </c>
      <c r="V14" t="s">
        <v>77</v>
      </c>
      <c r="W14" s="29">
        <f>E84</f>
        <v>0</v>
      </c>
      <c r="Z14" s="34"/>
      <c r="AA14" s="40"/>
      <c r="AB14" s="40"/>
      <c r="AC14" s="38" t="s">
        <v>159</v>
      </c>
      <c r="AD14" s="48"/>
      <c r="AE14" s="53" t="e">
        <f>LOOKUP(AD14,T$5:T$78,U$5:U$50)</f>
        <v>#N/A</v>
      </c>
      <c r="AF14" s="37" t="s">
        <v>157</v>
      </c>
      <c r="AG14" s="65" t="e">
        <f>LOOKUP(AD14,T$5:T$78,W$5:W$49)</f>
        <v>#N/A</v>
      </c>
    </row>
    <row r="15" spans="4:33" ht="13" thickBot="1">
      <c r="E15" s="10"/>
      <c r="F15" s="10"/>
      <c r="G15" s="10"/>
      <c r="H15" s="13" t="s">
        <v>229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P15" s="10"/>
      <c r="Q15" s="10"/>
      <c r="T15">
        <v>11</v>
      </c>
      <c r="U15" s="28">
        <f>E93</f>
        <v>0</v>
      </c>
      <c r="V15" t="s">
        <v>77</v>
      </c>
      <c r="W15" s="29">
        <f>E95</f>
        <v>0</v>
      </c>
      <c r="Z15" s="34"/>
      <c r="AA15" s="40"/>
      <c r="AB15" s="40"/>
      <c r="AC15" s="38" t="s">
        <v>159</v>
      </c>
      <c r="AD15" s="48"/>
      <c r="AE15" s="53" t="e">
        <f>LOOKUP(AD15,T$5:T$78,U$5:U$50)</f>
        <v>#N/A</v>
      </c>
      <c r="AF15" s="37" t="s">
        <v>157</v>
      </c>
      <c r="AG15" s="65" t="e">
        <f>LOOKUP(AD15,T$5:T$78,W$5:W$49)</f>
        <v>#N/A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P16" s="10"/>
      <c r="Q16" s="10"/>
      <c r="T16">
        <v>12</v>
      </c>
      <c r="U16" s="28">
        <f>E97</f>
        <v>0</v>
      </c>
      <c r="V16" t="s">
        <v>77</v>
      </c>
      <c r="W16" s="29">
        <f>E99</f>
        <v>0</v>
      </c>
      <c r="Z16" s="34"/>
      <c r="AA16" s="40"/>
      <c r="AB16" s="40"/>
      <c r="AC16" s="38" t="s">
        <v>159</v>
      </c>
      <c r="AD16" s="48"/>
      <c r="AE16" s="53" t="e">
        <f>LOOKUP(AD16,T$5:T$78,U$5:U$50)</f>
        <v>#N/A</v>
      </c>
      <c r="AF16" s="37" t="s">
        <v>157</v>
      </c>
      <c r="AG16" s="65" t="e">
        <f>LOOKUP(AD16,T$5:T$78,W$5:W$49)</f>
        <v>#N/A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228</v>
      </c>
      <c r="M17" s="9" t="str">
        <f>IF(OR(L12="",L24=""),"",+IF(L12&gt;L24,K12,K24))</f>
        <v/>
      </c>
      <c r="N17" s="17"/>
      <c r="O17" s="10"/>
      <c r="P17" s="10"/>
      <c r="Q17" s="10"/>
      <c r="T17">
        <v>13</v>
      </c>
      <c r="U17" s="28">
        <f>E7</f>
        <v>0</v>
      </c>
      <c r="V17" t="s">
        <v>77</v>
      </c>
      <c r="W17" s="29" t="s">
        <v>78</v>
      </c>
      <c r="Z17" s="34"/>
      <c r="AA17" s="40"/>
      <c r="AB17" s="40"/>
      <c r="AC17" s="38" t="s">
        <v>159</v>
      </c>
      <c r="AD17" s="48"/>
      <c r="AE17" s="53" t="e">
        <f>LOOKUP(AD17,T$5:T$78,U$5:U$50)</f>
        <v>#N/A</v>
      </c>
      <c r="AF17" s="37" t="s">
        <v>157</v>
      </c>
      <c r="AG17" s="65" t="e">
        <f>LOOKUP(AD17,T$5:T$78,W$5:W$49)</f>
        <v>#N/A</v>
      </c>
    </row>
    <row r="18" spans="4:33" ht="13" thickBot="1">
      <c r="D18">
        <v>6</v>
      </c>
      <c r="E18" s="10"/>
      <c r="F18" s="9"/>
      <c r="G18" s="9">
        <f>E18</f>
        <v>0</v>
      </c>
      <c r="H18" s="11"/>
      <c r="I18" s="10"/>
      <c r="J18" s="10"/>
      <c r="K18" s="10"/>
      <c r="L18" s="14"/>
      <c r="M18" s="10"/>
      <c r="N18" s="14"/>
      <c r="O18" s="10"/>
      <c r="P18" s="10"/>
      <c r="Q18" s="10"/>
      <c r="T18">
        <v>14</v>
      </c>
      <c r="U18" s="28">
        <f>E14</f>
        <v>0</v>
      </c>
      <c r="V18" t="s">
        <v>77</v>
      </c>
      <c r="W18" s="29">
        <f>E16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>
      <c r="E19" s="12"/>
      <c r="F19" s="10"/>
      <c r="G19" s="10"/>
      <c r="H19" s="13"/>
      <c r="I19" s="10"/>
      <c r="J19" s="10"/>
      <c r="K19" s="10"/>
      <c r="L19" s="14"/>
      <c r="M19" s="10"/>
      <c r="N19" s="14"/>
      <c r="O19" s="10"/>
      <c r="P19" s="10"/>
      <c r="Q19" s="10"/>
      <c r="T19">
        <v>15</v>
      </c>
      <c r="U19" s="28">
        <f>E18</f>
        <v>0</v>
      </c>
      <c r="V19" t="s">
        <v>77</v>
      </c>
      <c r="W19" s="29" t="s">
        <v>160</v>
      </c>
      <c r="Z19" s="34"/>
      <c r="AA19" s="40"/>
      <c r="AB19" s="40"/>
      <c r="AC19" s="38" t="s">
        <v>159</v>
      </c>
      <c r="AD19" s="48"/>
      <c r="AE19" s="53" t="e">
        <f>LOOKUP(AD19,T$5:T$78,U$5:U$50)</f>
        <v>#N/A</v>
      </c>
      <c r="AF19" s="37" t="s">
        <v>157</v>
      </c>
      <c r="AG19" s="65" t="e">
        <f>LOOKUP(AD19,T$5:T$78,W$5:W$49)</f>
        <v>#N/A</v>
      </c>
    </row>
    <row r="20" spans="4:33" ht="13" thickBot="1">
      <c r="E20" s="10"/>
      <c r="F20" s="10"/>
      <c r="G20" s="10"/>
      <c r="H20" s="14" t="s">
        <v>232</v>
      </c>
      <c r="I20" s="9" t="str">
        <f>IF(OR(H18="",H22=""),"",+IF(H18&gt;H22,G18,G22))</f>
        <v/>
      </c>
      <c r="J20" s="11"/>
      <c r="K20" s="10"/>
      <c r="L20" s="14"/>
      <c r="M20" s="10"/>
      <c r="N20" s="14"/>
      <c r="O20" s="10"/>
      <c r="P20" s="10"/>
      <c r="Q20" s="10"/>
      <c r="T20">
        <v>16</v>
      </c>
      <c r="U20" s="28" t="s">
        <v>161</v>
      </c>
      <c r="V20" t="s">
        <v>77</v>
      </c>
      <c r="W20" s="29">
        <f>E29</f>
        <v>0</v>
      </c>
      <c r="Z20" s="34"/>
      <c r="AA20" s="40"/>
      <c r="AB20" s="40"/>
      <c r="AC20" s="38" t="s">
        <v>159</v>
      </c>
      <c r="AD20" s="48"/>
      <c r="AE20" s="53" t="e">
        <f>LOOKUP(AD20,T$5:T$78,U$5:U$50)</f>
        <v>#N/A</v>
      </c>
      <c r="AF20" s="37" t="s">
        <v>157</v>
      </c>
      <c r="AG20" s="65" t="e">
        <f>LOOKUP(AD20,T$5:T$78,W$5:W$49)</f>
        <v>#N/A</v>
      </c>
    </row>
    <row r="21" spans="4:33" ht="13" thickBot="1">
      <c r="D21">
        <v>7</v>
      </c>
      <c r="E21" s="10"/>
      <c r="F21" s="11"/>
      <c r="G21" s="10"/>
      <c r="H21" s="14"/>
      <c r="I21" s="10"/>
      <c r="J21" s="13"/>
      <c r="K21" s="10"/>
      <c r="L21" s="14"/>
      <c r="M21" s="10"/>
      <c r="N21" s="14"/>
      <c r="O21" s="10"/>
      <c r="P21" s="10"/>
      <c r="Q21" s="10"/>
      <c r="T21">
        <v>17</v>
      </c>
      <c r="U21" s="28">
        <f>E31</f>
        <v>0</v>
      </c>
      <c r="V21" t="s">
        <v>77</v>
      </c>
      <c r="W21" s="29" t="s">
        <v>81</v>
      </c>
      <c r="Z21" s="34"/>
      <c r="AA21" s="40"/>
      <c r="AB21" s="40"/>
      <c r="AC21" s="38" t="s">
        <v>159</v>
      </c>
      <c r="AD21" s="48"/>
      <c r="AE21" s="53" t="e">
        <f>LOOKUP(AD21,T$5:T$78,U$5:U$50)</f>
        <v>#N/A</v>
      </c>
      <c r="AF21" s="37" t="s">
        <v>157</v>
      </c>
      <c r="AG21" s="65" t="e">
        <f>LOOKUP(AD21,T$5:T$78,W$5:W$49)</f>
        <v>#N/A</v>
      </c>
    </row>
    <row r="22" spans="4:33" ht="13" thickBot="1">
      <c r="E22" s="12"/>
      <c r="F22" s="13" t="s">
        <v>204</v>
      </c>
      <c r="G22" s="9" t="str">
        <f>IF(OR(F21="",F23=""),"",+IF(F21&gt;F23,E21,E23))</f>
        <v/>
      </c>
      <c r="H22" s="16"/>
      <c r="I22" s="10"/>
      <c r="J22" s="14"/>
      <c r="K22" s="10"/>
      <c r="L22" s="14"/>
      <c r="M22" s="10"/>
      <c r="N22" s="14"/>
      <c r="O22" s="10"/>
      <c r="P22" s="10"/>
      <c r="Q22" s="10"/>
      <c r="T22">
        <v>18</v>
      </c>
      <c r="U22" s="28">
        <f>E38</f>
        <v>0</v>
      </c>
      <c r="V22" t="s">
        <v>77</v>
      </c>
      <c r="W22" s="29">
        <f>E40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D23">
        <v>8</v>
      </c>
      <c r="E23" s="10"/>
      <c r="F23" s="16"/>
      <c r="G23" s="10"/>
      <c r="H23" s="10"/>
      <c r="I23" s="10"/>
      <c r="J23" s="14"/>
      <c r="K23" s="10"/>
      <c r="L23" s="14"/>
      <c r="M23" s="10"/>
      <c r="N23" s="14"/>
      <c r="O23" s="10"/>
      <c r="P23" s="10"/>
      <c r="Q23" s="10"/>
      <c r="T23">
        <v>19</v>
      </c>
      <c r="U23" s="28">
        <f>E42</f>
        <v>0</v>
      </c>
      <c r="V23" t="s">
        <v>77</v>
      </c>
      <c r="W23" s="29" t="s">
        <v>162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E24" s="12"/>
      <c r="F24" s="10"/>
      <c r="G24" s="10"/>
      <c r="H24" s="10"/>
      <c r="I24" s="10"/>
      <c r="J24" s="14" t="s">
        <v>201</v>
      </c>
      <c r="K24" s="9" t="str">
        <f>IF(OR(J20="",J28=""),"",+IF(J20&gt;J28,I20,I28))</f>
        <v/>
      </c>
      <c r="L24" s="16"/>
      <c r="M24" s="10"/>
      <c r="N24" s="14"/>
      <c r="O24" s="10"/>
      <c r="P24" s="10"/>
      <c r="Q24" s="10"/>
      <c r="T24">
        <v>20</v>
      </c>
      <c r="U24" s="28" t="s">
        <v>163</v>
      </c>
      <c r="V24" t="s">
        <v>77</v>
      </c>
      <c r="W24" s="29">
        <f>E53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 ht="13" thickBot="1">
      <c r="D25">
        <v>9</v>
      </c>
      <c r="E25" s="10"/>
      <c r="F25" s="11"/>
      <c r="G25" s="10"/>
      <c r="H25" s="10"/>
      <c r="I25" s="10"/>
      <c r="J25" s="14"/>
      <c r="K25" s="10"/>
      <c r="L25" s="10"/>
      <c r="M25" s="10"/>
      <c r="N25" s="14"/>
      <c r="O25" s="10"/>
      <c r="P25" s="10"/>
      <c r="Q25" s="10"/>
      <c r="T25">
        <v>21</v>
      </c>
      <c r="U25" s="28">
        <f>E55</f>
        <v>0</v>
      </c>
      <c r="V25" t="s">
        <v>77</v>
      </c>
      <c r="W25" s="29" t="s">
        <v>199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E26" s="12"/>
      <c r="F26" s="13" t="s">
        <v>206</v>
      </c>
      <c r="G26" s="9" t="str">
        <f>IF(OR(F25="",F27=""),"",+IF(F25&gt;F27,E25,E27))</f>
        <v/>
      </c>
      <c r="H26" s="11"/>
      <c r="I26" s="10"/>
      <c r="J26" s="14"/>
      <c r="K26" s="10"/>
      <c r="L26" s="10"/>
      <c r="M26" s="10"/>
      <c r="N26" s="14"/>
      <c r="O26" s="10"/>
      <c r="P26" s="10"/>
      <c r="Q26" s="10"/>
      <c r="T26">
        <v>22</v>
      </c>
      <c r="U26" s="28">
        <f>E62</f>
        <v>0</v>
      </c>
      <c r="V26" t="s">
        <v>77</v>
      </c>
      <c r="W26" s="29">
        <f>E64</f>
        <v>0</v>
      </c>
      <c r="Z26" s="34"/>
      <c r="AA26" s="40"/>
      <c r="AB26" s="40"/>
      <c r="AC26" s="38" t="s">
        <v>159</v>
      </c>
      <c r="AD26" s="48"/>
      <c r="AE26" s="53" t="e">
        <f t="shared" ref="AE26:AE39" si="0">LOOKUP(AD26,T$5:T$78,U$5:U$50)</f>
        <v>#N/A</v>
      </c>
      <c r="AF26" s="37" t="s">
        <v>157</v>
      </c>
      <c r="AG26" s="65" t="e">
        <f t="shared" ref="AG26:AG39" si="1">LOOKUP(AD26,T$5:T$78,W$5:W$49)</f>
        <v>#N/A</v>
      </c>
    </row>
    <row r="27" spans="4:33" ht="13" thickBot="1">
      <c r="D27">
        <v>10</v>
      </c>
      <c r="E27" s="9"/>
      <c r="F27" s="16"/>
      <c r="G27" s="10"/>
      <c r="H27" s="13"/>
      <c r="I27" s="10"/>
      <c r="J27" s="14"/>
      <c r="K27" s="10"/>
      <c r="L27" s="10"/>
      <c r="M27" s="10"/>
      <c r="N27" s="14"/>
      <c r="O27" s="10"/>
      <c r="P27" s="10"/>
      <c r="Q27" s="10"/>
      <c r="T27">
        <v>23</v>
      </c>
      <c r="U27" s="28">
        <f>E66</f>
        <v>0</v>
      </c>
      <c r="V27" t="s">
        <v>77</v>
      </c>
      <c r="W27" s="29" t="s">
        <v>164</v>
      </c>
      <c r="Z27" s="34"/>
      <c r="AA27" s="40"/>
      <c r="AB27" s="40"/>
      <c r="AC27" s="38" t="s">
        <v>159</v>
      </c>
      <c r="AD27" s="48"/>
      <c r="AE27" s="53" t="e">
        <f t="shared" si="0"/>
        <v>#N/A</v>
      </c>
      <c r="AF27" s="37" t="s">
        <v>157</v>
      </c>
      <c r="AG27" s="65" t="e">
        <f t="shared" si="1"/>
        <v>#N/A</v>
      </c>
    </row>
    <row r="28" spans="4:33" ht="13" thickBot="1">
      <c r="E28" s="10"/>
      <c r="F28" s="10"/>
      <c r="G28" s="10"/>
      <c r="H28" s="14" t="s">
        <v>234</v>
      </c>
      <c r="I28" s="9" t="str">
        <f>IF(OR(H26="",H29=""),"",+IF(H26&gt;H29,G26,E29))</f>
        <v/>
      </c>
      <c r="J28" s="16"/>
      <c r="K28" s="10"/>
      <c r="L28" s="10"/>
      <c r="M28" s="10"/>
      <c r="N28" s="14" t="s">
        <v>243</v>
      </c>
      <c r="O28" s="9" t="str">
        <f>IF(OR(N17="",N41=""),"",+IF(N17&gt;N41,M17,M41))</f>
        <v/>
      </c>
      <c r="P28" s="17"/>
      <c r="Q28" s="10"/>
      <c r="T28">
        <v>24</v>
      </c>
      <c r="U28" s="28" t="s">
        <v>86</v>
      </c>
      <c r="V28" t="s">
        <v>77</v>
      </c>
      <c r="W28" s="29">
        <f>E77</f>
        <v>0</v>
      </c>
      <c r="Z28" s="34"/>
      <c r="AA28" s="40"/>
      <c r="AB28" s="40"/>
      <c r="AC28" s="38" t="s">
        <v>159</v>
      </c>
      <c r="AD28" s="48"/>
      <c r="AE28" s="53" t="e">
        <f t="shared" si="0"/>
        <v>#N/A</v>
      </c>
      <c r="AF28" s="37" t="s">
        <v>157</v>
      </c>
      <c r="AG28" s="65" t="e">
        <f t="shared" si="1"/>
        <v>#N/A</v>
      </c>
    </row>
    <row r="29" spans="4:33" ht="13" thickBot="1">
      <c r="D29">
        <v>11</v>
      </c>
      <c r="E29" s="9"/>
      <c r="F29" s="9"/>
      <c r="G29" s="9">
        <f>E29</f>
        <v>0</v>
      </c>
      <c r="H29" s="16"/>
      <c r="I29" s="10"/>
      <c r="J29" s="10"/>
      <c r="K29" s="10"/>
      <c r="L29" s="10"/>
      <c r="M29" s="10"/>
      <c r="N29" s="14"/>
      <c r="O29" s="10"/>
      <c r="P29" s="14"/>
      <c r="Q29" s="10"/>
      <c r="T29">
        <v>25</v>
      </c>
      <c r="U29" s="28">
        <f>E79</f>
        <v>0</v>
      </c>
      <c r="V29" t="s">
        <v>77</v>
      </c>
      <c r="W29" s="29" t="s">
        <v>87</v>
      </c>
      <c r="Z29" s="34"/>
      <c r="AA29" s="40"/>
      <c r="AB29" s="40"/>
      <c r="AC29" s="38" t="s">
        <v>159</v>
      </c>
      <c r="AD29" s="48"/>
      <c r="AE29" s="53" t="e">
        <f t="shared" si="0"/>
        <v>#N/A</v>
      </c>
      <c r="AF29" s="37" t="s">
        <v>157</v>
      </c>
      <c r="AG29" s="65" t="e">
        <f t="shared" si="1"/>
        <v>#N/A</v>
      </c>
    </row>
    <row r="30" spans="4:33">
      <c r="E30" s="10"/>
      <c r="F30" s="10"/>
      <c r="G30" s="10"/>
      <c r="H30" s="10"/>
      <c r="I30" s="10"/>
      <c r="J30" s="10"/>
      <c r="K30" s="10"/>
      <c r="L30" s="10"/>
      <c r="M30" s="10"/>
      <c r="N30" s="14"/>
      <c r="O30" s="10"/>
      <c r="P30" s="14"/>
      <c r="Q30" s="10"/>
      <c r="T30">
        <v>26</v>
      </c>
      <c r="U30" s="28">
        <f>E86</f>
        <v>0</v>
      </c>
      <c r="V30" t="s">
        <v>77</v>
      </c>
      <c r="W30" s="29">
        <f>E88</f>
        <v>0</v>
      </c>
      <c r="Z30" s="34"/>
      <c r="AA30" s="41"/>
      <c r="AB30" s="33"/>
      <c r="AC30" s="33"/>
      <c r="AD30" s="50"/>
      <c r="AE30" s="54" t="e">
        <f t="shared" si="0"/>
        <v>#N/A</v>
      </c>
      <c r="AF30" s="33"/>
      <c r="AG30" s="58" t="e">
        <f t="shared" si="1"/>
        <v>#N/A</v>
      </c>
    </row>
    <row r="31" spans="4:33" ht="13" thickBot="1">
      <c r="D31">
        <v>12</v>
      </c>
      <c r="E31" s="10"/>
      <c r="F31" s="9"/>
      <c r="G31" s="9">
        <f>E31</f>
        <v>0</v>
      </c>
      <c r="H31" s="11"/>
      <c r="I31" s="10"/>
      <c r="J31" s="10"/>
      <c r="K31" s="10"/>
      <c r="L31" s="10"/>
      <c r="M31" s="10"/>
      <c r="N31" s="14"/>
      <c r="O31" s="10"/>
      <c r="P31" s="14"/>
      <c r="Q31" s="10"/>
      <c r="T31">
        <v>27</v>
      </c>
      <c r="U31" s="28">
        <f>E90</f>
        <v>0</v>
      </c>
      <c r="V31" t="s">
        <v>77</v>
      </c>
      <c r="W31" s="29" t="s">
        <v>88</v>
      </c>
      <c r="Z31" s="34"/>
      <c r="AA31" s="40"/>
      <c r="AB31" s="40"/>
      <c r="AC31" s="38" t="s">
        <v>159</v>
      </c>
      <c r="AD31" s="48"/>
      <c r="AE31" s="53" t="e">
        <f t="shared" si="0"/>
        <v>#N/A</v>
      </c>
      <c r="AF31" s="37" t="s">
        <v>157</v>
      </c>
      <c r="AG31" s="65" t="e">
        <f t="shared" si="1"/>
        <v>#N/A</v>
      </c>
    </row>
    <row r="32" spans="4:33">
      <c r="E32" s="12"/>
      <c r="F32" s="10"/>
      <c r="G32" s="10"/>
      <c r="H32" s="13"/>
      <c r="I32" s="10"/>
      <c r="J32" s="10"/>
      <c r="K32" s="10"/>
      <c r="L32" s="10"/>
      <c r="M32" s="10"/>
      <c r="N32" s="14"/>
      <c r="O32" s="10"/>
      <c r="P32" s="14"/>
      <c r="Q32" s="10"/>
      <c r="T32">
        <v>28</v>
      </c>
      <c r="U32" s="28" t="s">
        <v>89</v>
      </c>
      <c r="V32" t="s">
        <v>77</v>
      </c>
      <c r="W32" s="29">
        <f>E101</f>
        <v>0</v>
      </c>
      <c r="Z32" s="34"/>
      <c r="AA32" s="40"/>
      <c r="AB32" s="40"/>
      <c r="AC32" s="38" t="s">
        <v>159</v>
      </c>
      <c r="AD32" s="48"/>
      <c r="AE32" s="53" t="e">
        <f t="shared" si="0"/>
        <v>#N/A</v>
      </c>
      <c r="AF32" s="37" t="s">
        <v>157</v>
      </c>
      <c r="AG32" s="65" t="e">
        <f t="shared" si="1"/>
        <v>#N/A</v>
      </c>
    </row>
    <row r="33" spans="4:33" ht="13" thickBot="1">
      <c r="E33" s="10"/>
      <c r="F33" s="10"/>
      <c r="G33" s="10"/>
      <c r="H33" s="14" t="s">
        <v>236</v>
      </c>
      <c r="I33" s="9" t="str">
        <f>IF(OR(H31="",H35=""),"",+IF(H31&gt;H35,G31,G35))</f>
        <v/>
      </c>
      <c r="J33" s="11"/>
      <c r="K33" s="10"/>
      <c r="L33" s="10"/>
      <c r="M33" s="10"/>
      <c r="N33" s="14"/>
      <c r="O33" s="10"/>
      <c r="P33" s="14"/>
      <c r="Q33" s="10"/>
      <c r="T33">
        <v>29</v>
      </c>
      <c r="U33" s="28" t="s">
        <v>90</v>
      </c>
      <c r="V33" t="s">
        <v>77</v>
      </c>
      <c r="W33" s="29" t="s">
        <v>91</v>
      </c>
      <c r="Z33" s="34"/>
      <c r="AA33" s="40"/>
      <c r="AB33" s="40"/>
      <c r="AC33" s="38" t="s">
        <v>159</v>
      </c>
      <c r="AD33" s="48"/>
      <c r="AE33" s="53" t="e">
        <f t="shared" si="0"/>
        <v>#N/A</v>
      </c>
      <c r="AF33" s="37" t="s">
        <v>157</v>
      </c>
      <c r="AG33" s="65" t="e">
        <f t="shared" si="1"/>
        <v>#N/A</v>
      </c>
    </row>
    <row r="34" spans="4:33" ht="13" thickBot="1">
      <c r="D34">
        <v>13</v>
      </c>
      <c r="E34" s="10"/>
      <c r="F34" s="11"/>
      <c r="G34" s="10"/>
      <c r="H34" s="14"/>
      <c r="I34" s="10"/>
      <c r="J34" s="13"/>
      <c r="K34" s="10"/>
      <c r="L34" s="10"/>
      <c r="M34" s="10"/>
      <c r="N34" s="14"/>
      <c r="O34" s="10"/>
      <c r="P34" s="14"/>
      <c r="Q34" s="10"/>
      <c r="T34">
        <v>30</v>
      </c>
      <c r="U34" s="28" t="s">
        <v>92</v>
      </c>
      <c r="V34" t="s">
        <v>77</v>
      </c>
      <c r="W34" s="29" t="s">
        <v>165</v>
      </c>
      <c r="Z34" s="34"/>
      <c r="AA34" s="40"/>
      <c r="AB34" s="40"/>
      <c r="AC34" s="38" t="s">
        <v>159</v>
      </c>
      <c r="AD34" s="48"/>
      <c r="AE34" s="53" t="e">
        <f t="shared" si="0"/>
        <v>#N/A</v>
      </c>
      <c r="AF34" s="37" t="s">
        <v>157</v>
      </c>
      <c r="AG34" s="65" t="e">
        <f t="shared" si="1"/>
        <v>#N/A</v>
      </c>
    </row>
    <row r="35" spans="4:33" ht="13" thickBot="1">
      <c r="E35" s="12"/>
      <c r="F35" s="13" t="s">
        <v>208</v>
      </c>
      <c r="G35" s="9" t="str">
        <f>IF(OR(F34="",F36=""),"",+IF(F34&gt;F36,E34,E36))</f>
        <v/>
      </c>
      <c r="H35" s="16"/>
      <c r="I35" s="10"/>
      <c r="J35" s="14"/>
      <c r="K35" s="10"/>
      <c r="L35" s="10"/>
      <c r="M35" s="10"/>
      <c r="N35" s="14"/>
      <c r="O35" s="10"/>
      <c r="P35" s="14"/>
      <c r="Q35" s="10"/>
      <c r="T35">
        <v>31</v>
      </c>
      <c r="U35" s="28" t="s">
        <v>94</v>
      </c>
      <c r="V35" t="s">
        <v>77</v>
      </c>
      <c r="W35" s="29" t="s">
        <v>95</v>
      </c>
      <c r="Z35" s="34"/>
      <c r="AA35" s="41"/>
      <c r="AB35" s="33"/>
      <c r="AC35" s="33"/>
      <c r="AD35" s="50"/>
      <c r="AE35" s="54" t="e">
        <f t="shared" si="0"/>
        <v>#N/A</v>
      </c>
      <c r="AF35" s="33"/>
      <c r="AG35" s="58" t="e">
        <f t="shared" si="1"/>
        <v>#N/A</v>
      </c>
    </row>
    <row r="36" spans="4:33" ht="13" thickBot="1">
      <c r="D36">
        <v>14</v>
      </c>
      <c r="E36" s="10"/>
      <c r="F36" s="16"/>
      <c r="G36" s="10"/>
      <c r="H36" s="10"/>
      <c r="I36" s="10"/>
      <c r="J36" s="14" t="s">
        <v>205</v>
      </c>
      <c r="K36" s="9" t="str">
        <f>IF(OR(J33="",J39=""),"",+IF(J33&gt;J39,I33,I39))</f>
        <v/>
      </c>
      <c r="L36" s="11"/>
      <c r="M36" s="10"/>
      <c r="N36" s="14"/>
      <c r="O36" s="10"/>
      <c r="P36" s="14"/>
      <c r="Q36" s="10"/>
      <c r="T36">
        <v>32</v>
      </c>
      <c r="U36" s="28" t="s">
        <v>96</v>
      </c>
      <c r="V36" t="s">
        <v>77</v>
      </c>
      <c r="W36" s="29" t="s">
        <v>97</v>
      </c>
      <c r="Z36" s="34"/>
      <c r="AA36" s="40"/>
      <c r="AB36" s="40"/>
      <c r="AC36" s="38" t="s">
        <v>159</v>
      </c>
      <c r="AD36" s="48"/>
      <c r="AE36" s="53" t="e">
        <f t="shared" si="0"/>
        <v>#N/A</v>
      </c>
      <c r="AF36" s="37" t="s">
        <v>157</v>
      </c>
      <c r="AG36" s="65" t="e">
        <f t="shared" si="1"/>
        <v>#N/A</v>
      </c>
    </row>
    <row r="37" spans="4:33">
      <c r="E37" s="12"/>
      <c r="F37" s="10"/>
      <c r="G37" s="10"/>
      <c r="H37" s="10"/>
      <c r="I37" s="10"/>
      <c r="J37" s="14"/>
      <c r="K37" s="12"/>
      <c r="L37" s="13"/>
      <c r="M37" s="10"/>
      <c r="N37" s="14"/>
      <c r="O37" s="10"/>
      <c r="P37" s="14"/>
      <c r="Q37" s="10"/>
      <c r="T37">
        <v>33</v>
      </c>
      <c r="U37" s="28" t="s">
        <v>98</v>
      </c>
      <c r="V37" t="s">
        <v>77</v>
      </c>
      <c r="W37" s="29" t="s">
        <v>99</v>
      </c>
      <c r="Z37" s="34"/>
      <c r="AA37" s="40"/>
      <c r="AB37" s="40"/>
      <c r="AC37" s="38" t="s">
        <v>159</v>
      </c>
      <c r="AD37" s="48"/>
      <c r="AE37" s="53" t="e">
        <f t="shared" si="0"/>
        <v>#N/A</v>
      </c>
      <c r="AF37" s="37" t="s">
        <v>157</v>
      </c>
      <c r="AG37" s="65" t="e">
        <f t="shared" si="1"/>
        <v>#N/A</v>
      </c>
    </row>
    <row r="38" spans="4:33" ht="13" thickBot="1">
      <c r="D38">
        <v>15</v>
      </c>
      <c r="E38" s="9"/>
      <c r="F38" s="9"/>
      <c r="G38" s="9">
        <f>E38</f>
        <v>0</v>
      </c>
      <c r="H38" s="11"/>
      <c r="I38" s="10"/>
      <c r="J38" s="14"/>
      <c r="K38" s="10"/>
      <c r="L38" s="14"/>
      <c r="M38" s="10"/>
      <c r="N38" s="14"/>
      <c r="O38" s="10"/>
      <c r="P38" s="14"/>
      <c r="Q38" s="10"/>
      <c r="T38">
        <v>34</v>
      </c>
      <c r="U38" s="28" t="s">
        <v>100</v>
      </c>
      <c r="V38" t="s">
        <v>77</v>
      </c>
      <c r="W38" s="29" t="s">
        <v>101</v>
      </c>
      <c r="Z38" s="34"/>
      <c r="AA38" s="40"/>
      <c r="AB38" s="40"/>
      <c r="AC38" s="38" t="s">
        <v>159</v>
      </c>
      <c r="AD38" s="48"/>
      <c r="AE38" s="53" t="e">
        <f t="shared" si="0"/>
        <v>#N/A</v>
      </c>
      <c r="AF38" s="37" t="s">
        <v>157</v>
      </c>
      <c r="AG38" s="65" t="e">
        <f t="shared" si="1"/>
        <v>#N/A</v>
      </c>
    </row>
    <row r="39" spans="4:33" ht="13" thickBot="1">
      <c r="E39" s="10"/>
      <c r="F39" s="10"/>
      <c r="G39" s="10"/>
      <c r="H39" s="13" t="s">
        <v>238</v>
      </c>
      <c r="I39" s="9" t="str">
        <f>IF(OR(H38="",H40=""),"",+IF(H38&gt;H40,E38,E40))</f>
        <v/>
      </c>
      <c r="J39" s="16"/>
      <c r="K39" s="10"/>
      <c r="L39" s="14"/>
      <c r="M39" s="10"/>
      <c r="N39" s="14"/>
      <c r="O39" s="10"/>
      <c r="P39" s="14"/>
      <c r="Q39" s="10"/>
      <c r="T39">
        <v>35</v>
      </c>
      <c r="U39" s="28" t="s">
        <v>102</v>
      </c>
      <c r="V39" t="s">
        <v>77</v>
      </c>
      <c r="W39" s="29" t="s">
        <v>103</v>
      </c>
      <c r="Z39" s="34"/>
      <c r="AA39" s="33"/>
      <c r="AB39" s="33"/>
      <c r="AC39" s="33"/>
      <c r="AD39" s="50"/>
      <c r="AE39" s="64" t="e">
        <f t="shared" si="0"/>
        <v>#N/A</v>
      </c>
      <c r="AF39" s="33"/>
      <c r="AG39" s="59" t="e">
        <f t="shared" si="1"/>
        <v>#N/A</v>
      </c>
    </row>
    <row r="40" spans="4:33" ht="13" thickBot="1">
      <c r="D40">
        <v>16</v>
      </c>
      <c r="E40" s="9"/>
      <c r="F40" s="9"/>
      <c r="G40" s="9">
        <f>E40</f>
        <v>0</v>
      </c>
      <c r="H40" s="16"/>
      <c r="I40" s="10"/>
      <c r="J40" s="10"/>
      <c r="K40" s="10"/>
      <c r="L40" s="14"/>
      <c r="M40" s="10"/>
      <c r="N40" s="14"/>
      <c r="O40" s="10"/>
      <c r="P40" s="14"/>
      <c r="Q40" s="10"/>
      <c r="T40">
        <v>36</v>
      </c>
      <c r="U40" s="28" t="s">
        <v>104</v>
      </c>
      <c r="V40" t="s">
        <v>77</v>
      </c>
      <c r="W40" s="29" t="s">
        <v>105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/>
      <c r="F41" s="10"/>
      <c r="G41" s="10"/>
      <c r="H41" s="10"/>
      <c r="I41" s="10"/>
      <c r="J41" s="10"/>
      <c r="K41" s="10"/>
      <c r="L41" s="14" t="s">
        <v>231</v>
      </c>
      <c r="M41" s="9" t="str">
        <f>IF(OR(L36="",L48=""),"",+IF(L36&gt;L48,K36,K48))</f>
        <v/>
      </c>
      <c r="N41" s="16"/>
      <c r="O41" s="10"/>
      <c r="P41" s="14"/>
      <c r="Q41" s="10"/>
      <c r="T41">
        <v>37</v>
      </c>
      <c r="U41" s="28" t="s">
        <v>106</v>
      </c>
      <c r="V41" t="s">
        <v>77</v>
      </c>
      <c r="W41" s="29" t="s">
        <v>107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17</v>
      </c>
      <c r="E42" s="10"/>
      <c r="F42" s="9"/>
      <c r="G42" s="9">
        <f>E42</f>
        <v>0</v>
      </c>
      <c r="H42" s="11"/>
      <c r="I42" s="10"/>
      <c r="J42" s="10"/>
      <c r="K42" s="10"/>
      <c r="L42" s="14"/>
      <c r="M42" s="10"/>
      <c r="N42" s="10"/>
      <c r="O42" s="10"/>
      <c r="P42" s="14"/>
      <c r="Q42" s="10"/>
      <c r="T42">
        <v>38</v>
      </c>
      <c r="U42" s="28" t="s">
        <v>108</v>
      </c>
      <c r="V42" t="s">
        <v>77</v>
      </c>
      <c r="W42" s="29" t="s">
        <v>109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>
      <c r="E43" s="12"/>
      <c r="F43" s="10"/>
      <c r="G43" s="10"/>
      <c r="H43" s="13"/>
      <c r="I43" s="10"/>
      <c r="J43" s="10"/>
      <c r="K43" s="10"/>
      <c r="L43" s="14"/>
      <c r="M43" s="10"/>
      <c r="N43" s="10"/>
      <c r="O43" s="10"/>
      <c r="P43" s="14"/>
      <c r="Q43" s="10"/>
      <c r="T43">
        <v>39</v>
      </c>
      <c r="U43" s="28" t="s">
        <v>110</v>
      </c>
      <c r="V43" t="s">
        <v>77</v>
      </c>
      <c r="W43" s="29" t="s">
        <v>111</v>
      </c>
      <c r="Z43" s="34"/>
      <c r="AA43" s="40"/>
      <c r="AB43" s="40"/>
      <c r="AC43" s="38" t="s">
        <v>159</v>
      </c>
      <c r="AD43" s="48"/>
      <c r="AE43" s="53" t="e">
        <f>LOOKUP(AD43,T$5:T$78,U$5:U$50)</f>
        <v>#N/A</v>
      </c>
      <c r="AF43" s="37" t="s">
        <v>157</v>
      </c>
      <c r="AG43" s="65" t="e">
        <f>LOOKUP(AD43,T$5:T$78,W$5:W$49)</f>
        <v>#N/A</v>
      </c>
    </row>
    <row r="44" spans="4:33" ht="13" thickBot="1">
      <c r="E44" s="10"/>
      <c r="F44" s="10"/>
      <c r="G44" s="10"/>
      <c r="H44" s="14" t="s">
        <v>240</v>
      </c>
      <c r="I44" s="9" t="str">
        <f>IF(OR(H42="",H46=""),"",+IF(H42&gt;H46,G42,G46))</f>
        <v/>
      </c>
      <c r="J44" s="11"/>
      <c r="K44" s="10"/>
      <c r="L44" s="14"/>
      <c r="M44" s="10"/>
      <c r="N44" s="10"/>
      <c r="O44" s="10"/>
      <c r="P44" s="14"/>
      <c r="Q44" s="10"/>
      <c r="T44">
        <v>40</v>
      </c>
      <c r="U44" s="28" t="s">
        <v>112</v>
      </c>
      <c r="V44" t="s">
        <v>77</v>
      </c>
      <c r="W44" s="29" t="s">
        <v>113</v>
      </c>
      <c r="Z44" s="34"/>
      <c r="AA44" s="40"/>
      <c r="AB44" s="40"/>
      <c r="AC44" s="38" t="s">
        <v>159</v>
      </c>
      <c r="AD44" s="48"/>
      <c r="AE44" s="53" t="e">
        <f>LOOKUP(AD44,T$5:T$78,U$5:U$50)</f>
        <v>#N/A</v>
      </c>
      <c r="AF44" s="37" t="s">
        <v>157</v>
      </c>
      <c r="AG44" s="65" t="e">
        <f>LOOKUP(AD44,T$5:T$78,W$5:W$49)</f>
        <v>#N/A</v>
      </c>
    </row>
    <row r="45" spans="4:33" ht="13" thickBot="1">
      <c r="D45">
        <v>18</v>
      </c>
      <c r="E45" s="10"/>
      <c r="F45" s="11"/>
      <c r="G45" s="10"/>
      <c r="H45" s="14"/>
      <c r="I45" s="10"/>
      <c r="J45" s="13"/>
      <c r="K45" s="10"/>
      <c r="L45" s="14"/>
      <c r="M45" s="10"/>
      <c r="N45" s="10"/>
      <c r="O45" s="10"/>
      <c r="P45" s="14"/>
      <c r="Q45" s="10"/>
      <c r="T45">
        <v>41</v>
      </c>
      <c r="U45" s="28" t="s">
        <v>114</v>
      </c>
      <c r="V45" t="s">
        <v>77</v>
      </c>
      <c r="W45" s="29" t="s">
        <v>115</v>
      </c>
      <c r="Z45" s="34"/>
      <c r="AA45" s="40"/>
      <c r="AB45" s="40"/>
      <c r="AC45" s="38" t="s">
        <v>159</v>
      </c>
      <c r="AD45" s="48"/>
      <c r="AE45" s="53" t="e">
        <f>LOOKUP(AD45,T$5:T$78,U$5:U$50)</f>
        <v>#N/A</v>
      </c>
      <c r="AF45" s="37" t="s">
        <v>157</v>
      </c>
      <c r="AG45" s="65" t="e">
        <f>LOOKUP(AD45,T$5:T$78,W$5:W$49)</f>
        <v>#N/A</v>
      </c>
    </row>
    <row r="46" spans="4:33" ht="13" thickBot="1">
      <c r="E46" s="12"/>
      <c r="F46" s="13" t="s">
        <v>210</v>
      </c>
      <c r="G46" s="9" t="str">
        <f>IF(OR(F45="",F47=""),"",+IF(F45&gt;F47,E45,E47))</f>
        <v/>
      </c>
      <c r="H46" s="16"/>
      <c r="I46" s="10"/>
      <c r="J46" s="14"/>
      <c r="K46" s="10"/>
      <c r="L46" s="14"/>
      <c r="M46" s="10"/>
      <c r="N46" s="10"/>
      <c r="O46" s="10"/>
      <c r="P46" s="14"/>
      <c r="Q46" s="10"/>
      <c r="T46">
        <v>42</v>
      </c>
      <c r="U46" s="28" t="s">
        <v>116</v>
      </c>
      <c r="V46" t="s">
        <v>77</v>
      </c>
      <c r="W46" s="29" t="s">
        <v>117</v>
      </c>
      <c r="Z46" s="34"/>
      <c r="AA46" s="40"/>
      <c r="AB46" s="40"/>
      <c r="AC46" s="38" t="s">
        <v>159</v>
      </c>
      <c r="AD46" s="48"/>
      <c r="AE46" s="53" t="e">
        <f>LOOKUP(AD46,T$5:T$78,U$5:U$50)</f>
        <v>#N/A</v>
      </c>
      <c r="AF46" s="37" t="s">
        <v>157</v>
      </c>
      <c r="AG46" s="65" t="e">
        <f>LOOKUP(AD46,T$5:T$78,W$5:W$49)</f>
        <v>#N/A</v>
      </c>
    </row>
    <row r="47" spans="4:33" ht="13" thickBot="1">
      <c r="D47">
        <v>19</v>
      </c>
      <c r="E47" s="10"/>
      <c r="F47" s="16"/>
      <c r="G47" s="10"/>
      <c r="H47" s="10"/>
      <c r="I47" s="10"/>
      <c r="J47" s="14"/>
      <c r="K47" s="10"/>
      <c r="L47" s="14"/>
      <c r="M47" s="10"/>
      <c r="N47" s="10"/>
      <c r="O47" s="10"/>
      <c r="P47" s="14"/>
      <c r="Q47" s="10"/>
      <c r="T47">
        <v>43</v>
      </c>
      <c r="U47" s="28" t="s">
        <v>118</v>
      </c>
      <c r="V47" t="s">
        <v>77</v>
      </c>
      <c r="W47" s="29" t="s">
        <v>119</v>
      </c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2"/>
      <c r="F48" s="10"/>
      <c r="G48" s="10"/>
      <c r="H48" s="10"/>
      <c r="I48" s="10"/>
      <c r="J48" s="14" t="s">
        <v>209</v>
      </c>
      <c r="K48" s="9" t="str">
        <f>IF(OR(J44="",J52=""),"",+IF(J44&gt;J52,I44,I52))</f>
        <v/>
      </c>
      <c r="L48" s="16"/>
      <c r="M48" s="10"/>
      <c r="N48" s="10"/>
      <c r="O48" s="10"/>
      <c r="P48" s="14"/>
      <c r="Q48" s="10"/>
      <c r="U48" s="29"/>
      <c r="W48" s="28"/>
      <c r="Z48" s="34"/>
      <c r="AA48" s="40"/>
      <c r="AB48" s="40"/>
      <c r="AC48" s="38" t="s">
        <v>159</v>
      </c>
      <c r="AD48" s="48"/>
      <c r="AE48" s="53" t="e">
        <f>LOOKUP(AD48,T$5:T$78,U$5:U$50)</f>
        <v>#N/A</v>
      </c>
      <c r="AF48" s="37" t="s">
        <v>157</v>
      </c>
      <c r="AG48" s="65" t="e">
        <f>LOOKUP(AD48,T$5:T$78,W$5:W$49)</f>
        <v>#N/A</v>
      </c>
    </row>
    <row r="49" spans="4:33" ht="13" thickBot="1">
      <c r="D49">
        <v>20</v>
      </c>
      <c r="E49" s="10"/>
      <c r="F49" s="11"/>
      <c r="G49" s="10"/>
      <c r="H49" s="10"/>
      <c r="I49" s="10"/>
      <c r="J49" s="14"/>
      <c r="K49" s="10"/>
      <c r="L49" s="10"/>
      <c r="M49" s="10"/>
      <c r="N49" s="10"/>
      <c r="O49" s="10"/>
      <c r="P49" s="14"/>
      <c r="Q49" s="10"/>
      <c r="U49" s="29"/>
      <c r="Z49" s="34"/>
      <c r="AA49" s="40"/>
      <c r="AB49" s="40"/>
      <c r="AC49" s="38" t="s">
        <v>159</v>
      </c>
      <c r="AD49" s="48"/>
      <c r="AE49" s="53" t="e">
        <f>LOOKUP(AD49,T$5:T$78,U$5:U$50)</f>
        <v>#N/A</v>
      </c>
      <c r="AF49" s="37" t="s">
        <v>157</v>
      </c>
      <c r="AG49" s="65" t="e">
        <f>LOOKUP(AD49,T$5:T$78,W$5:W$49)</f>
        <v>#N/A</v>
      </c>
    </row>
    <row r="50" spans="4:33" ht="13" thickBot="1">
      <c r="E50" s="12"/>
      <c r="F50" s="13" t="s">
        <v>212</v>
      </c>
      <c r="G50" s="9" t="str">
        <f>IF(OR(F49="",F51=""),"",+IF(F49&gt;F51,E49,E51))</f>
        <v/>
      </c>
      <c r="H50" s="11"/>
      <c r="I50" s="10"/>
      <c r="J50" s="14"/>
      <c r="K50" s="10"/>
      <c r="L50" s="10"/>
      <c r="M50" s="10"/>
      <c r="N50" s="10"/>
      <c r="O50" s="10"/>
      <c r="P50" s="14"/>
      <c r="Q50" s="10"/>
      <c r="Z50" s="34"/>
      <c r="AA50" s="40"/>
      <c r="AB50" s="40"/>
      <c r="AC50" s="38" t="s">
        <v>159</v>
      </c>
      <c r="AD50" s="48"/>
      <c r="AE50" s="53" t="e">
        <f>LOOKUP(AD50,T$5:T$78,U$5:U$50)</f>
        <v>#N/A</v>
      </c>
      <c r="AF50" s="37" t="s">
        <v>157</v>
      </c>
      <c r="AG50" s="65" t="e">
        <f>LOOKUP(AD50,T$5:T$78,W$5:W$49)</f>
        <v>#N/A</v>
      </c>
    </row>
    <row r="51" spans="4:33" ht="13" thickBot="1">
      <c r="D51">
        <v>21</v>
      </c>
      <c r="E51" s="9"/>
      <c r="F51" s="16"/>
      <c r="G51" s="10"/>
      <c r="H51" s="13"/>
      <c r="I51" s="10"/>
      <c r="J51" s="14"/>
      <c r="K51" s="10"/>
      <c r="L51" s="10"/>
      <c r="M51" s="10"/>
      <c r="N51" s="10"/>
      <c r="O51" s="10"/>
      <c r="P51" s="14"/>
      <c r="Q51" s="10"/>
      <c r="Z51" s="34"/>
      <c r="AA51" s="40"/>
      <c r="AB51" s="40"/>
      <c r="AC51" s="38" t="s">
        <v>159</v>
      </c>
      <c r="AD51" s="48"/>
      <c r="AE51" s="53" t="e">
        <f>LOOKUP(AD51,T$5:T$78,U$5:U$50)</f>
        <v>#N/A</v>
      </c>
      <c r="AF51" s="37" t="s">
        <v>157</v>
      </c>
      <c r="AG51" s="65" t="e">
        <f>LOOKUP(AD51,T$5:T$78,W$5:W$49)</f>
        <v>#N/A</v>
      </c>
    </row>
    <row r="52" spans="4:33" ht="13" thickBot="1">
      <c r="E52" s="10"/>
      <c r="F52" s="10"/>
      <c r="G52" s="10"/>
      <c r="H52" s="14" t="s">
        <v>242</v>
      </c>
      <c r="I52" s="9" t="str">
        <f>IF(OR(H50="",H53=""),"",+IF(H50&gt;H53,G50,E53))</f>
        <v/>
      </c>
      <c r="J52" s="16"/>
      <c r="K52" s="10"/>
      <c r="L52" s="10"/>
      <c r="M52" s="10"/>
      <c r="N52" s="10"/>
      <c r="O52" s="10"/>
      <c r="P52" s="14"/>
      <c r="Q52" s="10"/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D53">
        <v>22</v>
      </c>
      <c r="E53" s="9"/>
      <c r="F53" s="9"/>
      <c r="G53" s="9">
        <f>E53</f>
        <v>0</v>
      </c>
      <c r="H53" s="16"/>
      <c r="I53" s="10"/>
      <c r="J53" s="10"/>
      <c r="K53" s="10"/>
      <c r="L53" s="10"/>
      <c r="M53" s="10"/>
      <c r="N53" s="10"/>
      <c r="O53" s="10"/>
      <c r="P53" s="14"/>
      <c r="Q53" s="10"/>
      <c r="Z53" s="34"/>
      <c r="AA53" s="40"/>
      <c r="AB53" s="40"/>
      <c r="AC53" s="38" t="s">
        <v>159</v>
      </c>
      <c r="AD53" s="48"/>
      <c r="AE53" s="53" t="e">
        <f>LOOKUP(AD53,T$5:T$78,U$5:U$50)</f>
        <v>#N/A</v>
      </c>
      <c r="AF53" s="37" t="s">
        <v>157</v>
      </c>
      <c r="AG53" s="65" t="e">
        <f>LOOKUP(AD53,T$5:T$78,W$5:W$49)</f>
        <v>#N/A</v>
      </c>
    </row>
    <row r="54" spans="4:33" ht="13" thickBot="1"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4" t="s">
        <v>251</v>
      </c>
      <c r="Q54" s="9" t="str">
        <f>IF(OR(P28="",P76=""),"",+IF(P28&gt;P76,O28,O76))</f>
        <v/>
      </c>
      <c r="Z54" s="34"/>
      <c r="AA54" s="40"/>
      <c r="AB54" s="40"/>
      <c r="AC54" s="38" t="s">
        <v>159</v>
      </c>
      <c r="AD54" s="48"/>
      <c r="AE54" s="53" t="e">
        <f>LOOKUP(AD54,T$5:T$78,U$5:U$50)</f>
        <v>#N/A</v>
      </c>
      <c r="AF54" s="37" t="s">
        <v>157</v>
      </c>
      <c r="AG54" s="65" t="e">
        <f>LOOKUP(AD54,T$5:T$78,W$5:W$49)</f>
        <v>#N/A</v>
      </c>
    </row>
    <row r="55" spans="4:33" ht="13" thickBot="1">
      <c r="D55">
        <v>23</v>
      </c>
      <c r="E55" s="10"/>
      <c r="F55" s="9"/>
      <c r="G55" s="9">
        <f>E55</f>
        <v>0</v>
      </c>
      <c r="H55" s="11"/>
      <c r="I55" s="10"/>
      <c r="J55" s="10"/>
      <c r="K55" s="10"/>
      <c r="L55" s="10"/>
      <c r="M55" s="10"/>
      <c r="N55" s="10"/>
      <c r="O55" s="10"/>
      <c r="P55" s="14"/>
      <c r="Q55" s="10"/>
      <c r="Z55" s="34"/>
      <c r="AA55" s="40"/>
      <c r="AB55" s="40"/>
      <c r="AC55" s="38" t="s">
        <v>159</v>
      </c>
      <c r="AD55" s="48"/>
      <c r="AE55" s="53" t="e">
        <f>LOOKUP(AD55,T$5:T$78,U$5:U$50)</f>
        <v>#N/A</v>
      </c>
      <c r="AF55" s="37" t="s">
        <v>157</v>
      </c>
      <c r="AG55" s="65" t="e">
        <f>LOOKUP(AD55,T$5:T$78,W$5:W$49)</f>
        <v>#N/A</v>
      </c>
    </row>
    <row r="56" spans="4:33" ht="13" thickBot="1">
      <c r="E56" s="12"/>
      <c r="F56" s="10"/>
      <c r="G56" s="10"/>
      <c r="H56" s="13"/>
      <c r="I56" s="10"/>
      <c r="J56" s="10"/>
      <c r="K56" s="10"/>
      <c r="L56" s="10"/>
      <c r="M56" s="10"/>
      <c r="N56" s="10"/>
      <c r="O56" s="10"/>
      <c r="P56" s="14"/>
      <c r="Q56" s="10"/>
      <c r="Z56" s="42"/>
      <c r="AA56" s="43"/>
      <c r="AB56" s="43"/>
      <c r="AC56" s="43"/>
      <c r="AD56" s="61"/>
      <c r="AE56" s="62"/>
      <c r="AF56" s="63"/>
      <c r="AG56" s="60"/>
    </row>
    <row r="57" spans="4:33" ht="13.35" thickTop="1" thickBot="1">
      <c r="E57" s="10"/>
      <c r="F57" s="10"/>
      <c r="G57" s="10"/>
      <c r="H57" s="14" t="s">
        <v>244</v>
      </c>
      <c r="I57" s="9" t="str">
        <f>IF(OR(H55="",H59=""),"",+IF(H55&gt;H59,G55,G59))</f>
        <v/>
      </c>
      <c r="J57" s="11"/>
      <c r="K57" s="10"/>
      <c r="L57" s="10"/>
      <c r="M57" s="10"/>
      <c r="N57" s="10"/>
      <c r="O57" s="10"/>
      <c r="P57" s="14"/>
      <c r="Q57" s="10"/>
    </row>
    <row r="58" spans="4:33" ht="13" thickBot="1">
      <c r="D58">
        <v>24</v>
      </c>
      <c r="E58" s="10"/>
      <c r="F58" s="11"/>
      <c r="G58" s="10"/>
      <c r="H58" s="14"/>
      <c r="I58" s="10"/>
      <c r="J58" s="13"/>
      <c r="K58" s="10"/>
      <c r="L58" s="10"/>
      <c r="M58" s="10"/>
      <c r="N58" s="10"/>
      <c r="O58" s="10"/>
      <c r="P58" s="14"/>
      <c r="Q58" s="10"/>
    </row>
    <row r="59" spans="4:33" ht="13" thickBot="1">
      <c r="E59" s="12"/>
      <c r="F59" s="13" t="s">
        <v>214</v>
      </c>
      <c r="G59" s="9" t="str">
        <f>IF(OR(F58="",F60=""),"",+IF(F58&gt;F60,E58,E60))</f>
        <v/>
      </c>
      <c r="H59" s="16"/>
      <c r="I59" s="10"/>
      <c r="J59" s="14"/>
      <c r="K59" s="10"/>
      <c r="L59" s="10"/>
      <c r="M59" s="10"/>
      <c r="N59" s="10"/>
      <c r="O59" s="10"/>
      <c r="P59" s="14"/>
      <c r="Q59" s="10"/>
    </row>
    <row r="60" spans="4:33" ht="13" thickBot="1">
      <c r="D60">
        <v>25</v>
      </c>
      <c r="E60" s="10"/>
      <c r="F60" s="16"/>
      <c r="G60" s="10"/>
      <c r="H60" s="10"/>
      <c r="I60" s="10"/>
      <c r="J60" s="14" t="s">
        <v>213</v>
      </c>
      <c r="K60" s="9" t="str">
        <f>IF(OR(J57="",J63=""),"",+IF(J57&gt;J63,I57,I63))</f>
        <v/>
      </c>
      <c r="L60" s="11"/>
      <c r="M60" s="10"/>
      <c r="N60" s="10"/>
      <c r="O60" s="10"/>
      <c r="P60" s="14"/>
      <c r="Q60" s="10"/>
    </row>
    <row r="61" spans="4:33">
      <c r="E61" s="12"/>
      <c r="F61" s="10"/>
      <c r="G61" s="10"/>
      <c r="H61" s="10"/>
      <c r="I61" s="10"/>
      <c r="J61" s="14"/>
      <c r="K61" s="12"/>
      <c r="L61" s="13"/>
      <c r="M61" s="10"/>
      <c r="N61" s="10"/>
      <c r="O61" s="10"/>
      <c r="P61" s="14"/>
      <c r="Q61" s="10"/>
    </row>
    <row r="62" spans="4:33" ht="13" thickBot="1">
      <c r="D62">
        <v>26</v>
      </c>
      <c r="E62" s="9"/>
      <c r="F62" s="9"/>
      <c r="G62" s="9">
        <f>E62</f>
        <v>0</v>
      </c>
      <c r="H62" s="11"/>
      <c r="I62" s="10"/>
      <c r="J62" s="14"/>
      <c r="K62" s="10"/>
      <c r="L62" s="14"/>
      <c r="M62" s="10"/>
      <c r="N62" s="10"/>
      <c r="O62" s="10"/>
      <c r="P62" s="14"/>
      <c r="Q62" s="10"/>
    </row>
    <row r="63" spans="4:33" ht="13" thickBot="1">
      <c r="E63" s="10"/>
      <c r="F63" s="10"/>
      <c r="G63" s="10"/>
      <c r="H63" s="13" t="s">
        <v>246</v>
      </c>
      <c r="I63" s="9" t="str">
        <f>IF(OR(H62="",H64=""),"",+IF(H62&gt;H64,E62,E64))</f>
        <v/>
      </c>
      <c r="J63" s="16"/>
      <c r="K63" s="10"/>
      <c r="L63" s="14"/>
      <c r="M63" s="10"/>
      <c r="N63" s="10"/>
      <c r="O63" s="10"/>
      <c r="P63" s="14"/>
      <c r="Q63" s="10"/>
    </row>
    <row r="64" spans="4:33" ht="13" thickBot="1">
      <c r="D64">
        <v>27</v>
      </c>
      <c r="E64" s="9"/>
      <c r="F64" s="9"/>
      <c r="G64" s="9">
        <f>E64</f>
        <v>0</v>
      </c>
      <c r="H64" s="16"/>
      <c r="I64" s="10"/>
      <c r="J64" s="10"/>
      <c r="K64" s="10"/>
      <c r="L64" s="14"/>
      <c r="M64" s="10"/>
      <c r="N64" s="10"/>
      <c r="O64" s="10"/>
      <c r="P64" s="14"/>
      <c r="Q64" s="10"/>
    </row>
    <row r="65" spans="4:17" ht="13" thickBot="1">
      <c r="E65" s="10"/>
      <c r="F65" s="10"/>
      <c r="G65" s="10"/>
      <c r="H65" s="10"/>
      <c r="I65" s="10"/>
      <c r="J65" s="10"/>
      <c r="K65" s="10"/>
      <c r="L65" s="14" t="s">
        <v>235</v>
      </c>
      <c r="M65" s="9" t="str">
        <f>IF(OR(L60="",L72=""),"",+IF(L60&gt;L72,K60,K72))</f>
        <v/>
      </c>
      <c r="N65" s="17"/>
      <c r="O65" s="10"/>
      <c r="P65" s="14"/>
      <c r="Q65" s="10"/>
    </row>
    <row r="66" spans="4:17" ht="13" thickBot="1">
      <c r="D66">
        <v>28</v>
      </c>
      <c r="E66" s="10"/>
      <c r="F66" s="9"/>
      <c r="G66" s="9">
        <f>E66</f>
        <v>0</v>
      </c>
      <c r="H66" s="11"/>
      <c r="I66" s="10"/>
      <c r="J66" s="10"/>
      <c r="K66" s="10"/>
      <c r="L66" s="14"/>
      <c r="M66" s="10"/>
      <c r="N66" s="14"/>
      <c r="O66" s="10"/>
      <c r="P66" s="14"/>
      <c r="Q66" s="10"/>
    </row>
    <row r="67" spans="4:17">
      <c r="E67" s="12"/>
      <c r="F67" s="10"/>
      <c r="G67" s="10"/>
      <c r="H67" s="13"/>
      <c r="I67" s="10"/>
      <c r="J67" s="10"/>
      <c r="K67" s="10"/>
      <c r="L67" s="14"/>
      <c r="M67" s="10"/>
      <c r="N67" s="14"/>
      <c r="O67" s="10"/>
      <c r="P67" s="14"/>
      <c r="Q67" s="10"/>
    </row>
    <row r="68" spans="4:17" ht="13" thickBot="1">
      <c r="E68" s="10"/>
      <c r="F68" s="10"/>
      <c r="G68" s="10"/>
      <c r="H68" s="14" t="s">
        <v>248</v>
      </c>
      <c r="I68" s="9" t="str">
        <f>IF(OR(H66="",H70=""),"",+IF(H66&gt;H70,G66,G70))</f>
        <v/>
      </c>
      <c r="J68" s="11"/>
      <c r="K68" s="10"/>
      <c r="L68" s="14"/>
      <c r="M68" s="10"/>
      <c r="N68" s="14"/>
      <c r="O68" s="10"/>
      <c r="P68" s="14"/>
      <c r="Q68" s="10"/>
    </row>
    <row r="69" spans="4:17" ht="13" thickBot="1">
      <c r="D69">
        <v>29</v>
      </c>
      <c r="E69" s="10"/>
      <c r="F69" s="11"/>
      <c r="G69" s="10"/>
      <c r="H69" s="14"/>
      <c r="I69" s="10"/>
      <c r="J69" s="13"/>
      <c r="K69" s="10"/>
      <c r="L69" s="14"/>
      <c r="M69" s="10"/>
      <c r="N69" s="14"/>
      <c r="O69" s="10"/>
      <c r="P69" s="14"/>
      <c r="Q69" s="10"/>
    </row>
    <row r="70" spans="4:17" ht="13" thickBot="1">
      <c r="E70" s="12"/>
      <c r="F70" s="13" t="s">
        <v>217</v>
      </c>
      <c r="G70" s="9" t="str">
        <f>IF(OR(F69="",F71=""),"",+IF(F69&gt;F71,E69,E71))</f>
        <v/>
      </c>
      <c r="H70" s="16"/>
      <c r="I70" s="10"/>
      <c r="J70" s="14"/>
      <c r="K70" s="10"/>
      <c r="L70" s="14"/>
      <c r="M70" s="10"/>
      <c r="N70" s="14"/>
      <c r="O70" s="10"/>
      <c r="P70" s="14"/>
      <c r="Q70" s="10"/>
    </row>
    <row r="71" spans="4:17" ht="13" thickBot="1">
      <c r="D71">
        <v>30</v>
      </c>
      <c r="E71" s="10"/>
      <c r="F71" s="16"/>
      <c r="G71" s="10"/>
      <c r="H71" s="10"/>
      <c r="I71" s="10"/>
      <c r="J71" s="14"/>
      <c r="K71" s="10"/>
      <c r="L71" s="14"/>
      <c r="M71" s="10"/>
      <c r="N71" s="14"/>
      <c r="O71" s="10"/>
      <c r="P71" s="14"/>
      <c r="Q71" s="10"/>
    </row>
    <row r="72" spans="4:17" ht="13" thickBot="1">
      <c r="E72" s="12"/>
      <c r="F72" s="10"/>
      <c r="G72" s="10"/>
      <c r="H72" s="10"/>
      <c r="I72" s="10"/>
      <c r="J72" s="14" t="s">
        <v>216</v>
      </c>
      <c r="K72" s="9" t="str">
        <f>IF(OR(J68="",J76=""),"",+IF(J68&gt;J76,I68,I76))</f>
        <v/>
      </c>
      <c r="L72" s="16"/>
      <c r="M72" s="10"/>
      <c r="N72" s="14"/>
      <c r="O72" s="10"/>
      <c r="P72" s="14"/>
      <c r="Q72" s="10"/>
    </row>
    <row r="73" spans="4:17" ht="13" thickBot="1">
      <c r="D73">
        <v>31</v>
      </c>
      <c r="E73" s="10"/>
      <c r="F73" s="11"/>
      <c r="G73" s="10"/>
      <c r="H73" s="10"/>
      <c r="I73" s="10"/>
      <c r="J73" s="14"/>
      <c r="K73" s="10"/>
      <c r="L73" s="10"/>
      <c r="M73" s="10"/>
      <c r="N73" s="14"/>
      <c r="O73" s="10"/>
      <c r="P73" s="14"/>
      <c r="Q73" s="10"/>
    </row>
    <row r="74" spans="4:17" ht="13" thickBot="1">
      <c r="E74" s="12"/>
      <c r="F74" s="13" t="s">
        <v>219</v>
      </c>
      <c r="G74" s="9" t="str">
        <f>IF(OR(F73="",F75=""),"",+IF(F73&gt;F75,E73,E75))</f>
        <v/>
      </c>
      <c r="H74" s="11"/>
      <c r="I74" s="10"/>
      <c r="J74" s="14"/>
      <c r="K74" s="10"/>
      <c r="L74" s="10"/>
      <c r="M74" s="10"/>
      <c r="N74" s="14"/>
      <c r="O74" s="10"/>
      <c r="P74" s="14"/>
      <c r="Q74" s="10"/>
    </row>
    <row r="75" spans="4:17" ht="13" thickBot="1">
      <c r="D75">
        <v>32</v>
      </c>
      <c r="E75" s="9"/>
      <c r="F75" s="16"/>
      <c r="G75" s="10"/>
      <c r="H75" s="13"/>
      <c r="I75" s="10"/>
      <c r="J75" s="14"/>
      <c r="K75" s="10"/>
      <c r="L75" s="10"/>
      <c r="M75" s="10"/>
      <c r="N75" s="14"/>
      <c r="O75" s="10"/>
      <c r="P75" s="14"/>
      <c r="Q75" s="10"/>
    </row>
    <row r="76" spans="4:17" ht="13" thickBot="1">
      <c r="E76" s="10"/>
      <c r="F76" s="10"/>
      <c r="G76" s="10"/>
      <c r="H76" s="14" t="s">
        <v>250</v>
      </c>
      <c r="I76" s="9" t="str">
        <f>IF(OR(H74="",H77=""),"",+IF(H74&gt;H77,G74,E77))</f>
        <v/>
      </c>
      <c r="J76" s="16"/>
      <c r="K76" s="10"/>
      <c r="L76" s="10"/>
      <c r="M76" s="10"/>
      <c r="N76" s="14" t="s">
        <v>247</v>
      </c>
      <c r="O76" s="9" t="str">
        <f>IF(OR(N65="",N89=""),"",+IF(N65&gt;N89,M65,M89))</f>
        <v/>
      </c>
      <c r="P76" s="16"/>
      <c r="Q76" s="10"/>
    </row>
    <row r="77" spans="4:17" ht="13" thickBot="1">
      <c r="D77">
        <v>33</v>
      </c>
      <c r="E77" s="9"/>
      <c r="F77" s="9"/>
      <c r="G77" s="9">
        <f>E77</f>
        <v>0</v>
      </c>
      <c r="H77" s="16"/>
      <c r="I77" s="10"/>
      <c r="J77" s="10"/>
      <c r="K77" s="10"/>
      <c r="L77" s="10"/>
      <c r="M77" s="10"/>
      <c r="N77" s="14"/>
      <c r="O77" s="10"/>
      <c r="P77" s="10"/>
      <c r="Q77" s="10"/>
    </row>
    <row r="78" spans="4:17">
      <c r="E78" s="10"/>
      <c r="F78" s="10"/>
      <c r="G78" s="10"/>
      <c r="H78" s="10"/>
      <c r="I78" s="10"/>
      <c r="J78" s="10"/>
      <c r="K78" s="10"/>
      <c r="L78" s="10"/>
      <c r="M78" s="10"/>
      <c r="N78" s="14"/>
      <c r="O78" s="10"/>
      <c r="P78" s="10"/>
      <c r="Q78" s="10"/>
    </row>
    <row r="79" spans="4:17" ht="13" thickBot="1">
      <c r="D79">
        <v>34</v>
      </c>
      <c r="E79" s="10"/>
      <c r="F79" s="9"/>
      <c r="G79" s="9">
        <f>E79</f>
        <v>0</v>
      </c>
      <c r="H79" s="11"/>
      <c r="I79" s="10"/>
      <c r="J79" s="10"/>
      <c r="K79" s="10"/>
      <c r="L79" s="10"/>
      <c r="M79" s="10"/>
      <c r="N79" s="14"/>
      <c r="O79" s="10"/>
      <c r="P79" s="10"/>
      <c r="Q79" s="10"/>
    </row>
    <row r="80" spans="4:17">
      <c r="E80" s="12"/>
      <c r="F80" s="10"/>
      <c r="G80" s="10"/>
      <c r="H80" s="13"/>
      <c r="I80" s="10"/>
      <c r="J80" s="10"/>
      <c r="K80" s="10"/>
      <c r="L80" s="10"/>
      <c r="M80" s="10"/>
      <c r="N80" s="14"/>
      <c r="O80" s="10"/>
      <c r="P80" s="10"/>
      <c r="Q80" s="10"/>
    </row>
    <row r="81" spans="4:17" ht="13" thickBot="1">
      <c r="E81" s="10"/>
      <c r="F81" s="10"/>
      <c r="G81" s="10"/>
      <c r="H81" s="14" t="s">
        <v>252</v>
      </c>
      <c r="I81" s="9" t="str">
        <f>IF(OR(H79="",H83=""),"",+IF(H79&gt;H83,G79,G83))</f>
        <v/>
      </c>
      <c r="J81" s="11"/>
      <c r="K81" s="10"/>
      <c r="L81" s="10"/>
      <c r="M81" s="10"/>
      <c r="N81" s="14"/>
      <c r="O81" s="10"/>
      <c r="P81" s="10"/>
      <c r="Q81" s="10"/>
    </row>
    <row r="82" spans="4:17" ht="13" thickBot="1">
      <c r="D82">
        <v>35</v>
      </c>
      <c r="E82" s="10"/>
      <c r="F82" s="11"/>
      <c r="G82" s="10"/>
      <c r="H82" s="14"/>
      <c r="I82" s="10"/>
      <c r="J82" s="13"/>
      <c r="K82" s="10"/>
      <c r="L82" s="10"/>
      <c r="M82" s="10"/>
      <c r="N82" s="14"/>
      <c r="O82" s="10"/>
      <c r="P82" s="10"/>
      <c r="Q82" s="10"/>
    </row>
    <row r="83" spans="4:17" ht="13" thickBot="1">
      <c r="E83" s="12"/>
      <c r="F83" s="13" t="s">
        <v>221</v>
      </c>
      <c r="G83" s="9" t="str">
        <f>IF(OR(F82="",F84=""),"",+IF(F82&gt;F84,E82,E84))</f>
        <v/>
      </c>
      <c r="H83" s="16"/>
      <c r="I83" s="10"/>
      <c r="J83" s="14"/>
      <c r="K83" s="10"/>
      <c r="L83" s="10"/>
      <c r="M83" s="10"/>
      <c r="N83" s="14"/>
      <c r="O83" s="10"/>
      <c r="P83" s="10"/>
      <c r="Q83" s="10"/>
    </row>
    <row r="84" spans="4:17" ht="13" thickBot="1">
      <c r="D84">
        <v>36</v>
      </c>
      <c r="E84" s="10"/>
      <c r="F84" s="16"/>
      <c r="G84" s="10"/>
      <c r="H84" s="10"/>
      <c r="I84" s="10"/>
      <c r="J84" s="14" t="s">
        <v>220</v>
      </c>
      <c r="K84" s="9" t="str">
        <f>IF(OR(J81="",J87=""),"",+IF(J81&gt;J87,I81,I87))</f>
        <v/>
      </c>
      <c r="L84" s="11"/>
      <c r="M84" s="10"/>
      <c r="N84" s="14"/>
      <c r="O84" s="10"/>
      <c r="P84" s="10"/>
      <c r="Q84" s="10"/>
    </row>
    <row r="85" spans="4:17">
      <c r="E85" s="12"/>
      <c r="F85" s="10"/>
      <c r="G85" s="10"/>
      <c r="H85" s="10"/>
      <c r="I85" s="10"/>
      <c r="J85" s="14"/>
      <c r="K85" s="12"/>
      <c r="L85" s="13"/>
      <c r="M85" s="10"/>
      <c r="N85" s="14"/>
      <c r="O85" s="10"/>
      <c r="P85" s="10"/>
      <c r="Q85" s="10"/>
    </row>
    <row r="86" spans="4:17" ht="13" thickBot="1">
      <c r="D86">
        <v>37</v>
      </c>
      <c r="E86" s="9"/>
      <c r="F86" s="9"/>
      <c r="G86" s="9">
        <f>E86</f>
        <v>0</v>
      </c>
      <c r="H86" s="11"/>
      <c r="I86" s="10"/>
      <c r="J86" s="14"/>
      <c r="K86" s="10"/>
      <c r="L86" s="14"/>
      <c r="M86" s="10"/>
      <c r="N86" s="14"/>
      <c r="O86" s="10"/>
      <c r="P86" s="10"/>
      <c r="Q86" s="10"/>
    </row>
    <row r="87" spans="4:17" ht="13" thickBot="1">
      <c r="E87" s="10"/>
      <c r="F87" s="10"/>
      <c r="G87" s="10"/>
      <c r="H87" s="13" t="s">
        <v>254</v>
      </c>
      <c r="I87" s="9" t="str">
        <f>IF(OR(H86="",H88=""),"",+IF(H86&gt;H88,E86,E88))</f>
        <v/>
      </c>
      <c r="J87" s="16"/>
      <c r="K87" s="10"/>
      <c r="L87" s="14"/>
      <c r="M87" s="10"/>
      <c r="N87" s="14"/>
      <c r="O87" s="10"/>
      <c r="P87" s="10"/>
      <c r="Q87" s="10"/>
    </row>
    <row r="88" spans="4:17" ht="13" thickBot="1">
      <c r="D88">
        <v>38</v>
      </c>
      <c r="E88" s="9"/>
      <c r="F88" s="9"/>
      <c r="G88" s="9">
        <f>E88</f>
        <v>0</v>
      </c>
      <c r="H88" s="16"/>
      <c r="I88" s="10"/>
      <c r="J88" s="10"/>
      <c r="K88" s="10"/>
      <c r="L88" s="14"/>
      <c r="M88" s="10"/>
      <c r="N88" s="14"/>
      <c r="O88" s="10"/>
      <c r="P88" s="10"/>
      <c r="Q88" s="10"/>
    </row>
    <row r="89" spans="4:17" ht="13" thickBot="1">
      <c r="E89" s="10"/>
      <c r="F89" s="10"/>
      <c r="G89" s="10"/>
      <c r="H89" s="10"/>
      <c r="I89" s="10"/>
      <c r="J89" s="10"/>
      <c r="K89" s="10"/>
      <c r="L89" s="14" t="s">
        <v>239</v>
      </c>
      <c r="M89" s="9" t="str">
        <f>IF(OR(L84="",L96=""),"",+IF(L84&gt;L96,K84,K96))</f>
        <v/>
      </c>
      <c r="N89" s="16"/>
      <c r="O89" s="10"/>
      <c r="P89" s="10"/>
      <c r="Q89" s="10"/>
    </row>
    <row r="90" spans="4:17" ht="13" thickBot="1">
      <c r="D90">
        <v>39</v>
      </c>
      <c r="E90" s="10"/>
      <c r="F90" s="9"/>
      <c r="G90" s="9">
        <f>E90</f>
        <v>0</v>
      </c>
      <c r="H90" s="11"/>
      <c r="I90" s="10"/>
      <c r="J90" s="10"/>
      <c r="K90" s="10"/>
      <c r="L90" s="14"/>
      <c r="M90" s="10"/>
      <c r="N90" s="10"/>
      <c r="O90" s="10"/>
      <c r="P90" s="10"/>
      <c r="Q90" s="10"/>
    </row>
    <row r="91" spans="4:17">
      <c r="E91" s="12"/>
      <c r="F91" s="10"/>
      <c r="G91" s="10"/>
      <c r="H91" s="13"/>
      <c r="I91" s="10"/>
      <c r="J91" s="10"/>
      <c r="K91" s="10"/>
      <c r="L91" s="14"/>
      <c r="M91" s="10"/>
      <c r="N91" s="10"/>
      <c r="O91" s="10"/>
      <c r="P91" s="10"/>
      <c r="Q91" s="10"/>
    </row>
    <row r="92" spans="4:17" ht="13" thickBot="1">
      <c r="E92" s="10"/>
      <c r="F92" s="10"/>
      <c r="G92" s="10"/>
      <c r="H92" s="14" t="s">
        <v>256</v>
      </c>
      <c r="I92" s="9" t="str">
        <f>IF(OR(H90="",H94=""),"",+IF(H90&gt;H94,G90,G94))</f>
        <v/>
      </c>
      <c r="J92" s="11"/>
      <c r="K92" s="10"/>
      <c r="L92" s="14"/>
      <c r="M92" s="10"/>
      <c r="N92" s="10"/>
      <c r="O92" s="10"/>
      <c r="P92" s="10"/>
      <c r="Q92" s="10"/>
    </row>
    <row r="93" spans="4:17" ht="13" thickBot="1">
      <c r="D93">
        <v>40</v>
      </c>
      <c r="E93" s="10"/>
      <c r="F93" s="11"/>
      <c r="G93" s="10"/>
      <c r="H93" s="14"/>
      <c r="I93" s="10"/>
      <c r="J93" s="13"/>
      <c r="K93" s="10"/>
      <c r="L93" s="14"/>
      <c r="M93" s="10"/>
      <c r="N93" s="10"/>
      <c r="O93" s="10"/>
      <c r="P93" s="10"/>
      <c r="Q93" s="10"/>
    </row>
    <row r="94" spans="4:17" ht="13" thickBot="1">
      <c r="E94" s="12"/>
      <c r="F94" s="13" t="s">
        <v>223</v>
      </c>
      <c r="G94" s="9" t="str">
        <f>IF(OR(F93="",F95=""),"",+IF(F93&gt;F95,E93,E95))</f>
        <v/>
      </c>
      <c r="H94" s="16"/>
      <c r="I94" s="10"/>
      <c r="J94" s="14"/>
      <c r="K94" s="10"/>
      <c r="L94" s="14"/>
      <c r="M94" s="10"/>
      <c r="N94" s="10"/>
      <c r="O94" s="10"/>
      <c r="P94" s="10"/>
      <c r="Q94" s="10"/>
    </row>
    <row r="95" spans="4:17" ht="13" thickBot="1">
      <c r="D95">
        <v>41</v>
      </c>
      <c r="E95" s="10"/>
      <c r="F95" s="16"/>
      <c r="G95" s="10"/>
      <c r="H95" s="10"/>
      <c r="I95" s="10"/>
      <c r="J95" s="14"/>
      <c r="K95" s="10"/>
      <c r="L95" s="14"/>
      <c r="M95" s="10"/>
      <c r="N95" s="10"/>
      <c r="O95" s="10"/>
      <c r="P95" s="10"/>
      <c r="Q95" s="10"/>
    </row>
    <row r="96" spans="4:17" ht="13" thickBot="1">
      <c r="E96" s="12"/>
      <c r="F96" s="10"/>
      <c r="G96" s="10"/>
      <c r="H96" s="10"/>
      <c r="I96" s="10"/>
      <c r="J96" s="14" t="s">
        <v>224</v>
      </c>
      <c r="K96" s="9" t="str">
        <f>IF(OR(J92="",J100=""),"",+IF(J92&gt;J100,I92,I100))</f>
        <v/>
      </c>
      <c r="L96" s="16"/>
      <c r="M96" s="10"/>
      <c r="N96" s="10"/>
      <c r="O96" s="10"/>
      <c r="P96" s="10"/>
      <c r="Q96" s="10"/>
    </row>
    <row r="97" spans="4:17" ht="13" thickBot="1">
      <c r="D97">
        <v>42</v>
      </c>
      <c r="E97" s="10"/>
      <c r="F97" s="11"/>
      <c r="G97" s="10"/>
      <c r="H97" s="10"/>
      <c r="I97" s="10"/>
      <c r="J97" s="14"/>
      <c r="K97" s="10"/>
      <c r="L97" s="10"/>
      <c r="M97" s="10"/>
      <c r="N97" s="10"/>
      <c r="O97" s="10"/>
      <c r="P97" s="10"/>
      <c r="Q97" s="10"/>
    </row>
    <row r="98" spans="4:17" ht="13" thickBot="1">
      <c r="E98" s="12"/>
      <c r="F98" s="13" t="s">
        <v>225</v>
      </c>
      <c r="G98" s="9" t="str">
        <f>IF(OR(F97="",F99=""),"",+IF(F97&gt;F99,E97,E99))</f>
        <v/>
      </c>
      <c r="H98" s="11"/>
      <c r="I98" s="10"/>
      <c r="J98" s="14"/>
      <c r="K98" s="10"/>
      <c r="L98" s="10"/>
      <c r="M98" s="10"/>
      <c r="N98" s="10"/>
      <c r="O98" s="10"/>
      <c r="P98" s="10"/>
      <c r="Q98" s="10"/>
    </row>
    <row r="99" spans="4:17" ht="13" thickBot="1">
      <c r="D99">
        <v>43</v>
      </c>
      <c r="E99" s="9"/>
      <c r="F99" s="16"/>
      <c r="G99" s="10"/>
      <c r="H99" s="13"/>
      <c r="I99" s="10"/>
      <c r="J99" s="14"/>
      <c r="K99" s="10"/>
      <c r="L99" s="10"/>
      <c r="M99" s="10"/>
      <c r="N99" s="10"/>
      <c r="O99" s="10"/>
      <c r="P99" s="10"/>
      <c r="Q99" s="10"/>
    </row>
    <row r="100" spans="4:17" ht="13" thickBot="1">
      <c r="E100" s="10"/>
      <c r="F100" s="10"/>
      <c r="G100" s="10"/>
      <c r="H100" s="14" t="s">
        <v>258</v>
      </c>
      <c r="I100" s="9" t="str">
        <f>IF(OR(H98="",H101=""),"",+IF(H98&gt;H101,G98,E101))</f>
        <v/>
      </c>
      <c r="J100" s="16"/>
      <c r="K100" s="10"/>
      <c r="L100" s="10"/>
      <c r="M100" s="10"/>
      <c r="N100" s="10"/>
      <c r="O100" s="10"/>
      <c r="P100" s="10"/>
      <c r="Q100" s="10"/>
    </row>
    <row r="101" spans="4:17" ht="13" thickBot="1">
      <c r="D101">
        <v>44</v>
      </c>
      <c r="E101" s="9"/>
      <c r="F101" s="9"/>
      <c r="G101" s="9">
        <f>E101</f>
        <v>0</v>
      </c>
      <c r="H101" s="16"/>
      <c r="I101" s="10"/>
      <c r="J101" s="10"/>
      <c r="K101" s="10"/>
      <c r="L101" s="10"/>
      <c r="M101" s="10"/>
      <c r="N101" s="10"/>
      <c r="O101" s="10"/>
      <c r="P101" s="10"/>
      <c r="Q101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41"/>
  <dimension ref="D4:AG98"/>
  <sheetViews>
    <sheetView showGridLines="0" topLeftCell="A19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4" customWidth="1"/>
    <col min="16" max="16" width="3.64453125" customWidth="1"/>
    <col min="17" max="17" width="15.644531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E22</f>
        <v>0</v>
      </c>
      <c r="V6" t="s">
        <v>77</v>
      </c>
      <c r="W6" s="29">
        <f>E24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E31</f>
        <v>0</v>
      </c>
      <c r="V7" t="s">
        <v>77</v>
      </c>
      <c r="W7" s="29">
        <f>E33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E42</f>
        <v>0</v>
      </c>
      <c r="V8" t="s">
        <v>77</v>
      </c>
      <c r="W8" s="29">
        <f>E44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225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E46</f>
        <v>0</v>
      </c>
      <c r="V9" t="s">
        <v>77</v>
      </c>
      <c r="W9" s="29">
        <f>E48</f>
        <v>0</v>
      </c>
      <c r="Z9" s="34"/>
      <c r="AA9" s="40"/>
      <c r="AB9" s="40"/>
      <c r="AC9" s="38" t="s">
        <v>159</v>
      </c>
      <c r="AD9" s="48"/>
      <c r="AE9" s="53" t="e">
        <f>LOOKUP(AD9,T$5:T$78,U$5:U$49)</f>
        <v>#N/A</v>
      </c>
      <c r="AF9" s="37" t="s">
        <v>157</v>
      </c>
      <c r="AG9" s="65" t="e">
        <f>LOOKUP(AD9,T$5:T$78,W$5:W$48)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E55</f>
        <v>0</v>
      </c>
      <c r="V10" t="s">
        <v>77</v>
      </c>
      <c r="W10" s="29">
        <f>E57</f>
        <v>0</v>
      </c>
      <c r="Z10" s="34"/>
      <c r="AA10" s="40"/>
      <c r="AB10" s="40"/>
      <c r="AC10" s="38" t="s">
        <v>159</v>
      </c>
      <c r="AD10" s="48"/>
      <c r="AE10" s="53" t="e">
        <f>LOOKUP(AD10,T$5:T$78,U$5:U$49)</f>
        <v>#N/A</v>
      </c>
      <c r="AF10" s="37" t="s">
        <v>157</v>
      </c>
      <c r="AG10" s="65" t="e">
        <f>LOOKUP(AD10,T$5:T$78,W$5:W$48)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E66</f>
        <v>0</v>
      </c>
      <c r="V11" t="s">
        <v>77</v>
      </c>
      <c r="W11" s="29">
        <f>E68</f>
        <v>0</v>
      </c>
      <c r="Z11" s="34"/>
      <c r="AA11" s="40"/>
      <c r="AB11" s="40"/>
      <c r="AC11" s="38" t="s">
        <v>159</v>
      </c>
      <c r="AD11" s="48"/>
      <c r="AE11" s="53" t="e">
        <f>LOOKUP(AD11,T$5:T$78,U$5:U$49)</f>
        <v>#N/A</v>
      </c>
      <c r="AF11" s="37" t="s">
        <v>157</v>
      </c>
      <c r="AG11" s="65" t="e">
        <f>LOOKUP(AD11,T$5:T$78,W$5:W$48)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258</v>
      </c>
      <c r="K12" s="9" t="str">
        <f>IF(OR(J9="",J15=""),"",+IF(J9&gt;J15,I9,I15))</f>
        <v/>
      </c>
      <c r="L12" s="11"/>
      <c r="M12" s="10"/>
      <c r="N12" s="10"/>
      <c r="O12" s="10"/>
      <c r="P12" s="10"/>
      <c r="Q12" s="10"/>
      <c r="T12">
        <v>8</v>
      </c>
      <c r="U12" s="28">
        <f>E70</f>
        <v>0</v>
      </c>
      <c r="V12" t="s">
        <v>77</v>
      </c>
      <c r="W12" s="29">
        <f>E72</f>
        <v>0</v>
      </c>
      <c r="Z12" s="34"/>
      <c r="AA12" s="40"/>
      <c r="AB12" s="40"/>
      <c r="AC12" s="38" t="s">
        <v>159</v>
      </c>
      <c r="AD12" s="48"/>
      <c r="AE12" s="53" t="e">
        <f>LOOKUP(AD12,T$5:T$78,U$5:U$49)</f>
        <v>#N/A</v>
      </c>
      <c r="AF12" s="37" t="s">
        <v>157</v>
      </c>
      <c r="AG12" s="65" t="e">
        <f>LOOKUP(AD12,T$5:T$78,W$5:W$48)</f>
        <v>#N/A</v>
      </c>
    </row>
    <row r="13" spans="4:33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P13" s="10"/>
      <c r="Q13" s="10"/>
      <c r="T13">
        <v>9</v>
      </c>
      <c r="U13" s="28">
        <f>E79</f>
        <v>0</v>
      </c>
      <c r="V13" t="s">
        <v>77</v>
      </c>
      <c r="W13" s="29">
        <f>E81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P14" s="10"/>
      <c r="Q14" s="10"/>
      <c r="T14">
        <v>10</v>
      </c>
      <c r="U14" s="28">
        <f>E90</f>
        <v>0</v>
      </c>
      <c r="V14" t="s">
        <v>77</v>
      </c>
      <c r="W14" s="29">
        <f>E92</f>
        <v>0</v>
      </c>
      <c r="Z14" s="34"/>
      <c r="AA14" s="40"/>
      <c r="AB14" s="40"/>
      <c r="AC14" s="38" t="s">
        <v>159</v>
      </c>
      <c r="AD14" s="48"/>
      <c r="AE14" s="53" t="e">
        <f>LOOKUP(AD14,T$5:T$78,U$5:U$49)</f>
        <v>#N/A</v>
      </c>
      <c r="AF14" s="37" t="s">
        <v>157</v>
      </c>
      <c r="AG14" s="65" t="e">
        <f>LOOKUP(AD14,T$5:T$78,W$5:W$48)</f>
        <v>#N/A</v>
      </c>
    </row>
    <row r="15" spans="4:33" ht="13" thickBot="1">
      <c r="E15" s="10"/>
      <c r="F15" s="10"/>
      <c r="G15" s="10"/>
      <c r="H15" s="13" t="s">
        <v>227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P15" s="10"/>
      <c r="Q15" s="10"/>
      <c r="T15">
        <v>11</v>
      </c>
      <c r="U15" s="28">
        <f>E94</f>
        <v>0</v>
      </c>
      <c r="V15" t="s">
        <v>77</v>
      </c>
      <c r="W15" s="29">
        <f>E96</f>
        <v>0</v>
      </c>
      <c r="Z15" s="34"/>
      <c r="AA15" s="40"/>
      <c r="AB15" s="40"/>
      <c r="AC15" s="38" t="s">
        <v>159</v>
      </c>
      <c r="AD15" s="48"/>
      <c r="AE15" s="53" t="e">
        <f>LOOKUP(AD15,T$5:T$78,U$5:U$49)</f>
        <v>#N/A</v>
      </c>
      <c r="AF15" s="37" t="s">
        <v>157</v>
      </c>
      <c r="AG15" s="65" t="e">
        <f>LOOKUP(AD15,T$5:T$78,W$5:W$48)</f>
        <v>#N/A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P16" s="10"/>
      <c r="Q16" s="10"/>
      <c r="T16">
        <v>12</v>
      </c>
      <c r="U16" s="28">
        <f>E7</f>
        <v>0</v>
      </c>
      <c r="V16" t="s">
        <v>77</v>
      </c>
      <c r="W16" s="29" t="s">
        <v>78</v>
      </c>
      <c r="Z16" s="34"/>
      <c r="AA16" s="40"/>
      <c r="AB16" s="40"/>
      <c r="AC16" s="38" t="s">
        <v>159</v>
      </c>
      <c r="AD16" s="48"/>
      <c r="AE16" s="53" t="e">
        <f>LOOKUP(AD16,T$5:T$78,U$5:U$49)</f>
        <v>#N/A</v>
      </c>
      <c r="AF16" s="37" t="s">
        <v>157</v>
      </c>
      <c r="AG16" s="65" t="e">
        <f>LOOKUP(AD16,T$5:T$78,W$5:W$48)</f>
        <v>#N/A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224</v>
      </c>
      <c r="M17" s="9" t="str">
        <f>IF(OR(L12="",L22=""),"",+IF(L12&gt;L22,K12,K22))</f>
        <v/>
      </c>
      <c r="N17" s="11"/>
      <c r="O17" s="10"/>
      <c r="P17" s="10"/>
      <c r="Q17" s="10"/>
      <c r="T17">
        <v>13</v>
      </c>
      <c r="U17" s="28">
        <f>E14</f>
        <v>0</v>
      </c>
      <c r="V17" t="s">
        <v>77</v>
      </c>
      <c r="W17" s="29">
        <f>E16</f>
        <v>0</v>
      </c>
      <c r="Z17" s="34"/>
      <c r="AA17" s="40"/>
      <c r="AB17" s="40"/>
      <c r="AC17" s="38" t="s">
        <v>159</v>
      </c>
      <c r="AD17" s="48"/>
      <c r="AE17" s="53" t="e">
        <f>LOOKUP(AD17,T$5:T$78,U$5:U$49)</f>
        <v>#N/A</v>
      </c>
      <c r="AF17" s="37" t="s">
        <v>157</v>
      </c>
      <c r="AG17" s="65" t="e">
        <f>LOOKUP(AD17,T$5:T$78,W$5:W$48)</f>
        <v>#N/A</v>
      </c>
    </row>
    <row r="18" spans="4:33" ht="13" thickBot="1">
      <c r="D18">
        <v>6</v>
      </c>
      <c r="E18" s="9"/>
      <c r="F18" s="9"/>
      <c r="G18" s="9">
        <f>E18</f>
        <v>0</v>
      </c>
      <c r="H18" s="11"/>
      <c r="I18" s="10"/>
      <c r="J18" s="10"/>
      <c r="K18" s="10"/>
      <c r="L18" s="14"/>
      <c r="M18" s="10"/>
      <c r="N18" s="13"/>
      <c r="O18" s="10"/>
      <c r="P18" s="10"/>
      <c r="Q18" s="10"/>
      <c r="T18">
        <v>14</v>
      </c>
      <c r="U18" s="28">
        <f>E18</f>
        <v>0</v>
      </c>
      <c r="V18" t="s">
        <v>77</v>
      </c>
      <c r="W18" s="29">
        <f>E20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/>
      <c r="F19" s="10"/>
      <c r="G19" s="10"/>
      <c r="H19" s="13" t="s">
        <v>229</v>
      </c>
      <c r="I19" s="9" t="str">
        <f>IF(OR(H18="",H20=""),"",+IF(H18&gt;H20,E18,E20))</f>
        <v/>
      </c>
      <c r="J19" s="17"/>
      <c r="K19" s="10"/>
      <c r="L19" s="14"/>
      <c r="M19" s="10"/>
      <c r="N19" s="14"/>
      <c r="O19" s="10"/>
      <c r="P19" s="10"/>
      <c r="Q19" s="10"/>
      <c r="T19">
        <v>15</v>
      </c>
      <c r="U19" s="28" t="s">
        <v>160</v>
      </c>
      <c r="V19" t="s">
        <v>77</v>
      </c>
      <c r="W19" s="29">
        <f>E26</f>
        <v>0</v>
      </c>
      <c r="Z19" s="34"/>
      <c r="AA19" s="40"/>
      <c r="AB19" s="40"/>
      <c r="AC19" s="38" t="s">
        <v>159</v>
      </c>
      <c r="AD19" s="48"/>
      <c r="AE19" s="53" t="e">
        <f>LOOKUP(AD19,T$5:T$78,U$5:U$49)</f>
        <v>#N/A</v>
      </c>
      <c r="AF19" s="37" t="s">
        <v>157</v>
      </c>
      <c r="AG19" s="65" t="e">
        <f>LOOKUP(AD19,T$5:T$78,W$5:W$48)</f>
        <v>#N/A</v>
      </c>
    </row>
    <row r="20" spans="4:33" ht="13" thickBot="1">
      <c r="D20">
        <v>7</v>
      </c>
      <c r="E20" s="9"/>
      <c r="F20" s="9"/>
      <c r="G20" s="9">
        <f>E20</f>
        <v>0</v>
      </c>
      <c r="H20" s="16"/>
      <c r="I20" s="10"/>
      <c r="J20" s="13"/>
      <c r="K20" s="10"/>
      <c r="L20" s="14"/>
      <c r="M20" s="10"/>
      <c r="N20" s="14"/>
      <c r="O20" s="10"/>
      <c r="P20" s="10"/>
      <c r="Q20" s="10"/>
      <c r="T20">
        <v>16</v>
      </c>
      <c r="U20" s="28">
        <f>E28</f>
        <v>0</v>
      </c>
      <c r="V20" t="s">
        <v>77</v>
      </c>
      <c r="W20" s="29" t="s">
        <v>161</v>
      </c>
      <c r="Z20" s="34"/>
      <c r="AA20" s="40"/>
      <c r="AB20" s="40"/>
      <c r="AC20" s="38" t="s">
        <v>159</v>
      </c>
      <c r="AD20" s="48"/>
      <c r="AE20" s="53" t="e">
        <f>LOOKUP(AD20,T$5:T$78,U$5:U$49)</f>
        <v>#N/A</v>
      </c>
      <c r="AF20" s="37" t="s">
        <v>157</v>
      </c>
      <c r="AG20" s="65" t="e">
        <f>LOOKUP(AD20,T$5:T$78,W$5:W$48)</f>
        <v>#N/A</v>
      </c>
    </row>
    <row r="21" spans="4:33">
      <c r="E21" s="10"/>
      <c r="F21" s="10"/>
      <c r="G21" s="10"/>
      <c r="H21" s="10"/>
      <c r="I21" s="10"/>
      <c r="J21" s="14"/>
      <c r="K21" s="10"/>
      <c r="L21" s="14"/>
      <c r="M21" s="10"/>
      <c r="N21" s="14"/>
      <c r="O21" s="10"/>
      <c r="P21" s="10"/>
      <c r="Q21" s="10"/>
      <c r="T21">
        <v>17</v>
      </c>
      <c r="U21" s="28">
        <f>E35</f>
        <v>0</v>
      </c>
      <c r="V21" t="s">
        <v>77</v>
      </c>
      <c r="W21" s="29">
        <f>E37</f>
        <v>0</v>
      </c>
      <c r="Z21" s="34"/>
      <c r="AA21" s="40"/>
      <c r="AB21" s="40"/>
      <c r="AC21" s="38" t="s">
        <v>159</v>
      </c>
      <c r="AD21" s="48"/>
      <c r="AE21" s="53" t="e">
        <f>LOOKUP(AD21,T$5:T$78,U$5:U$49)</f>
        <v>#N/A</v>
      </c>
      <c r="AF21" s="37" t="s">
        <v>157</v>
      </c>
      <c r="AG21" s="65" t="e">
        <f>LOOKUP(AD21,T$5:T$78,W$5:W$48)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4" t="s">
        <v>260</v>
      </c>
      <c r="K22" s="18" t="str">
        <f>IF(OR(I19="",I24=""),"",+IF(J19&gt;J24,I19,I24))</f>
        <v/>
      </c>
      <c r="L22" s="16"/>
      <c r="M22" s="10"/>
      <c r="N22" s="14"/>
      <c r="O22" s="10"/>
      <c r="P22" s="10"/>
      <c r="Q22" s="10"/>
      <c r="T22">
        <v>18</v>
      </c>
      <c r="U22" s="28">
        <f>E39</f>
        <v>0</v>
      </c>
      <c r="V22" t="s">
        <v>77</v>
      </c>
      <c r="W22" s="29" t="s">
        <v>81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204</v>
      </c>
      <c r="G23" s="9" t="str">
        <f>IF(OR(F22="",F24=""),"",+IF(F22&gt;F24,E22,E24))</f>
        <v/>
      </c>
      <c r="H23" s="17"/>
      <c r="I23" s="10"/>
      <c r="J23" s="14"/>
      <c r="K23" s="10"/>
      <c r="L23" s="10"/>
      <c r="M23" s="10"/>
      <c r="N23" s="14"/>
      <c r="O23" s="10"/>
      <c r="P23" s="10"/>
      <c r="Q23" s="10"/>
      <c r="T23">
        <v>19</v>
      </c>
      <c r="U23" s="28" t="s">
        <v>162</v>
      </c>
      <c r="V23" t="s">
        <v>77</v>
      </c>
      <c r="W23" s="29">
        <f>E50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/>
      <c r="F24" s="16"/>
      <c r="G24" s="10"/>
      <c r="H24" s="13" t="s">
        <v>232</v>
      </c>
      <c r="I24" s="9" t="str">
        <f>IF(OR(H23="",H26=""),"",+IF(H23&gt;H26,G23,G26))</f>
        <v/>
      </c>
      <c r="J24" s="16"/>
      <c r="K24" s="10"/>
      <c r="L24" s="10"/>
      <c r="M24" s="10"/>
      <c r="N24" s="14"/>
      <c r="O24" s="10"/>
      <c r="P24" s="10"/>
      <c r="Q24" s="10"/>
      <c r="T24">
        <v>20</v>
      </c>
      <c r="U24" s="28">
        <f>E52</f>
        <v>0</v>
      </c>
      <c r="V24" t="s">
        <v>77</v>
      </c>
      <c r="W24" s="29" t="s">
        <v>264</v>
      </c>
      <c r="Z24" s="34"/>
      <c r="AA24" s="102"/>
      <c r="AB24" s="103"/>
      <c r="AC24" s="103"/>
      <c r="AD24" s="103"/>
      <c r="AE24" s="103"/>
      <c r="AF24" s="103"/>
      <c r="AG24" s="104"/>
    </row>
    <row r="25" spans="4:33">
      <c r="E25" s="10"/>
      <c r="F25" s="10"/>
      <c r="G25" s="10"/>
      <c r="H25" s="14"/>
      <c r="I25" s="10"/>
      <c r="J25" s="10"/>
      <c r="K25" s="10"/>
      <c r="L25" s="10"/>
      <c r="M25" s="10"/>
      <c r="N25" s="14"/>
      <c r="O25" s="10"/>
      <c r="P25" s="10"/>
      <c r="Q25" s="10"/>
      <c r="T25">
        <v>21</v>
      </c>
      <c r="U25" s="28">
        <f>E59</f>
        <v>0</v>
      </c>
      <c r="V25" t="s">
        <v>77</v>
      </c>
      <c r="W25" s="29">
        <f>E61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/>
      <c r="F26" s="9"/>
      <c r="G26" s="9">
        <f>E26</f>
        <v>0</v>
      </c>
      <c r="H26" s="16"/>
      <c r="I26" s="10"/>
      <c r="J26" s="10"/>
      <c r="K26" s="10"/>
      <c r="L26" s="10"/>
      <c r="M26" s="10"/>
      <c r="N26" s="14"/>
      <c r="O26" s="10"/>
      <c r="P26" s="10"/>
      <c r="Q26" s="10"/>
      <c r="T26">
        <v>22</v>
      </c>
      <c r="U26" s="28">
        <f>E63</f>
        <v>0</v>
      </c>
      <c r="V26" t="s">
        <v>77</v>
      </c>
      <c r="W26" s="29" t="s">
        <v>84</v>
      </c>
      <c r="Z26" s="34"/>
      <c r="AA26" s="40"/>
      <c r="AB26" s="40"/>
      <c r="AC26" s="38" t="s">
        <v>159</v>
      </c>
      <c r="AD26" s="48"/>
      <c r="AE26" s="53" t="e">
        <f t="shared" ref="AE26:AE39" si="0">LOOKUP(AD26,T$5:T$78,U$5:U$49)</f>
        <v>#N/A</v>
      </c>
      <c r="AF26" s="37" t="s">
        <v>157</v>
      </c>
      <c r="AG26" s="65" t="e">
        <f t="shared" ref="AG26:AG39" si="1">LOOKUP(AD26,T$5:T$78,W$5:W$48)</f>
        <v>#N/A</v>
      </c>
    </row>
    <row r="27" spans="4:33" ht="13" thickBot="1">
      <c r="E27" s="10"/>
      <c r="F27" s="10"/>
      <c r="G27" s="10"/>
      <c r="H27" s="10"/>
      <c r="I27" s="10"/>
      <c r="J27" s="10"/>
      <c r="K27" s="10"/>
      <c r="L27" s="10"/>
      <c r="M27" s="10"/>
      <c r="N27" s="14" t="s">
        <v>239</v>
      </c>
      <c r="O27" s="9" t="str">
        <f>IF(OR(N17="",N39=""),"",+IF(N17&gt;N39,M17,M39))</f>
        <v/>
      </c>
      <c r="P27" s="11"/>
      <c r="Q27" s="10"/>
      <c r="T27">
        <v>23</v>
      </c>
      <c r="U27" s="28" t="s">
        <v>164</v>
      </c>
      <c r="V27" t="s">
        <v>77</v>
      </c>
      <c r="W27" s="29">
        <f>E74</f>
        <v>0</v>
      </c>
      <c r="Z27" s="34"/>
      <c r="AA27" s="40"/>
      <c r="AB27" s="40"/>
      <c r="AC27" s="38" t="s">
        <v>159</v>
      </c>
      <c r="AD27" s="48"/>
      <c r="AE27" s="53" t="e">
        <f t="shared" si="0"/>
        <v>#N/A</v>
      </c>
      <c r="AF27" s="37" t="s">
        <v>157</v>
      </c>
      <c r="AG27" s="65" t="e">
        <f t="shared" si="1"/>
        <v>#N/A</v>
      </c>
    </row>
    <row r="28" spans="4:33" ht="13" thickBot="1">
      <c r="D28">
        <v>11</v>
      </c>
      <c r="E28" s="10"/>
      <c r="F28" s="9"/>
      <c r="G28" s="9">
        <f>E28</f>
        <v>0</v>
      </c>
      <c r="H28" s="11"/>
      <c r="I28" s="10"/>
      <c r="J28" s="10"/>
      <c r="K28" s="10"/>
      <c r="L28" s="10"/>
      <c r="M28" s="10"/>
      <c r="N28" s="14"/>
      <c r="O28" s="10"/>
      <c r="P28" s="14"/>
      <c r="Q28" s="10"/>
      <c r="T28">
        <v>24</v>
      </c>
      <c r="U28" s="28">
        <f>E76</f>
        <v>0</v>
      </c>
      <c r="V28" t="s">
        <v>77</v>
      </c>
      <c r="W28" s="29" t="s">
        <v>86</v>
      </c>
      <c r="Z28" s="34"/>
      <c r="AA28" s="40"/>
      <c r="AB28" s="40"/>
      <c r="AC28" s="38" t="s">
        <v>159</v>
      </c>
      <c r="AD28" s="48"/>
      <c r="AE28" s="53" t="e">
        <f t="shared" si="0"/>
        <v>#N/A</v>
      </c>
      <c r="AF28" s="37" t="s">
        <v>157</v>
      </c>
      <c r="AG28" s="65" t="e">
        <f t="shared" si="1"/>
        <v>#N/A</v>
      </c>
    </row>
    <row r="29" spans="4:33">
      <c r="E29" s="12"/>
      <c r="F29" s="10"/>
      <c r="G29" s="10"/>
      <c r="H29" s="13"/>
      <c r="I29" s="10"/>
      <c r="J29" s="10"/>
      <c r="K29" s="10"/>
      <c r="L29" s="10"/>
      <c r="M29" s="10"/>
      <c r="N29" s="14"/>
      <c r="O29" s="10"/>
      <c r="P29" s="14"/>
      <c r="Q29" s="10"/>
      <c r="T29">
        <v>25</v>
      </c>
      <c r="U29" s="28">
        <f>E83</f>
        <v>0</v>
      </c>
      <c r="V29" t="s">
        <v>77</v>
      </c>
      <c r="W29" s="29">
        <f>E85</f>
        <v>0</v>
      </c>
      <c r="Z29" s="34"/>
      <c r="AA29" s="40"/>
      <c r="AB29" s="40"/>
      <c r="AC29" s="38" t="s">
        <v>159</v>
      </c>
      <c r="AD29" s="48"/>
      <c r="AE29" s="53" t="e">
        <f t="shared" si="0"/>
        <v>#N/A</v>
      </c>
      <c r="AF29" s="37" t="s">
        <v>157</v>
      </c>
      <c r="AG29" s="65" t="e">
        <f t="shared" si="1"/>
        <v>#N/A</v>
      </c>
    </row>
    <row r="30" spans="4:33" ht="13" thickBot="1">
      <c r="E30" s="10"/>
      <c r="F30" s="10"/>
      <c r="G30" s="10"/>
      <c r="H30" s="14" t="s">
        <v>234</v>
      </c>
      <c r="I30" s="9" t="str">
        <f>IF(OR(H28="",H32=""),"",+IF(H28&gt;H32,G28,G32))</f>
        <v/>
      </c>
      <c r="J30" s="11"/>
      <c r="K30" s="10"/>
      <c r="L30" s="10"/>
      <c r="M30" s="10"/>
      <c r="N30" s="14"/>
      <c r="O30" s="10"/>
      <c r="P30" s="14"/>
      <c r="Q30" s="10"/>
      <c r="T30">
        <v>26</v>
      </c>
      <c r="U30" s="28">
        <f>E87</f>
        <v>0</v>
      </c>
      <c r="V30" t="s">
        <v>77</v>
      </c>
      <c r="W30" s="29" t="s">
        <v>87</v>
      </c>
      <c r="Z30" s="34"/>
      <c r="AA30" s="41"/>
      <c r="AB30" s="33"/>
      <c r="AC30" s="33"/>
      <c r="AD30" s="50"/>
      <c r="AE30" s="54" t="e">
        <f t="shared" si="0"/>
        <v>#N/A</v>
      </c>
      <c r="AF30" s="33"/>
      <c r="AG30" s="58" t="e">
        <f t="shared" si="1"/>
        <v>#N/A</v>
      </c>
    </row>
    <row r="31" spans="4:33" ht="13" thickBot="1">
      <c r="D31">
        <v>12</v>
      </c>
      <c r="E31" s="10"/>
      <c r="F31" s="11"/>
      <c r="G31" s="10"/>
      <c r="H31" s="14"/>
      <c r="I31" s="10"/>
      <c r="J31" s="13"/>
      <c r="K31" s="10"/>
      <c r="L31" s="10"/>
      <c r="M31" s="10"/>
      <c r="N31" s="14"/>
      <c r="O31" s="10"/>
      <c r="P31" s="14"/>
      <c r="Q31" s="10"/>
      <c r="T31">
        <v>27</v>
      </c>
      <c r="U31" s="28" t="s">
        <v>88</v>
      </c>
      <c r="V31" t="s">
        <v>77</v>
      </c>
      <c r="W31" s="29">
        <f>E98</f>
        <v>0</v>
      </c>
      <c r="Z31" s="34"/>
      <c r="AA31" s="40"/>
      <c r="AB31" s="40"/>
      <c r="AC31" s="38" t="s">
        <v>159</v>
      </c>
      <c r="AD31" s="48"/>
      <c r="AE31" s="53" t="e">
        <f t="shared" si="0"/>
        <v>#N/A</v>
      </c>
      <c r="AF31" s="37" t="s">
        <v>157</v>
      </c>
      <c r="AG31" s="65" t="e">
        <f t="shared" si="1"/>
        <v>#N/A</v>
      </c>
    </row>
    <row r="32" spans="4:33" ht="13" thickBot="1">
      <c r="E32" s="12"/>
      <c r="F32" s="13" t="s">
        <v>206</v>
      </c>
      <c r="G32" s="9" t="str">
        <f>IF(OR(F31="",F33=""),"",+IF(F31&gt;F33,E31,E33))</f>
        <v/>
      </c>
      <c r="H32" s="16"/>
      <c r="I32" s="10"/>
      <c r="J32" s="14"/>
      <c r="K32" s="10"/>
      <c r="L32" s="10"/>
      <c r="M32" s="10"/>
      <c r="N32" s="14"/>
      <c r="O32" s="10"/>
      <c r="P32" s="14"/>
      <c r="Q32" s="10"/>
      <c r="T32">
        <v>28</v>
      </c>
      <c r="U32" s="28" t="s">
        <v>89</v>
      </c>
      <c r="V32" t="s">
        <v>77</v>
      </c>
      <c r="W32" s="29" t="s">
        <v>90</v>
      </c>
      <c r="Z32" s="34"/>
      <c r="AA32" s="40"/>
      <c r="AB32" s="40"/>
      <c r="AC32" s="38" t="s">
        <v>159</v>
      </c>
      <c r="AD32" s="48"/>
      <c r="AE32" s="53" t="e">
        <f t="shared" si="0"/>
        <v>#N/A</v>
      </c>
      <c r="AF32" s="37" t="s">
        <v>157</v>
      </c>
      <c r="AG32" s="65" t="e">
        <f t="shared" si="1"/>
        <v>#N/A</v>
      </c>
    </row>
    <row r="33" spans="4:33" ht="13" thickBot="1">
      <c r="D33">
        <v>13</v>
      </c>
      <c r="E33" s="10"/>
      <c r="F33" s="16"/>
      <c r="G33" s="10"/>
      <c r="H33" s="10"/>
      <c r="I33" s="10"/>
      <c r="J33" s="14" t="s">
        <v>201</v>
      </c>
      <c r="K33" s="9" t="str">
        <f>IF(OR(J30="",J36=""),"",+IF(J30&gt;J36,I30,I36))</f>
        <v/>
      </c>
      <c r="L33" s="11"/>
      <c r="M33" s="10"/>
      <c r="N33" s="14"/>
      <c r="O33" s="10"/>
      <c r="P33" s="14"/>
      <c r="Q33" s="10"/>
      <c r="T33">
        <v>29</v>
      </c>
      <c r="U33" s="28" t="s">
        <v>91</v>
      </c>
      <c r="V33" t="s">
        <v>77</v>
      </c>
      <c r="W33" s="29" t="s">
        <v>92</v>
      </c>
      <c r="Z33" s="34"/>
      <c r="AA33" s="40"/>
      <c r="AB33" s="40"/>
      <c r="AC33" s="38" t="s">
        <v>159</v>
      </c>
      <c r="AD33" s="48"/>
      <c r="AE33" s="53" t="e">
        <f t="shared" si="0"/>
        <v>#N/A</v>
      </c>
      <c r="AF33" s="37" t="s">
        <v>157</v>
      </c>
      <c r="AG33" s="65" t="e">
        <f t="shared" si="1"/>
        <v>#N/A</v>
      </c>
    </row>
    <row r="34" spans="4:33">
      <c r="E34" s="12"/>
      <c r="F34" s="10"/>
      <c r="G34" s="10"/>
      <c r="H34" s="10"/>
      <c r="I34" s="10"/>
      <c r="J34" s="14"/>
      <c r="K34" s="10"/>
      <c r="L34" s="13"/>
      <c r="M34" s="10"/>
      <c r="N34" s="14"/>
      <c r="O34" s="10"/>
      <c r="P34" s="14"/>
      <c r="Q34" s="10"/>
      <c r="T34">
        <v>30</v>
      </c>
      <c r="U34" s="28" t="s">
        <v>165</v>
      </c>
      <c r="V34" t="s">
        <v>77</v>
      </c>
      <c r="W34" s="29" t="s">
        <v>94</v>
      </c>
      <c r="Z34" s="34"/>
      <c r="AA34" s="40"/>
      <c r="AB34" s="40"/>
      <c r="AC34" s="38" t="s">
        <v>159</v>
      </c>
      <c r="AD34" s="48"/>
      <c r="AE34" s="53" t="e">
        <f t="shared" si="0"/>
        <v>#N/A</v>
      </c>
      <c r="AF34" s="37" t="s">
        <v>157</v>
      </c>
      <c r="AG34" s="65" t="e">
        <f t="shared" si="1"/>
        <v>#N/A</v>
      </c>
    </row>
    <row r="35" spans="4:33" ht="13" thickBot="1">
      <c r="D35">
        <v>14</v>
      </c>
      <c r="E35" s="9"/>
      <c r="F35" s="9"/>
      <c r="G35" s="9">
        <f>E35</f>
        <v>0</v>
      </c>
      <c r="H35" s="11"/>
      <c r="I35" s="10"/>
      <c r="J35" s="14"/>
      <c r="K35" s="10"/>
      <c r="L35" s="14"/>
      <c r="M35" s="10"/>
      <c r="N35" s="14"/>
      <c r="O35" s="10"/>
      <c r="P35" s="14"/>
      <c r="Q35" s="10"/>
      <c r="T35">
        <v>31</v>
      </c>
      <c r="U35" s="28" t="s">
        <v>95</v>
      </c>
      <c r="V35" t="s">
        <v>77</v>
      </c>
      <c r="W35" s="29" t="s">
        <v>96</v>
      </c>
      <c r="Z35" s="34"/>
      <c r="AA35" s="41"/>
      <c r="AB35" s="33"/>
      <c r="AC35" s="33"/>
      <c r="AD35" s="50"/>
      <c r="AE35" s="54" t="e">
        <f t="shared" si="0"/>
        <v>#N/A</v>
      </c>
      <c r="AF35" s="33"/>
      <c r="AG35" s="58" t="e">
        <f t="shared" si="1"/>
        <v>#N/A</v>
      </c>
    </row>
    <row r="36" spans="4:33" ht="13" thickBot="1">
      <c r="E36" s="10"/>
      <c r="F36" s="10"/>
      <c r="G36" s="10"/>
      <c r="H36" s="13" t="s">
        <v>236</v>
      </c>
      <c r="I36" s="9" t="str">
        <f>IF(OR(H35="",H37=""),"",+IF(H35&gt;H37,E35,E37))</f>
        <v/>
      </c>
      <c r="J36" s="16"/>
      <c r="K36" s="10"/>
      <c r="L36" s="14"/>
      <c r="M36" s="10"/>
      <c r="N36" s="14"/>
      <c r="O36" s="10"/>
      <c r="P36" s="14"/>
      <c r="Q36" s="10"/>
      <c r="T36">
        <v>32</v>
      </c>
      <c r="U36" s="28" t="s">
        <v>97</v>
      </c>
      <c r="V36" t="s">
        <v>77</v>
      </c>
      <c r="W36" s="29" t="s">
        <v>98</v>
      </c>
      <c r="Z36" s="34"/>
      <c r="AA36" s="40"/>
      <c r="AB36" s="40"/>
      <c r="AC36" s="38" t="s">
        <v>159</v>
      </c>
      <c r="AD36" s="48"/>
      <c r="AE36" s="53" t="e">
        <f t="shared" si="0"/>
        <v>#N/A</v>
      </c>
      <c r="AF36" s="37" t="s">
        <v>157</v>
      </c>
      <c r="AG36" s="65" t="e">
        <f t="shared" si="1"/>
        <v>#N/A</v>
      </c>
    </row>
    <row r="37" spans="4:33" ht="13" thickBot="1">
      <c r="D37">
        <v>15</v>
      </c>
      <c r="E37" s="9"/>
      <c r="F37" s="9"/>
      <c r="G37" s="9">
        <f>E37</f>
        <v>0</v>
      </c>
      <c r="H37" s="16"/>
      <c r="I37" s="10"/>
      <c r="J37" s="10"/>
      <c r="K37" s="10"/>
      <c r="L37" s="14"/>
      <c r="M37" s="10"/>
      <c r="N37" s="14"/>
      <c r="O37" s="10"/>
      <c r="P37" s="14"/>
      <c r="Q37" s="10"/>
      <c r="T37">
        <v>33</v>
      </c>
      <c r="U37" s="28" t="s">
        <v>99</v>
      </c>
      <c r="V37" t="s">
        <v>77</v>
      </c>
      <c r="W37" s="29" t="s">
        <v>100</v>
      </c>
      <c r="Z37" s="34"/>
      <c r="AA37" s="40"/>
      <c r="AB37" s="40"/>
      <c r="AC37" s="38" t="s">
        <v>159</v>
      </c>
      <c r="AD37" s="48"/>
      <c r="AE37" s="53" t="e">
        <f t="shared" si="0"/>
        <v>#N/A</v>
      </c>
      <c r="AF37" s="37" t="s">
        <v>157</v>
      </c>
      <c r="AG37" s="65" t="e">
        <f t="shared" si="1"/>
        <v>#N/A</v>
      </c>
    </row>
    <row r="38" spans="4:33">
      <c r="E38" s="10"/>
      <c r="F38" s="10"/>
      <c r="G38" s="10"/>
      <c r="H38" s="10"/>
      <c r="I38" s="10"/>
      <c r="J38" s="10"/>
      <c r="K38" s="10"/>
      <c r="L38" s="14"/>
      <c r="M38" s="10"/>
      <c r="N38" s="14"/>
      <c r="O38" s="10"/>
      <c r="P38" s="14"/>
      <c r="Q38" s="10"/>
      <c r="T38">
        <v>34</v>
      </c>
      <c r="U38" s="28" t="s">
        <v>101</v>
      </c>
      <c r="V38" t="s">
        <v>77</v>
      </c>
      <c r="W38" s="29" t="s">
        <v>102</v>
      </c>
      <c r="Z38" s="34"/>
      <c r="AA38" s="40"/>
      <c r="AB38" s="40"/>
      <c r="AC38" s="38" t="s">
        <v>159</v>
      </c>
      <c r="AD38" s="48"/>
      <c r="AE38" s="53" t="e">
        <f t="shared" si="0"/>
        <v>#N/A</v>
      </c>
      <c r="AF38" s="37" t="s">
        <v>157</v>
      </c>
      <c r="AG38" s="65" t="e">
        <f t="shared" si="1"/>
        <v>#N/A</v>
      </c>
    </row>
    <row r="39" spans="4:33" ht="13" thickBot="1">
      <c r="D39">
        <v>16</v>
      </c>
      <c r="E39" s="10"/>
      <c r="F39" s="9"/>
      <c r="G39" s="9">
        <f>E39</f>
        <v>0</v>
      </c>
      <c r="H39" s="11"/>
      <c r="I39" s="10"/>
      <c r="J39" s="10"/>
      <c r="K39" s="10"/>
      <c r="L39" s="14" t="s">
        <v>228</v>
      </c>
      <c r="M39" s="9" t="str">
        <f>IF(OR(L33="",L45=""),"",+IF(L33&gt;L416,K33,K45))</f>
        <v/>
      </c>
      <c r="N39" s="16"/>
      <c r="O39" s="10"/>
      <c r="P39" s="14"/>
      <c r="Q39" s="10"/>
      <c r="T39">
        <v>35</v>
      </c>
      <c r="U39" s="28" t="s">
        <v>103</v>
      </c>
      <c r="V39" t="s">
        <v>77</v>
      </c>
      <c r="W39" s="29" t="s">
        <v>104</v>
      </c>
      <c r="Z39" s="34"/>
      <c r="AA39" s="33"/>
      <c r="AB39" s="33"/>
      <c r="AC39" s="33"/>
      <c r="AD39" s="50"/>
      <c r="AE39" s="64" t="e">
        <f t="shared" si="0"/>
        <v>#N/A</v>
      </c>
      <c r="AF39" s="33"/>
      <c r="AG39" s="59" t="e">
        <f t="shared" si="1"/>
        <v>#N/A</v>
      </c>
    </row>
    <row r="40" spans="4:33">
      <c r="E40" s="12"/>
      <c r="F40" s="10"/>
      <c r="G40" s="10"/>
      <c r="H40" s="13"/>
      <c r="I40" s="10"/>
      <c r="J40" s="10"/>
      <c r="K40" s="10"/>
      <c r="L40" s="14"/>
      <c r="M40" s="10"/>
      <c r="N40" s="10"/>
      <c r="O40" s="10"/>
      <c r="P40" s="14"/>
      <c r="Q40" s="10"/>
      <c r="T40">
        <v>36</v>
      </c>
      <c r="U40" s="28" t="s">
        <v>105</v>
      </c>
      <c r="V40" t="s">
        <v>77</v>
      </c>
      <c r="W40" s="29" t="s">
        <v>106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/>
      <c r="F41" s="10"/>
      <c r="G41" s="10"/>
      <c r="H41" s="14" t="s">
        <v>238</v>
      </c>
      <c r="I41" s="9" t="str">
        <f>IF(OR(H39="",H43=""),"",+IF(H39&gt;H43,G39,G43))</f>
        <v/>
      </c>
      <c r="J41" s="11"/>
      <c r="K41" s="10"/>
      <c r="L41" s="14"/>
      <c r="M41" s="10"/>
      <c r="N41" s="10"/>
      <c r="O41" s="10"/>
      <c r="P41" s="14"/>
      <c r="Q41" s="10"/>
      <c r="T41">
        <v>37</v>
      </c>
      <c r="U41" s="28" t="s">
        <v>107</v>
      </c>
      <c r="V41" t="s">
        <v>77</v>
      </c>
      <c r="W41" s="29" t="s">
        <v>108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17</v>
      </c>
      <c r="E42" s="10"/>
      <c r="F42" s="11"/>
      <c r="G42" s="10"/>
      <c r="H42" s="14"/>
      <c r="I42" s="10"/>
      <c r="J42" s="13"/>
      <c r="K42" s="10"/>
      <c r="L42" s="14"/>
      <c r="M42" s="10"/>
      <c r="N42" s="10"/>
      <c r="O42" s="10"/>
      <c r="P42" s="14"/>
      <c r="Q42" s="10"/>
      <c r="T42">
        <v>38</v>
      </c>
      <c r="U42" s="28" t="s">
        <v>109</v>
      </c>
      <c r="V42" t="s">
        <v>77</v>
      </c>
      <c r="W42" s="29" t="s">
        <v>110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E43" s="12"/>
      <c r="F43" s="13" t="s">
        <v>208</v>
      </c>
      <c r="G43" s="9" t="str">
        <f>IF(OR(F42="",F44=""),"",+IF(F42&gt;F44,E42,E44))</f>
        <v/>
      </c>
      <c r="H43" s="16"/>
      <c r="I43" s="10"/>
      <c r="J43" s="14"/>
      <c r="K43" s="10"/>
      <c r="L43" s="14"/>
      <c r="M43" s="10"/>
      <c r="N43" s="10"/>
      <c r="O43" s="10"/>
      <c r="P43" s="14"/>
      <c r="Q43" s="10"/>
      <c r="T43">
        <v>39</v>
      </c>
      <c r="U43" s="28" t="s">
        <v>111</v>
      </c>
      <c r="V43" t="s">
        <v>77</v>
      </c>
      <c r="W43" s="29" t="s">
        <v>112</v>
      </c>
      <c r="Z43" s="34"/>
      <c r="AA43" s="40"/>
      <c r="AB43" s="40"/>
      <c r="AC43" s="38" t="s">
        <v>159</v>
      </c>
      <c r="AD43" s="48"/>
      <c r="AE43" s="53" t="e">
        <f>LOOKUP(AD43,T$5:T$78,U$5:U$49)</f>
        <v>#N/A</v>
      </c>
      <c r="AF43" s="37" t="s">
        <v>157</v>
      </c>
      <c r="AG43" s="65" t="e">
        <f>LOOKUP(AD43,T$5:T$78,W$5:W$48)</f>
        <v>#N/A</v>
      </c>
    </row>
    <row r="44" spans="4:33" ht="13" thickBot="1">
      <c r="D44">
        <v>18</v>
      </c>
      <c r="E44" s="10"/>
      <c r="F44" s="16"/>
      <c r="G44" s="10"/>
      <c r="H44" s="10"/>
      <c r="I44" s="10"/>
      <c r="J44" s="14"/>
      <c r="K44" s="10"/>
      <c r="L44" s="14"/>
      <c r="M44" s="10"/>
      <c r="N44" s="10"/>
      <c r="O44" s="10"/>
      <c r="P44" s="14"/>
      <c r="Q44" s="10"/>
      <c r="T44">
        <v>40</v>
      </c>
      <c r="U44" s="28" t="s">
        <v>113</v>
      </c>
      <c r="V44" t="s">
        <v>77</v>
      </c>
      <c r="W44" s="29" t="s">
        <v>114</v>
      </c>
      <c r="Z44" s="34"/>
      <c r="AA44" s="40"/>
      <c r="AB44" s="40"/>
      <c r="AC44" s="38" t="s">
        <v>159</v>
      </c>
      <c r="AD44" s="48"/>
      <c r="AE44" s="53" t="e">
        <f>LOOKUP(AD44,T$5:T$78,U$5:U$49)</f>
        <v>#N/A</v>
      </c>
      <c r="AF44" s="37" t="s">
        <v>157</v>
      </c>
      <c r="AG44" s="65" t="e">
        <f>LOOKUP(AD44,T$5:T$78,W$5:W$48)</f>
        <v>#N/A</v>
      </c>
    </row>
    <row r="45" spans="4:33" ht="13" thickBot="1">
      <c r="E45" s="12"/>
      <c r="F45" s="10"/>
      <c r="G45" s="10"/>
      <c r="H45" s="10"/>
      <c r="I45" s="10"/>
      <c r="J45" s="14" t="s">
        <v>205</v>
      </c>
      <c r="K45" s="9" t="str">
        <f>IF(OR(J41="",J49=""),"",+IF(J41&gt;J49,I41,I49))</f>
        <v/>
      </c>
      <c r="L45" s="16"/>
      <c r="M45" s="10"/>
      <c r="N45" s="10"/>
      <c r="O45" s="10"/>
      <c r="P45" s="14"/>
      <c r="Q45" s="10"/>
      <c r="T45">
        <v>41</v>
      </c>
      <c r="U45" s="28" t="s">
        <v>115</v>
      </c>
      <c r="V45" t="s">
        <v>77</v>
      </c>
      <c r="W45" s="29" t="s">
        <v>116</v>
      </c>
      <c r="Z45" s="34"/>
      <c r="AA45" s="40"/>
      <c r="AB45" s="40"/>
      <c r="AC45" s="38" t="s">
        <v>159</v>
      </c>
      <c r="AD45" s="48"/>
      <c r="AE45" s="53" t="e">
        <f>LOOKUP(AD45,T$5:T$78,U$5:U$49)</f>
        <v>#N/A</v>
      </c>
      <c r="AF45" s="37" t="s">
        <v>157</v>
      </c>
      <c r="AG45" s="65" t="e">
        <f>LOOKUP(AD45,T$5:T$78,W$5:W$48)</f>
        <v>#N/A</v>
      </c>
    </row>
    <row r="46" spans="4:33" ht="13" thickBot="1">
      <c r="D46">
        <v>19</v>
      </c>
      <c r="E46" s="10"/>
      <c r="F46" s="11"/>
      <c r="G46" s="10"/>
      <c r="H46" s="10"/>
      <c r="I46" s="10"/>
      <c r="J46" s="14"/>
      <c r="K46" s="10"/>
      <c r="L46" s="10"/>
      <c r="M46" s="10"/>
      <c r="N46" s="10"/>
      <c r="O46" s="10"/>
      <c r="P46" s="14"/>
      <c r="Q46" s="10"/>
      <c r="T46">
        <v>42</v>
      </c>
      <c r="U46" s="28" t="s">
        <v>117</v>
      </c>
      <c r="V46" t="s">
        <v>77</v>
      </c>
      <c r="W46" s="29" t="s">
        <v>118</v>
      </c>
      <c r="Z46" s="34"/>
      <c r="AA46" s="40"/>
      <c r="AB46" s="40"/>
      <c r="AC46" s="38" t="s">
        <v>159</v>
      </c>
      <c r="AD46" s="48"/>
      <c r="AE46" s="53" t="e">
        <f>LOOKUP(AD46,T$5:T$78,U$5:U$49)</f>
        <v>#N/A</v>
      </c>
      <c r="AF46" s="37" t="s">
        <v>157</v>
      </c>
      <c r="AG46" s="65" t="e">
        <f>LOOKUP(AD46,T$5:T$78,W$5:W$48)</f>
        <v>#N/A</v>
      </c>
    </row>
    <row r="47" spans="4:33" ht="13" thickBot="1">
      <c r="E47" s="12"/>
      <c r="F47" s="13" t="s">
        <v>210</v>
      </c>
      <c r="G47" s="9" t="str">
        <f>IF(OR(F46="",F48=""),"",+IF(F46&gt;F48,E46,E48))</f>
        <v/>
      </c>
      <c r="H47" s="11"/>
      <c r="I47" s="10"/>
      <c r="J47" s="14"/>
      <c r="K47" s="10"/>
      <c r="L47" s="10"/>
      <c r="M47" s="10"/>
      <c r="N47" s="10"/>
      <c r="O47" s="10"/>
      <c r="P47" s="14"/>
      <c r="Q47" s="10"/>
      <c r="W47" s="28"/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D48">
        <v>20</v>
      </c>
      <c r="E48" s="9"/>
      <c r="F48" s="16"/>
      <c r="G48" s="10"/>
      <c r="H48" s="13"/>
      <c r="I48" s="10"/>
      <c r="J48" s="14"/>
      <c r="K48" s="10"/>
      <c r="L48" s="10"/>
      <c r="M48" s="10"/>
      <c r="N48" s="10"/>
      <c r="O48" s="10"/>
      <c r="P48" s="14"/>
      <c r="Q48" s="10"/>
      <c r="U48" s="29"/>
      <c r="Z48" s="34"/>
      <c r="AA48" s="40"/>
      <c r="AB48" s="40"/>
      <c r="AC48" s="38" t="s">
        <v>159</v>
      </c>
      <c r="AD48" s="48"/>
      <c r="AE48" s="53" t="e">
        <f>LOOKUP(AD48,T$5:T$78,U$5:U$49)</f>
        <v>#N/A</v>
      </c>
      <c r="AF48" s="37" t="s">
        <v>157</v>
      </c>
      <c r="AG48" s="65" t="e">
        <f>LOOKUP(AD48,T$5:T$78,W$5:W$48)</f>
        <v>#N/A</v>
      </c>
    </row>
    <row r="49" spans="4:33" ht="13" thickBot="1">
      <c r="E49" s="10"/>
      <c r="F49" s="10"/>
      <c r="G49" s="10"/>
      <c r="H49" s="14" t="s">
        <v>240</v>
      </c>
      <c r="I49" s="9" t="str">
        <f>IF(OR(H47="",H50=""),"",+IF(H47&gt;H50,G47,E50))</f>
        <v/>
      </c>
      <c r="J49" s="16"/>
      <c r="K49" s="10"/>
      <c r="L49" s="10"/>
      <c r="M49" s="10"/>
      <c r="N49" s="10"/>
      <c r="O49" s="10"/>
      <c r="P49" s="14"/>
      <c r="Q49" s="10"/>
      <c r="Z49" s="34"/>
      <c r="AA49" s="40"/>
      <c r="AB49" s="40"/>
      <c r="AC49" s="38" t="s">
        <v>159</v>
      </c>
      <c r="AD49" s="48"/>
      <c r="AE49" s="53" t="e">
        <f>LOOKUP(AD49,T$5:T$78,U$5:U$49)</f>
        <v>#N/A</v>
      </c>
      <c r="AF49" s="37" t="s">
        <v>157</v>
      </c>
      <c r="AG49" s="65" t="e">
        <f>LOOKUP(AD49,T$5:T$78,W$5:W$48)</f>
        <v>#N/A</v>
      </c>
    </row>
    <row r="50" spans="4:33" ht="13" thickBot="1">
      <c r="D50">
        <v>21</v>
      </c>
      <c r="E50" s="9"/>
      <c r="F50" s="9"/>
      <c r="G50" s="9">
        <f>E50</f>
        <v>0</v>
      </c>
      <c r="H50" s="16"/>
      <c r="I50" s="10"/>
      <c r="J50" s="10"/>
      <c r="K50" s="10"/>
      <c r="L50" s="10"/>
      <c r="M50" s="10"/>
      <c r="N50" s="10"/>
      <c r="O50" s="10"/>
      <c r="P50" s="14"/>
      <c r="Q50" s="10"/>
      <c r="Z50" s="34"/>
      <c r="AA50" s="40"/>
      <c r="AB50" s="40"/>
      <c r="AC50" s="38" t="s">
        <v>159</v>
      </c>
      <c r="AD50" s="48"/>
      <c r="AE50" s="53" t="e">
        <f>LOOKUP(AD50,T$5:T$78,U$5:U$49)</f>
        <v>#N/A</v>
      </c>
      <c r="AF50" s="37" t="s">
        <v>157</v>
      </c>
      <c r="AG50" s="65" t="e">
        <f>LOOKUP(AD50,T$5:T$78,W$5:W$48)</f>
        <v>#N/A</v>
      </c>
    </row>
    <row r="51" spans="4:33" ht="13" thickBot="1"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4" t="s">
        <v>247</v>
      </c>
      <c r="Q51" s="9" t="str">
        <f>IF(OR(P27="",P73=""),"",+IF(P27&gt;P73,O27,O73))</f>
        <v/>
      </c>
      <c r="Z51" s="34"/>
      <c r="AA51" s="40"/>
      <c r="AB51" s="40"/>
      <c r="AC51" s="38" t="s">
        <v>159</v>
      </c>
      <c r="AD51" s="48"/>
      <c r="AE51" s="53" t="e">
        <f>LOOKUP(AD51,T$5:T$78,U$5:U$49)</f>
        <v>#N/A</v>
      </c>
      <c r="AF51" s="37" t="s">
        <v>157</v>
      </c>
      <c r="AG51" s="65" t="e">
        <f>LOOKUP(AD51,T$5:T$78,W$5:W$48)</f>
        <v>#N/A</v>
      </c>
    </row>
    <row r="52" spans="4:33" ht="13" thickBot="1">
      <c r="D52">
        <v>22</v>
      </c>
      <c r="E52" s="10"/>
      <c r="F52" s="9"/>
      <c r="G52" s="9">
        <f>E52</f>
        <v>0</v>
      </c>
      <c r="H52" s="11"/>
      <c r="I52" s="10"/>
      <c r="J52" s="10"/>
      <c r="K52" s="10"/>
      <c r="L52" s="10"/>
      <c r="M52" s="10"/>
      <c r="N52" s="10"/>
      <c r="O52" s="10"/>
      <c r="P52" s="14"/>
      <c r="Q52" s="10"/>
      <c r="Z52" s="34"/>
      <c r="AA52" s="41"/>
      <c r="AB52" s="33"/>
      <c r="AC52" s="33"/>
      <c r="AD52" s="50"/>
      <c r="AE52" s="54"/>
      <c r="AF52" s="33"/>
      <c r="AG52" s="58"/>
    </row>
    <row r="53" spans="4:33">
      <c r="E53" s="12"/>
      <c r="F53" s="10"/>
      <c r="G53" s="10"/>
      <c r="H53" s="13"/>
      <c r="I53" s="10"/>
      <c r="J53" s="10"/>
      <c r="K53" s="10"/>
      <c r="L53" s="10"/>
      <c r="M53" s="10"/>
      <c r="N53" s="10"/>
      <c r="O53" s="10"/>
      <c r="P53" s="14"/>
      <c r="Q53" s="10"/>
      <c r="Z53" s="34"/>
      <c r="AA53" s="40"/>
      <c r="AB53" s="40"/>
      <c r="AC53" s="38" t="s">
        <v>159</v>
      </c>
      <c r="AD53" s="48"/>
      <c r="AE53" s="53" t="e">
        <f>LOOKUP(AD53,T$5:T$78,U$5:U$49)</f>
        <v>#N/A</v>
      </c>
      <c r="AF53" s="37" t="s">
        <v>157</v>
      </c>
      <c r="AG53" s="65" t="e">
        <f>LOOKUP(AD53,T$5:T$78,W$5:W$48)</f>
        <v>#N/A</v>
      </c>
    </row>
    <row r="54" spans="4:33" ht="13" thickBot="1">
      <c r="E54" s="10"/>
      <c r="F54" s="10"/>
      <c r="G54" s="10"/>
      <c r="H54" s="14" t="s">
        <v>242</v>
      </c>
      <c r="I54" s="9" t="str">
        <f>IF(OR(H52="",H56=""),"",+IF(H52&gt;H56,G52,G56))</f>
        <v/>
      </c>
      <c r="J54" s="11"/>
      <c r="K54" s="10"/>
      <c r="L54" s="10"/>
      <c r="M54" s="10"/>
      <c r="N54" s="10"/>
      <c r="O54" s="10"/>
      <c r="P54" s="14"/>
      <c r="Q54" s="10"/>
      <c r="Z54" s="34"/>
      <c r="AA54" s="40"/>
      <c r="AB54" s="40"/>
      <c r="AC54" s="38" t="s">
        <v>159</v>
      </c>
      <c r="AD54" s="48"/>
      <c r="AE54" s="53" t="e">
        <f>LOOKUP(AD54,T$5:T$78,U$5:U$49)</f>
        <v>#N/A</v>
      </c>
      <c r="AF54" s="37" t="s">
        <v>157</v>
      </c>
      <c r="AG54" s="65" t="e">
        <f>LOOKUP(AD54,T$5:T$78,W$5:W$48)</f>
        <v>#N/A</v>
      </c>
    </row>
    <row r="55" spans="4:33" ht="13" thickBot="1">
      <c r="D55">
        <v>23</v>
      </c>
      <c r="E55" s="10"/>
      <c r="F55" s="11"/>
      <c r="G55" s="10"/>
      <c r="H55" s="14"/>
      <c r="I55" s="10"/>
      <c r="J55" s="13"/>
      <c r="K55" s="10"/>
      <c r="L55" s="10"/>
      <c r="M55" s="10"/>
      <c r="N55" s="10"/>
      <c r="O55" s="10"/>
      <c r="P55" s="14"/>
      <c r="Q55" s="10"/>
      <c r="Z55" s="34"/>
      <c r="AA55" s="40"/>
      <c r="AB55" s="40"/>
      <c r="AC55" s="38" t="s">
        <v>159</v>
      </c>
      <c r="AD55" s="48"/>
      <c r="AE55" s="53" t="e">
        <f>LOOKUP(AD55,T$5:T$78,U$5:U$49)</f>
        <v>#N/A</v>
      </c>
      <c r="AF55" s="37" t="s">
        <v>157</v>
      </c>
      <c r="AG55" s="65" t="e">
        <f>LOOKUP(AD55,T$5:T$78,W$5:W$48)</f>
        <v>#N/A</v>
      </c>
    </row>
    <row r="56" spans="4:33" ht="13" thickBot="1">
      <c r="E56" s="12"/>
      <c r="F56" s="13" t="s">
        <v>212</v>
      </c>
      <c r="G56" s="9" t="str">
        <f>IF(OR(F55="",F57=""),"",+IF(F55&gt;F57,E55,E57))</f>
        <v/>
      </c>
      <c r="H56" s="16"/>
      <c r="I56" s="10"/>
      <c r="J56" s="14"/>
      <c r="K56" s="10"/>
      <c r="L56" s="10"/>
      <c r="M56" s="10"/>
      <c r="N56" s="10"/>
      <c r="O56" s="10"/>
      <c r="P56" s="14"/>
      <c r="Q56" s="10"/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24</v>
      </c>
      <c r="E57" s="10"/>
      <c r="F57" s="16"/>
      <c r="G57" s="10"/>
      <c r="H57" s="10"/>
      <c r="I57" s="10"/>
      <c r="J57" s="14" t="s">
        <v>209</v>
      </c>
      <c r="K57" s="9" t="str">
        <f>IF(OR(J54="",J60=""),"",+IF(J54&gt;J60,I54,I60))</f>
        <v/>
      </c>
      <c r="L57" s="11"/>
      <c r="M57" s="10"/>
      <c r="N57" s="10"/>
      <c r="O57" s="10"/>
      <c r="P57" s="14"/>
      <c r="Q57" s="10"/>
    </row>
    <row r="58" spans="4:33">
      <c r="E58" s="12"/>
      <c r="F58" s="10"/>
      <c r="G58" s="10"/>
      <c r="H58" s="10"/>
      <c r="I58" s="10"/>
      <c r="J58" s="14"/>
      <c r="K58" s="12"/>
      <c r="L58" s="13"/>
      <c r="M58" s="10"/>
      <c r="N58" s="10"/>
      <c r="O58" s="10"/>
      <c r="P58" s="14"/>
      <c r="Q58" s="10"/>
    </row>
    <row r="59" spans="4:33" ht="13" thickBot="1">
      <c r="D59">
        <v>25</v>
      </c>
      <c r="E59" s="9"/>
      <c r="F59" s="9"/>
      <c r="G59" s="9">
        <f>E59</f>
        <v>0</v>
      </c>
      <c r="H59" s="11"/>
      <c r="I59" s="10"/>
      <c r="J59" s="14"/>
      <c r="K59" s="10"/>
      <c r="L59" s="14"/>
      <c r="M59" s="10"/>
      <c r="N59" s="10"/>
      <c r="O59" s="10"/>
      <c r="P59" s="14"/>
      <c r="Q59" s="10"/>
    </row>
    <row r="60" spans="4:33" ht="13" thickBot="1">
      <c r="E60" s="10"/>
      <c r="F60" s="10"/>
      <c r="G60" s="10"/>
      <c r="H60" s="13" t="s">
        <v>244</v>
      </c>
      <c r="I60" s="9" t="str">
        <f>IF(OR(H59="",H61=""),"",+IF(H59&gt;H61,E59,E61))</f>
        <v/>
      </c>
      <c r="J60" s="16"/>
      <c r="K60" s="10"/>
      <c r="L60" s="14"/>
      <c r="M60" s="10"/>
      <c r="N60" s="10"/>
      <c r="O60" s="10"/>
      <c r="P60" s="14"/>
      <c r="Q60" s="10"/>
    </row>
    <row r="61" spans="4:33" ht="13" thickBot="1">
      <c r="D61">
        <v>26</v>
      </c>
      <c r="E61" s="9"/>
      <c r="F61" s="9"/>
      <c r="G61" s="9">
        <f>E61</f>
        <v>0</v>
      </c>
      <c r="H61" s="16"/>
      <c r="I61" s="10"/>
      <c r="J61" s="10"/>
      <c r="K61" s="10"/>
      <c r="L61" s="14"/>
      <c r="M61" s="10"/>
      <c r="N61" s="10"/>
      <c r="O61" s="10"/>
      <c r="P61" s="14"/>
      <c r="Q61" s="10"/>
    </row>
    <row r="62" spans="4:33" ht="13" thickBot="1">
      <c r="E62" s="10"/>
      <c r="F62" s="10"/>
      <c r="G62" s="10"/>
      <c r="H62" s="10"/>
      <c r="I62" s="10"/>
      <c r="J62" s="10"/>
      <c r="K62" s="10"/>
      <c r="L62" s="14" t="s">
        <v>231</v>
      </c>
      <c r="M62" s="9" t="str">
        <f>IF(OR(L57="",L69=""),"",+IF(L57&gt;L69,K57,K69))</f>
        <v/>
      </c>
      <c r="N62" s="17"/>
      <c r="O62" s="10"/>
      <c r="P62" s="14"/>
      <c r="Q62" s="10"/>
    </row>
    <row r="63" spans="4:33" ht="13" thickBot="1">
      <c r="D63">
        <v>27</v>
      </c>
      <c r="E63" s="10"/>
      <c r="F63" s="9"/>
      <c r="G63" s="9">
        <f>E63</f>
        <v>0</v>
      </c>
      <c r="H63" s="11"/>
      <c r="I63" s="10"/>
      <c r="J63" s="10"/>
      <c r="K63" s="10"/>
      <c r="L63" s="14"/>
      <c r="M63" s="10"/>
      <c r="N63" s="14"/>
      <c r="O63" s="10"/>
      <c r="P63" s="14"/>
      <c r="Q63" s="10"/>
    </row>
    <row r="64" spans="4:33">
      <c r="E64" s="12"/>
      <c r="F64" s="10"/>
      <c r="G64" s="10"/>
      <c r="H64" s="13"/>
      <c r="I64" s="10"/>
      <c r="J64" s="10"/>
      <c r="K64" s="10"/>
      <c r="L64" s="14"/>
      <c r="M64" s="10"/>
      <c r="N64" s="14"/>
      <c r="O64" s="10"/>
      <c r="P64" s="14"/>
      <c r="Q64" s="10"/>
    </row>
    <row r="65" spans="4:17" ht="13" thickBot="1">
      <c r="E65" s="10"/>
      <c r="F65" s="10"/>
      <c r="G65" s="10"/>
      <c r="H65" s="14" t="s">
        <v>246</v>
      </c>
      <c r="I65" s="9" t="str">
        <f>IF(OR(H63="",H67=""),"",+IF(H63&gt;H67,G63,G67))</f>
        <v/>
      </c>
      <c r="J65" s="11"/>
      <c r="K65" s="10"/>
      <c r="L65" s="14"/>
      <c r="M65" s="10"/>
      <c r="N65" s="14"/>
      <c r="O65" s="10"/>
      <c r="P65" s="14"/>
      <c r="Q65" s="10"/>
    </row>
    <row r="66" spans="4:17" ht="13" thickBot="1">
      <c r="D66">
        <v>28</v>
      </c>
      <c r="E66" s="10"/>
      <c r="F66" s="11"/>
      <c r="G66" s="10"/>
      <c r="H66" s="14"/>
      <c r="I66" s="10"/>
      <c r="J66" s="13"/>
      <c r="K66" s="10"/>
      <c r="L66" s="14"/>
      <c r="M66" s="10"/>
      <c r="N66" s="14"/>
      <c r="O66" s="10"/>
      <c r="P66" s="14"/>
      <c r="Q66" s="10"/>
    </row>
    <row r="67" spans="4:17" ht="13" thickBot="1">
      <c r="E67" s="12"/>
      <c r="F67" s="13" t="s">
        <v>214</v>
      </c>
      <c r="G67" s="9" t="str">
        <f>IF(OR(F66="",F68=""),"",+IF(F66&gt;F68,E66,E68))</f>
        <v/>
      </c>
      <c r="H67" s="16"/>
      <c r="I67" s="10"/>
      <c r="J67" s="14"/>
      <c r="K67" s="10"/>
      <c r="L67" s="14"/>
      <c r="M67" s="10"/>
      <c r="N67" s="14"/>
      <c r="O67" s="10"/>
      <c r="P67" s="14"/>
      <c r="Q67" s="10"/>
    </row>
    <row r="68" spans="4:17" ht="13" thickBot="1">
      <c r="D68">
        <v>29</v>
      </c>
      <c r="E68" s="10"/>
      <c r="F68" s="16"/>
      <c r="G68" s="10"/>
      <c r="H68" s="10"/>
      <c r="I68" s="10"/>
      <c r="J68" s="14"/>
      <c r="K68" s="10"/>
      <c r="L68" s="14"/>
      <c r="M68" s="10"/>
      <c r="N68" s="14"/>
      <c r="O68" s="10"/>
      <c r="P68" s="14"/>
      <c r="Q68" s="10"/>
    </row>
    <row r="69" spans="4:17" ht="13" thickBot="1">
      <c r="E69" s="12"/>
      <c r="F69" s="10"/>
      <c r="G69" s="10"/>
      <c r="H69" s="10"/>
      <c r="I69" s="10"/>
      <c r="J69" s="14" t="s">
        <v>213</v>
      </c>
      <c r="K69" s="9" t="str">
        <f>IF(OR(J65="",J73=""),"",+IF(J65&gt;J73,I65,I73))</f>
        <v/>
      </c>
      <c r="L69" s="16"/>
      <c r="M69" s="10"/>
      <c r="N69" s="14"/>
      <c r="O69" s="10"/>
      <c r="P69" s="14"/>
      <c r="Q69" s="10"/>
    </row>
    <row r="70" spans="4:17" ht="13" thickBot="1">
      <c r="D70">
        <v>30</v>
      </c>
      <c r="E70" s="10"/>
      <c r="F70" s="11"/>
      <c r="G70" s="10"/>
      <c r="H70" s="10"/>
      <c r="I70" s="10"/>
      <c r="J70" s="14"/>
      <c r="K70" s="10"/>
      <c r="L70" s="10"/>
      <c r="M70" s="10"/>
      <c r="N70" s="14"/>
      <c r="O70" s="10"/>
      <c r="P70" s="14"/>
      <c r="Q70" s="10"/>
    </row>
    <row r="71" spans="4:17" ht="13" thickBot="1">
      <c r="E71" s="12"/>
      <c r="F71" s="13" t="s">
        <v>217</v>
      </c>
      <c r="G71" s="9" t="str">
        <f>IF(OR(F70="",F72=""),"",+IF(F70&gt;F72,E70,E72))</f>
        <v/>
      </c>
      <c r="H71" s="11"/>
      <c r="I71" s="10"/>
      <c r="J71" s="14"/>
      <c r="K71" s="10"/>
      <c r="L71" s="10"/>
      <c r="M71" s="10"/>
      <c r="N71" s="14"/>
      <c r="O71" s="10"/>
      <c r="P71" s="14"/>
      <c r="Q71" s="10"/>
    </row>
    <row r="72" spans="4:17" ht="13" thickBot="1">
      <c r="D72">
        <v>31</v>
      </c>
      <c r="E72" s="9"/>
      <c r="F72" s="16"/>
      <c r="G72" s="10"/>
      <c r="H72" s="13"/>
      <c r="I72" s="10"/>
      <c r="J72" s="14"/>
      <c r="K72" s="10"/>
      <c r="L72" s="10"/>
      <c r="M72" s="10"/>
      <c r="N72" s="14"/>
      <c r="O72" s="10"/>
      <c r="P72" s="14"/>
      <c r="Q72" s="10"/>
    </row>
    <row r="73" spans="4:17" ht="13" thickBot="1">
      <c r="E73" s="10"/>
      <c r="F73" s="10"/>
      <c r="G73" s="10"/>
      <c r="H73" s="14" t="s">
        <v>248</v>
      </c>
      <c r="I73" s="9" t="str">
        <f>IF(OR(H71="",H74=""),"",+IF(H71&gt;H74,G71,E74))</f>
        <v/>
      </c>
      <c r="J73" s="16"/>
      <c r="K73" s="10"/>
      <c r="L73" s="10"/>
      <c r="M73" s="10"/>
      <c r="N73" s="14" t="s">
        <v>243</v>
      </c>
      <c r="O73" s="9" t="str">
        <f>IF(OR(N62="",N86=""),"",+IF(N62&gt;N86,M62,M86))</f>
        <v/>
      </c>
      <c r="P73" s="16"/>
      <c r="Q73" s="10"/>
    </row>
    <row r="74" spans="4:17" ht="13" thickBot="1">
      <c r="D74">
        <v>32</v>
      </c>
      <c r="E74" s="9"/>
      <c r="F74" s="9"/>
      <c r="G74" s="9">
        <f>E74</f>
        <v>0</v>
      </c>
      <c r="H74" s="16"/>
      <c r="I74" s="10"/>
      <c r="J74" s="10"/>
      <c r="K74" s="10"/>
      <c r="L74" s="10"/>
      <c r="M74" s="10"/>
      <c r="N74" s="14"/>
      <c r="O74" s="10"/>
      <c r="P74" s="10"/>
      <c r="Q74" s="10"/>
    </row>
    <row r="75" spans="4:17">
      <c r="E75" s="10"/>
      <c r="F75" s="10"/>
      <c r="G75" s="10"/>
      <c r="H75" s="10"/>
      <c r="I75" s="10"/>
      <c r="J75" s="10"/>
      <c r="K75" s="10"/>
      <c r="L75" s="10"/>
      <c r="M75" s="10"/>
      <c r="N75" s="14"/>
      <c r="O75" s="10"/>
      <c r="P75" s="10"/>
      <c r="Q75" s="10"/>
    </row>
    <row r="76" spans="4:17" ht="13" thickBot="1">
      <c r="D76">
        <v>33</v>
      </c>
      <c r="E76" s="10"/>
      <c r="F76" s="9"/>
      <c r="G76" s="9">
        <f>E76</f>
        <v>0</v>
      </c>
      <c r="H76" s="11"/>
      <c r="I76" s="10"/>
      <c r="J76" s="10"/>
      <c r="K76" s="10"/>
      <c r="L76" s="10"/>
      <c r="M76" s="10"/>
      <c r="N76" s="14"/>
      <c r="O76" s="10"/>
      <c r="P76" s="10"/>
      <c r="Q76" s="10"/>
    </row>
    <row r="77" spans="4:17">
      <c r="E77" s="12"/>
      <c r="F77" s="10"/>
      <c r="G77" s="10"/>
      <c r="H77" s="13"/>
      <c r="I77" s="10"/>
      <c r="J77" s="10"/>
      <c r="K77" s="10"/>
      <c r="L77" s="10"/>
      <c r="M77" s="10"/>
      <c r="N77" s="14"/>
      <c r="O77" s="10"/>
      <c r="P77" s="10"/>
      <c r="Q77" s="10"/>
    </row>
    <row r="78" spans="4:17" ht="13" thickBot="1">
      <c r="E78" s="10"/>
      <c r="F78" s="10"/>
      <c r="G78" s="10"/>
      <c r="H78" s="14" t="s">
        <v>250</v>
      </c>
      <c r="I78" s="9" t="str">
        <f>IF(OR(H76="",H80=""),"",+IF(H76&gt;H80,G76,G80))</f>
        <v/>
      </c>
      <c r="J78" s="11"/>
      <c r="K78" s="10"/>
      <c r="L78" s="10"/>
      <c r="M78" s="10"/>
      <c r="N78" s="14"/>
      <c r="O78" s="10"/>
      <c r="P78" s="10"/>
      <c r="Q78" s="10"/>
    </row>
    <row r="79" spans="4:17" ht="13" thickBot="1">
      <c r="D79">
        <v>34</v>
      </c>
      <c r="E79" s="10"/>
      <c r="F79" s="11"/>
      <c r="G79" s="10"/>
      <c r="H79" s="14"/>
      <c r="I79" s="10"/>
      <c r="J79" s="13"/>
      <c r="K79" s="10"/>
      <c r="L79" s="10"/>
      <c r="M79" s="10"/>
      <c r="N79" s="14"/>
      <c r="O79" s="10"/>
      <c r="P79" s="10"/>
      <c r="Q79" s="10"/>
    </row>
    <row r="80" spans="4:17" ht="13" thickBot="1">
      <c r="E80" s="12"/>
      <c r="F80" s="13" t="s">
        <v>219</v>
      </c>
      <c r="G80" s="9" t="str">
        <f>IF(OR(F79="",F81=""),"",+IF(F79&gt;F81,E79,E81))</f>
        <v/>
      </c>
      <c r="H80" s="16"/>
      <c r="I80" s="10"/>
      <c r="J80" s="14"/>
      <c r="K80" s="10"/>
      <c r="L80" s="10"/>
      <c r="M80" s="10"/>
      <c r="N80" s="14"/>
      <c r="O80" s="10"/>
      <c r="P80" s="10"/>
      <c r="Q80" s="10"/>
    </row>
    <row r="81" spans="4:17" ht="13" thickBot="1">
      <c r="D81">
        <v>35</v>
      </c>
      <c r="E81" s="10"/>
      <c r="F81" s="16"/>
      <c r="G81" s="10"/>
      <c r="H81" s="10"/>
      <c r="I81" s="10"/>
      <c r="J81" s="14" t="s">
        <v>216</v>
      </c>
      <c r="K81" s="9" t="str">
        <f>IF(OR(J78="",J84=""),"",+IF(J78&gt;J84,I78,I84))</f>
        <v/>
      </c>
      <c r="L81" s="11"/>
      <c r="M81" s="10"/>
      <c r="N81" s="14"/>
      <c r="O81" s="10"/>
      <c r="P81" s="10"/>
      <c r="Q81" s="10"/>
    </row>
    <row r="82" spans="4:17">
      <c r="E82" s="12"/>
      <c r="F82" s="10"/>
      <c r="G82" s="10"/>
      <c r="H82" s="10"/>
      <c r="I82" s="10"/>
      <c r="J82" s="14"/>
      <c r="K82" s="12"/>
      <c r="L82" s="13"/>
      <c r="M82" s="10"/>
      <c r="N82" s="14"/>
      <c r="O82" s="10"/>
      <c r="P82" s="10"/>
      <c r="Q82" s="10"/>
    </row>
    <row r="83" spans="4:17" ht="13" thickBot="1">
      <c r="D83">
        <v>36</v>
      </c>
      <c r="E83" s="9"/>
      <c r="F83" s="9"/>
      <c r="G83" s="9">
        <f>E83</f>
        <v>0</v>
      </c>
      <c r="H83" s="11"/>
      <c r="I83" s="10"/>
      <c r="J83" s="14"/>
      <c r="K83" s="10"/>
      <c r="L83" s="14"/>
      <c r="M83" s="10"/>
      <c r="N83" s="14"/>
      <c r="O83" s="10"/>
      <c r="P83" s="10"/>
      <c r="Q83" s="10"/>
    </row>
    <row r="84" spans="4:17" ht="13" thickBot="1">
      <c r="E84" s="10"/>
      <c r="F84" s="10"/>
      <c r="G84" s="10"/>
      <c r="H84" s="13" t="s">
        <v>252</v>
      </c>
      <c r="I84" s="9" t="str">
        <f>IF(OR(H83="",H85=""),"",+IF(H83&gt;H85,E83,E85))</f>
        <v/>
      </c>
      <c r="J84" s="16"/>
      <c r="K84" s="10"/>
      <c r="L84" s="14"/>
      <c r="M84" s="10"/>
      <c r="N84" s="14"/>
      <c r="O84" s="10"/>
      <c r="P84" s="10"/>
      <c r="Q84" s="10"/>
    </row>
    <row r="85" spans="4:17" ht="13" thickBot="1">
      <c r="D85">
        <v>37</v>
      </c>
      <c r="E85" s="9"/>
      <c r="F85" s="9"/>
      <c r="G85" s="9">
        <f>E85</f>
        <v>0</v>
      </c>
      <c r="H85" s="16"/>
      <c r="I85" s="10"/>
      <c r="J85" s="10"/>
      <c r="K85" s="10"/>
      <c r="L85" s="14"/>
      <c r="M85" s="10"/>
      <c r="N85" s="14"/>
      <c r="O85" s="10"/>
      <c r="P85" s="10"/>
      <c r="Q85" s="10"/>
    </row>
    <row r="86" spans="4:17" ht="13" thickBot="1">
      <c r="E86" s="10"/>
      <c r="F86" s="10"/>
      <c r="G86" s="10"/>
      <c r="H86" s="10"/>
      <c r="I86" s="10"/>
      <c r="J86" s="10"/>
      <c r="K86" s="10"/>
      <c r="L86" s="14" t="s">
        <v>235</v>
      </c>
      <c r="M86" s="9" t="str">
        <f>IF(OR(L81="",L93=""),"",+IF(L81&gt;L93,K81,K93))</f>
        <v/>
      </c>
      <c r="N86" s="16"/>
      <c r="O86" s="10"/>
      <c r="P86" s="10"/>
      <c r="Q86" s="10"/>
    </row>
    <row r="87" spans="4:17" ht="13" thickBot="1">
      <c r="D87">
        <v>38</v>
      </c>
      <c r="E87" s="10"/>
      <c r="F87" s="9"/>
      <c r="G87" s="9">
        <f>E87</f>
        <v>0</v>
      </c>
      <c r="H87" s="11"/>
      <c r="I87" s="10"/>
      <c r="J87" s="10"/>
      <c r="K87" s="10"/>
      <c r="L87" s="14"/>
      <c r="M87" s="10"/>
      <c r="N87" s="10"/>
      <c r="O87" s="10"/>
      <c r="P87" s="10"/>
      <c r="Q87" s="10"/>
    </row>
    <row r="88" spans="4:17">
      <c r="E88" s="12"/>
      <c r="F88" s="10"/>
      <c r="G88" s="10"/>
      <c r="H88" s="13"/>
      <c r="I88" s="10"/>
      <c r="J88" s="10"/>
      <c r="K88" s="10"/>
      <c r="L88" s="14"/>
      <c r="M88" s="10"/>
      <c r="N88" s="10"/>
      <c r="O88" s="10"/>
      <c r="P88" s="10"/>
      <c r="Q88" s="10"/>
    </row>
    <row r="89" spans="4:17" ht="13" thickBot="1">
      <c r="E89" s="10"/>
      <c r="F89" s="10"/>
      <c r="G89" s="10"/>
      <c r="H89" s="14" t="s">
        <v>254</v>
      </c>
      <c r="I89" s="9" t="str">
        <f>IF(OR(H87="",H91=""),"",+IF(H87&gt;H91,G87,G91))</f>
        <v/>
      </c>
      <c r="J89" s="11"/>
      <c r="K89" s="10"/>
      <c r="L89" s="14"/>
      <c r="M89" s="10"/>
      <c r="N89" s="10"/>
      <c r="O89" s="10"/>
      <c r="P89" s="10"/>
      <c r="Q89" s="10"/>
    </row>
    <row r="90" spans="4:17" ht="13" thickBot="1">
      <c r="D90">
        <v>39</v>
      </c>
      <c r="E90" s="10"/>
      <c r="F90" s="11"/>
      <c r="G90" s="10"/>
      <c r="H90" s="14"/>
      <c r="I90" s="10"/>
      <c r="J90" s="13"/>
      <c r="K90" s="10"/>
      <c r="L90" s="14"/>
      <c r="M90" s="10"/>
      <c r="N90" s="10"/>
      <c r="O90" s="10"/>
      <c r="P90" s="10"/>
      <c r="Q90" s="10"/>
    </row>
    <row r="91" spans="4:17" ht="13" thickBot="1">
      <c r="E91" s="12"/>
      <c r="F91" s="13" t="s">
        <v>221</v>
      </c>
      <c r="G91" s="9" t="str">
        <f>IF(OR(F90="",F92=""),"",+IF(F90&gt;F92,E90,E92))</f>
        <v/>
      </c>
      <c r="H91" s="16"/>
      <c r="I91" s="10"/>
      <c r="J91" s="14"/>
      <c r="K91" s="10"/>
      <c r="L91" s="14"/>
      <c r="M91" s="10"/>
      <c r="N91" s="10"/>
      <c r="O91" s="10"/>
      <c r="P91" s="10"/>
      <c r="Q91" s="10"/>
    </row>
    <row r="92" spans="4:17" ht="13" thickBot="1">
      <c r="D92">
        <v>40</v>
      </c>
      <c r="E92" s="10"/>
      <c r="F92" s="16"/>
      <c r="G92" s="10"/>
      <c r="H92" s="10"/>
      <c r="I92" s="10"/>
      <c r="J92" s="14"/>
      <c r="K92" s="10"/>
      <c r="L92" s="14"/>
      <c r="M92" s="10"/>
      <c r="N92" s="10"/>
      <c r="O92" s="10"/>
      <c r="P92" s="10"/>
      <c r="Q92" s="10"/>
    </row>
    <row r="93" spans="4:17" ht="13" thickBot="1">
      <c r="E93" s="12"/>
      <c r="F93" s="10"/>
      <c r="G93" s="10"/>
      <c r="H93" s="10"/>
      <c r="I93" s="10"/>
      <c r="J93" s="14" t="s">
        <v>220</v>
      </c>
      <c r="K93" s="9" t="str">
        <f>IF(OR(J89="",J97=""),"",+IF(J89&gt;J97,I89,I97))</f>
        <v/>
      </c>
      <c r="L93" s="16"/>
      <c r="M93" s="10"/>
      <c r="N93" s="10"/>
      <c r="O93" s="10"/>
      <c r="P93" s="10"/>
      <c r="Q93" s="10"/>
    </row>
    <row r="94" spans="4:17" ht="13" thickBot="1">
      <c r="D94">
        <v>41</v>
      </c>
      <c r="E94" s="10"/>
      <c r="F94" s="11"/>
      <c r="G94" s="10"/>
      <c r="H94" s="10"/>
      <c r="I94" s="10"/>
      <c r="J94" s="14"/>
      <c r="K94" s="10"/>
      <c r="L94" s="10"/>
      <c r="M94" s="10"/>
      <c r="N94" s="10"/>
      <c r="O94" s="10"/>
      <c r="P94" s="10"/>
      <c r="Q94" s="10"/>
    </row>
    <row r="95" spans="4:17" ht="13" thickBot="1">
      <c r="E95" s="12"/>
      <c r="F95" s="13" t="s">
        <v>223</v>
      </c>
      <c r="G95" s="9" t="str">
        <f>IF(OR(F94="",F96=""),"",+IF(F94&gt;F96,E94,E96))</f>
        <v/>
      </c>
      <c r="H95" s="11"/>
      <c r="I95" s="10"/>
      <c r="J95" s="14"/>
      <c r="K95" s="10"/>
      <c r="L95" s="10"/>
      <c r="M95" s="10"/>
      <c r="N95" s="10"/>
      <c r="O95" s="10"/>
      <c r="P95" s="10"/>
      <c r="Q95" s="10"/>
    </row>
    <row r="96" spans="4:17" ht="13" thickBot="1">
      <c r="D96">
        <v>42</v>
      </c>
      <c r="E96" s="9"/>
      <c r="F96" s="16"/>
      <c r="G96" s="10"/>
      <c r="H96" s="13"/>
      <c r="I96" s="10"/>
      <c r="J96" s="14"/>
      <c r="K96" s="10"/>
      <c r="L96" s="10"/>
      <c r="M96" s="10"/>
      <c r="N96" s="10"/>
      <c r="O96" s="10"/>
      <c r="P96" s="10"/>
      <c r="Q96" s="10"/>
    </row>
    <row r="97" spans="4:17" ht="13" thickBot="1">
      <c r="E97" s="10"/>
      <c r="F97" s="10"/>
      <c r="G97" s="10"/>
      <c r="H97" s="14" t="s">
        <v>256</v>
      </c>
      <c r="I97" s="9" t="str">
        <f>IF(OR(H95="",H98=""),"",+IF(H95&gt;H98,G95,E98))</f>
        <v/>
      </c>
      <c r="J97" s="16"/>
      <c r="K97" s="10"/>
      <c r="L97" s="10"/>
      <c r="M97" s="10"/>
      <c r="N97" s="10"/>
      <c r="O97" s="10"/>
      <c r="P97" s="10"/>
      <c r="Q97" s="10"/>
    </row>
    <row r="98" spans="4:17" ht="13" thickBot="1">
      <c r="D98">
        <v>43</v>
      </c>
      <c r="E98" s="9"/>
      <c r="F98" s="9"/>
      <c r="G98" s="9">
        <f>E98</f>
        <v>0</v>
      </c>
      <c r="H98" s="16"/>
      <c r="I98" s="10"/>
      <c r="J98" s="10"/>
      <c r="K98" s="10"/>
      <c r="L98" s="10"/>
      <c r="M98" s="10"/>
      <c r="N98" s="10"/>
      <c r="O98" s="10"/>
      <c r="P98" s="10"/>
      <c r="Q98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40"/>
  <dimension ref="D4:AG95"/>
  <sheetViews>
    <sheetView showGridLines="0" zoomScale="50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4" customWidth="1"/>
    <col min="16" max="16" width="3.64453125" customWidth="1"/>
    <col min="17" max="17" width="14.87890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E22</f>
        <v>0</v>
      </c>
      <c r="V6" t="s">
        <v>77</v>
      </c>
      <c r="W6" s="29">
        <f>E24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E31</f>
        <v>0</v>
      </c>
      <c r="V7" t="s">
        <v>77</v>
      </c>
      <c r="W7" s="29">
        <f>E33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E42</f>
        <v>0</v>
      </c>
      <c r="V8" t="s">
        <v>77</v>
      </c>
      <c r="W8" s="29">
        <f>E44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223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E46</f>
        <v>0</v>
      </c>
      <c r="V9" t="s">
        <v>77</v>
      </c>
      <c r="W9" s="29">
        <f>E48</f>
        <v>0</v>
      </c>
      <c r="Z9" s="34"/>
      <c r="AA9" s="40"/>
      <c r="AB9" s="40"/>
      <c r="AC9" s="38" t="s">
        <v>159</v>
      </c>
      <c r="AD9" s="48"/>
      <c r="AE9" s="53" t="e">
        <f>LOOKUP(AD9,T$5:T$78,U$5:U$48)</f>
        <v>#N/A</v>
      </c>
      <c r="AF9" s="37" t="s">
        <v>157</v>
      </c>
      <c r="AG9" s="65" t="e">
        <f>LOOKUP(AD9,T$5:T$78,W$5:W$47)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E55</f>
        <v>0</v>
      </c>
      <c r="V10" t="s">
        <v>77</v>
      </c>
      <c r="W10" s="29">
        <f>E57</f>
        <v>0</v>
      </c>
      <c r="Z10" s="34"/>
      <c r="AA10" s="40"/>
      <c r="AB10" s="40"/>
      <c r="AC10" s="38" t="s">
        <v>159</v>
      </c>
      <c r="AD10" s="48"/>
      <c r="AE10" s="53" t="e">
        <f>LOOKUP(AD10,T$5:T$78,U$5:U$48)</f>
        <v>#N/A</v>
      </c>
      <c r="AF10" s="37" t="s">
        <v>157</v>
      </c>
      <c r="AG10" s="65" t="e">
        <f>LOOKUP(AD10,T$5:T$78,W$5:W$47)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E67</f>
        <v>0</v>
      </c>
      <c r="V11" t="s">
        <v>77</v>
      </c>
      <c r="W11" s="29">
        <f>E69</f>
        <v>0</v>
      </c>
      <c r="Z11" s="34"/>
      <c r="AA11" s="40"/>
      <c r="AB11" s="40"/>
      <c r="AC11" s="38" t="s">
        <v>159</v>
      </c>
      <c r="AD11" s="48"/>
      <c r="AE11" s="53" t="e">
        <f>LOOKUP(AD11,T$5:T$78,U$5:U$48)</f>
        <v>#N/A</v>
      </c>
      <c r="AF11" s="37" t="s">
        <v>157</v>
      </c>
      <c r="AG11" s="65" t="e">
        <f>LOOKUP(AD11,T$5:T$78,W$5:W$47)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256</v>
      </c>
      <c r="K12" s="9" t="str">
        <f>IF(OR(J9="",J15=""),"",+IF(J9&gt;J15,I9,I15))</f>
        <v/>
      </c>
      <c r="L12" s="11"/>
      <c r="M12" s="10"/>
      <c r="N12" s="10"/>
      <c r="O12" s="10"/>
      <c r="P12" s="10"/>
      <c r="Q12" s="10"/>
      <c r="T12">
        <v>8</v>
      </c>
      <c r="U12" s="28">
        <f>E76</f>
        <v>0</v>
      </c>
      <c r="V12" t="s">
        <v>77</v>
      </c>
      <c r="W12" s="29">
        <f>E78</f>
        <v>0</v>
      </c>
      <c r="Z12" s="34"/>
      <c r="AA12" s="40"/>
      <c r="AB12" s="40"/>
      <c r="AC12" s="38" t="s">
        <v>159</v>
      </c>
      <c r="AD12" s="48"/>
      <c r="AE12" s="53" t="e">
        <f>LOOKUP(AD12,T$5:T$78,U$5:U$48)</f>
        <v>#N/A</v>
      </c>
      <c r="AF12" s="37" t="s">
        <v>157</v>
      </c>
      <c r="AG12" s="65" t="e">
        <f>LOOKUP(AD12,T$5:T$78,W$5:W$47)</f>
        <v>#N/A</v>
      </c>
    </row>
    <row r="13" spans="4:33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P13" s="10"/>
      <c r="Q13" s="10"/>
      <c r="T13">
        <v>9</v>
      </c>
      <c r="U13" s="28">
        <f>E87</f>
        <v>0</v>
      </c>
      <c r="V13" t="s">
        <v>77</v>
      </c>
      <c r="W13" s="29">
        <f>E89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P14" s="10"/>
      <c r="Q14" s="10"/>
      <c r="T14">
        <v>10</v>
      </c>
      <c r="U14" s="28">
        <f>E91</f>
        <v>0</v>
      </c>
      <c r="V14" t="s">
        <v>77</v>
      </c>
      <c r="W14" s="29">
        <f>E93</f>
        <v>0</v>
      </c>
      <c r="Z14" s="34"/>
      <c r="AA14" s="40"/>
      <c r="AB14" s="40"/>
      <c r="AC14" s="38" t="s">
        <v>159</v>
      </c>
      <c r="AD14" s="48"/>
      <c r="AE14" s="53" t="e">
        <f>LOOKUP(AD14,T$5:T$78,U$5:U$48)</f>
        <v>#N/A</v>
      </c>
      <c r="AF14" s="37" t="s">
        <v>157</v>
      </c>
      <c r="AG14" s="65" t="e">
        <f>LOOKUP(AD14,T$5:T$78,W$5:W$47)</f>
        <v>#N/A</v>
      </c>
    </row>
    <row r="15" spans="4:33" ht="13" thickBot="1">
      <c r="E15" s="10"/>
      <c r="F15" s="10"/>
      <c r="G15" s="10"/>
      <c r="H15" s="13" t="s">
        <v>225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P15" s="10"/>
      <c r="Q15" s="10"/>
      <c r="T15">
        <v>11</v>
      </c>
      <c r="U15" s="28">
        <f>E7</f>
        <v>0</v>
      </c>
      <c r="V15" t="s">
        <v>77</v>
      </c>
      <c r="W15" s="29" t="s">
        <v>78</v>
      </c>
      <c r="Z15" s="34"/>
      <c r="AA15" s="40"/>
      <c r="AB15" s="40"/>
      <c r="AC15" s="38" t="s">
        <v>159</v>
      </c>
      <c r="AD15" s="48"/>
      <c r="AE15" s="53" t="e">
        <f>LOOKUP(AD15,T$5:T$78,U$5:U$48)</f>
        <v>#N/A</v>
      </c>
      <c r="AF15" s="37" t="s">
        <v>157</v>
      </c>
      <c r="AG15" s="65" t="e">
        <f>LOOKUP(AD15,T$5:T$78,W$5:W$47)</f>
        <v>#N/A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P16" s="10"/>
      <c r="Q16" s="10"/>
      <c r="T16">
        <v>12</v>
      </c>
      <c r="U16" s="28">
        <f>E14</f>
        <v>0</v>
      </c>
      <c r="V16" t="s">
        <v>77</v>
      </c>
      <c r="W16" s="29">
        <f>E16</f>
        <v>0</v>
      </c>
      <c r="Z16" s="34"/>
      <c r="AA16" s="40"/>
      <c r="AB16" s="40"/>
      <c r="AC16" s="38" t="s">
        <v>159</v>
      </c>
      <c r="AD16" s="48"/>
      <c r="AE16" s="53" t="e">
        <f>LOOKUP(AD16,T$5:T$78,U$5:U$48)</f>
        <v>#N/A</v>
      </c>
      <c r="AF16" s="37" t="s">
        <v>157</v>
      </c>
      <c r="AG16" s="65" t="e">
        <f>LOOKUP(AD16,T$5:T$78,W$5:W$47)</f>
        <v>#N/A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220</v>
      </c>
      <c r="M17" s="9" t="str">
        <f>IF(OR(L12="",L22=""),"",+IF(L12&gt;L22,K12,K22))</f>
        <v/>
      </c>
      <c r="N17" s="11"/>
      <c r="O17" s="10"/>
      <c r="P17" s="10"/>
      <c r="Q17" s="10"/>
      <c r="T17">
        <v>13</v>
      </c>
      <c r="U17" s="28">
        <f>E18</f>
        <v>0</v>
      </c>
      <c r="V17" t="s">
        <v>77</v>
      </c>
      <c r="W17" s="29">
        <f>E20</f>
        <v>0</v>
      </c>
      <c r="Z17" s="34"/>
      <c r="AA17" s="40"/>
      <c r="AB17" s="40"/>
      <c r="AC17" s="38" t="s">
        <v>159</v>
      </c>
      <c r="AD17" s="48"/>
      <c r="AE17" s="53" t="e">
        <f>LOOKUP(AD17,T$5:T$78,U$5:U$48)</f>
        <v>#N/A</v>
      </c>
      <c r="AF17" s="37" t="s">
        <v>157</v>
      </c>
      <c r="AG17" s="65" t="e">
        <f>LOOKUP(AD17,T$5:T$78,W$5:W$47)</f>
        <v>#N/A</v>
      </c>
    </row>
    <row r="18" spans="4:33" ht="13" thickBot="1">
      <c r="D18">
        <v>6</v>
      </c>
      <c r="E18" s="9"/>
      <c r="F18" s="9"/>
      <c r="G18" s="9">
        <f>E18</f>
        <v>0</v>
      </c>
      <c r="H18" s="11"/>
      <c r="I18" s="10"/>
      <c r="J18" s="10"/>
      <c r="K18" s="10"/>
      <c r="L18" s="14"/>
      <c r="M18" s="10"/>
      <c r="N18" s="13"/>
      <c r="O18" s="10"/>
      <c r="P18" s="10"/>
      <c r="Q18" s="10"/>
      <c r="T18">
        <v>14</v>
      </c>
      <c r="U18" s="28" t="s">
        <v>160</v>
      </c>
      <c r="V18" t="s">
        <v>77</v>
      </c>
      <c r="W18" s="29">
        <f>E26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/>
      <c r="F19" s="10"/>
      <c r="G19" s="10"/>
      <c r="H19" s="13" t="s">
        <v>227</v>
      </c>
      <c r="I19" s="9" t="str">
        <f>IF(OR(H18="",H20=""),"",+IF(H18&gt;H20,E18,E20))</f>
        <v/>
      </c>
      <c r="J19" s="17"/>
      <c r="K19" s="10"/>
      <c r="L19" s="14"/>
      <c r="M19" s="10"/>
      <c r="N19" s="14"/>
      <c r="O19" s="10"/>
      <c r="P19" s="10"/>
      <c r="Q19" s="10"/>
      <c r="T19">
        <v>15</v>
      </c>
      <c r="U19" s="28">
        <f>E28</f>
        <v>0</v>
      </c>
      <c r="V19" t="s">
        <v>77</v>
      </c>
      <c r="W19" s="29" t="s">
        <v>161</v>
      </c>
      <c r="Z19" s="34"/>
      <c r="AA19" s="40"/>
      <c r="AB19" s="40"/>
      <c r="AC19" s="38" t="s">
        <v>159</v>
      </c>
      <c r="AD19" s="48"/>
      <c r="AE19" s="53" t="e">
        <f>LOOKUP(AD19,T$5:T$78,U$5:U$48)</f>
        <v>#N/A</v>
      </c>
      <c r="AF19" s="37" t="s">
        <v>157</v>
      </c>
      <c r="AG19" s="65" t="e">
        <f>LOOKUP(AD19,T$5:T$78,W$5:W$47)</f>
        <v>#N/A</v>
      </c>
    </row>
    <row r="20" spans="4:33" ht="13" thickBot="1">
      <c r="D20">
        <v>7</v>
      </c>
      <c r="E20" s="9"/>
      <c r="F20" s="9"/>
      <c r="G20" s="9">
        <f>E20</f>
        <v>0</v>
      </c>
      <c r="H20" s="16"/>
      <c r="I20" s="10"/>
      <c r="J20" s="13"/>
      <c r="K20" s="10"/>
      <c r="L20" s="14"/>
      <c r="M20" s="10"/>
      <c r="N20" s="14"/>
      <c r="O20" s="10"/>
      <c r="P20" s="10"/>
      <c r="Q20" s="10"/>
      <c r="T20">
        <v>16</v>
      </c>
      <c r="U20" s="28">
        <f>E35</f>
        <v>0</v>
      </c>
      <c r="V20" t="s">
        <v>77</v>
      </c>
      <c r="W20" s="29">
        <f>E37</f>
        <v>0</v>
      </c>
      <c r="Z20" s="34"/>
      <c r="AA20" s="40"/>
      <c r="AB20" s="40"/>
      <c r="AC20" s="38" t="s">
        <v>159</v>
      </c>
      <c r="AD20" s="48"/>
      <c r="AE20" s="53" t="e">
        <f>LOOKUP(AD20,T$5:T$78,U$5:U$48)</f>
        <v>#N/A</v>
      </c>
      <c r="AF20" s="37" t="s">
        <v>157</v>
      </c>
      <c r="AG20" s="65" t="e">
        <f>LOOKUP(AD20,T$5:T$78,W$5:W$47)</f>
        <v>#N/A</v>
      </c>
    </row>
    <row r="21" spans="4:33">
      <c r="E21" s="10"/>
      <c r="F21" s="10"/>
      <c r="G21" s="10"/>
      <c r="H21" s="10"/>
      <c r="I21" s="10"/>
      <c r="J21" s="14"/>
      <c r="K21" s="10"/>
      <c r="L21" s="14"/>
      <c r="M21" s="10"/>
      <c r="N21" s="14"/>
      <c r="O21" s="10"/>
      <c r="P21" s="10"/>
      <c r="Q21" s="10"/>
      <c r="T21">
        <v>17</v>
      </c>
      <c r="U21" s="28">
        <f>E39</f>
        <v>0</v>
      </c>
      <c r="V21" t="s">
        <v>77</v>
      </c>
      <c r="W21" s="29" t="s">
        <v>81</v>
      </c>
      <c r="Z21" s="34"/>
      <c r="AA21" s="40"/>
      <c r="AB21" s="40"/>
      <c r="AC21" s="38" t="s">
        <v>159</v>
      </c>
      <c r="AD21" s="48"/>
      <c r="AE21" s="53" t="e">
        <f>LOOKUP(AD21,T$5:T$78,U$5:U$48)</f>
        <v>#N/A</v>
      </c>
      <c r="AF21" s="37" t="s">
        <v>157</v>
      </c>
      <c r="AG21" s="65" t="e">
        <f>LOOKUP(AD21,T$5:T$78,W$5:W$47)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4" t="s">
        <v>258</v>
      </c>
      <c r="K22" s="18" t="str">
        <f>IF(OR(I19="",I24=""),"",+IF(J19&gt;J24,I19,I24))</f>
        <v/>
      </c>
      <c r="L22" s="16"/>
      <c r="M22" s="10"/>
      <c r="N22" s="14"/>
      <c r="O22" s="10"/>
      <c r="P22" s="10"/>
      <c r="Q22" s="10"/>
      <c r="T22">
        <v>18</v>
      </c>
      <c r="U22" s="28" t="s">
        <v>162</v>
      </c>
      <c r="V22" t="s">
        <v>77</v>
      </c>
      <c r="W22" s="29">
        <f>E50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204</v>
      </c>
      <c r="G23" s="9" t="str">
        <f>IF(OR(F22="",F24=""),"",+IF(F22&gt;F24,E22,E24))</f>
        <v/>
      </c>
      <c r="H23" s="17"/>
      <c r="I23" s="10"/>
      <c r="J23" s="14"/>
      <c r="K23" s="10"/>
      <c r="L23" s="10"/>
      <c r="M23" s="10"/>
      <c r="N23" s="14"/>
      <c r="O23" s="10"/>
      <c r="P23" s="10"/>
      <c r="Q23" s="10"/>
      <c r="T23">
        <v>19</v>
      </c>
      <c r="U23" s="28">
        <f>E52</f>
        <v>0</v>
      </c>
      <c r="V23" t="s">
        <v>77</v>
      </c>
      <c r="W23" s="29" t="s">
        <v>264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/>
      <c r="F24" s="16"/>
      <c r="G24" s="10"/>
      <c r="H24" s="13" t="s">
        <v>229</v>
      </c>
      <c r="I24" s="9" t="str">
        <f>IF(OR(H23="",H26=""),"",+IF(H23&gt;H26,G23,G26))</f>
        <v/>
      </c>
      <c r="J24" s="16"/>
      <c r="K24" s="10"/>
      <c r="L24" s="10"/>
      <c r="M24" s="10"/>
      <c r="N24" s="14"/>
      <c r="O24" s="10"/>
      <c r="P24" s="10"/>
      <c r="Q24" s="10"/>
      <c r="T24">
        <v>20</v>
      </c>
      <c r="U24" s="28">
        <f>E59</f>
        <v>0</v>
      </c>
      <c r="V24" t="s">
        <v>77</v>
      </c>
      <c r="W24" s="29">
        <f>E61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>
      <c r="E25" s="10"/>
      <c r="F25" s="10"/>
      <c r="G25" s="10"/>
      <c r="H25" s="14"/>
      <c r="I25" s="10"/>
      <c r="J25" s="10"/>
      <c r="K25" s="10"/>
      <c r="L25" s="10"/>
      <c r="M25" s="10"/>
      <c r="N25" s="14"/>
      <c r="O25" s="10"/>
      <c r="P25" s="10"/>
      <c r="Q25" s="10"/>
      <c r="T25">
        <v>21</v>
      </c>
      <c r="U25" s="28">
        <f>E63</f>
        <v>0</v>
      </c>
      <c r="V25" t="s">
        <v>77</v>
      </c>
      <c r="W25" s="29">
        <f>E65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/>
      <c r="F26" s="9"/>
      <c r="G26" s="9">
        <f>E26</f>
        <v>0</v>
      </c>
      <c r="H26" s="16"/>
      <c r="I26" s="10"/>
      <c r="J26" s="10"/>
      <c r="K26" s="10"/>
      <c r="L26" s="10"/>
      <c r="M26" s="10"/>
      <c r="N26" s="14"/>
      <c r="O26" s="10"/>
      <c r="P26" s="10"/>
      <c r="Q26" s="10"/>
      <c r="T26">
        <v>22</v>
      </c>
      <c r="U26" s="28" t="s">
        <v>84</v>
      </c>
      <c r="V26" t="s">
        <v>77</v>
      </c>
      <c r="W26" s="29">
        <f>E71</f>
        <v>0</v>
      </c>
      <c r="Z26" s="34"/>
      <c r="AA26" s="40"/>
      <c r="AB26" s="40"/>
      <c r="AC26" s="38" t="s">
        <v>159</v>
      </c>
      <c r="AD26" s="48"/>
      <c r="AE26" s="53" t="e">
        <f t="shared" ref="AE26:AE39" si="0">LOOKUP(AD26,T$5:T$78,U$5:U$48)</f>
        <v>#N/A</v>
      </c>
      <c r="AF26" s="37" t="s">
        <v>157</v>
      </c>
      <c r="AG26" s="65" t="e">
        <f t="shared" ref="AG26:AG39" si="1">LOOKUP(AD26,T$5:T$78,W$5:W$47)</f>
        <v>#N/A</v>
      </c>
    </row>
    <row r="27" spans="4:33" ht="13" thickBot="1">
      <c r="E27" s="10"/>
      <c r="F27" s="10"/>
      <c r="G27" s="10"/>
      <c r="H27" s="10"/>
      <c r="I27" s="10"/>
      <c r="J27" s="10"/>
      <c r="K27" s="10"/>
      <c r="L27" s="10"/>
      <c r="M27" s="10"/>
      <c r="N27" s="14" t="s">
        <v>235</v>
      </c>
      <c r="O27" s="9" t="str">
        <f>IF(OR(N17="",N39=""),"",+IF(N17&gt;N39,M17,M39))</f>
        <v/>
      </c>
      <c r="P27" s="17"/>
      <c r="Q27" s="10"/>
      <c r="T27">
        <v>23</v>
      </c>
      <c r="U27" s="28">
        <f>E73</f>
        <v>0</v>
      </c>
      <c r="V27" t="s">
        <v>77</v>
      </c>
      <c r="W27" s="29" t="s">
        <v>164</v>
      </c>
      <c r="Z27" s="34"/>
      <c r="AA27" s="40"/>
      <c r="AB27" s="40"/>
      <c r="AC27" s="38" t="s">
        <v>159</v>
      </c>
      <c r="AD27" s="48"/>
      <c r="AE27" s="53" t="e">
        <f t="shared" si="0"/>
        <v>#N/A</v>
      </c>
      <c r="AF27" s="37" t="s">
        <v>157</v>
      </c>
      <c r="AG27" s="65" t="e">
        <f t="shared" si="1"/>
        <v>#N/A</v>
      </c>
    </row>
    <row r="28" spans="4:33" ht="13" thickBot="1">
      <c r="D28">
        <v>11</v>
      </c>
      <c r="E28" s="10"/>
      <c r="F28" s="9"/>
      <c r="G28" s="9">
        <f>E28</f>
        <v>0</v>
      </c>
      <c r="H28" s="11"/>
      <c r="I28" s="10"/>
      <c r="J28" s="10"/>
      <c r="K28" s="10"/>
      <c r="L28" s="10"/>
      <c r="M28" s="10"/>
      <c r="N28" s="14"/>
      <c r="O28" s="10"/>
      <c r="P28" s="14"/>
      <c r="Q28" s="10"/>
      <c r="T28">
        <v>24</v>
      </c>
      <c r="U28" s="28">
        <f>E80</f>
        <v>0</v>
      </c>
      <c r="V28" t="s">
        <v>77</v>
      </c>
      <c r="W28" s="29">
        <f>E82</f>
        <v>0</v>
      </c>
      <c r="Z28" s="34"/>
      <c r="AA28" s="40"/>
      <c r="AB28" s="40"/>
      <c r="AC28" s="38" t="s">
        <v>159</v>
      </c>
      <c r="AD28" s="48"/>
      <c r="AE28" s="53" t="e">
        <f t="shared" si="0"/>
        <v>#N/A</v>
      </c>
      <c r="AF28" s="37" t="s">
        <v>157</v>
      </c>
      <c r="AG28" s="65" t="e">
        <f t="shared" si="1"/>
        <v>#N/A</v>
      </c>
    </row>
    <row r="29" spans="4:33">
      <c r="E29" s="12"/>
      <c r="F29" s="10"/>
      <c r="G29" s="10"/>
      <c r="H29" s="13"/>
      <c r="I29" s="10"/>
      <c r="J29" s="10"/>
      <c r="K29" s="10"/>
      <c r="L29" s="10"/>
      <c r="M29" s="10"/>
      <c r="N29" s="14"/>
      <c r="O29" s="10"/>
      <c r="P29" s="14"/>
      <c r="Q29" s="10"/>
      <c r="T29">
        <v>25</v>
      </c>
      <c r="U29" s="28">
        <f>E84</f>
        <v>0</v>
      </c>
      <c r="V29" t="s">
        <v>77</v>
      </c>
      <c r="W29" s="29" t="s">
        <v>86</v>
      </c>
      <c r="Z29" s="34"/>
      <c r="AA29" s="40"/>
      <c r="AB29" s="40"/>
      <c r="AC29" s="38" t="s">
        <v>159</v>
      </c>
      <c r="AD29" s="48"/>
      <c r="AE29" s="53" t="e">
        <f t="shared" si="0"/>
        <v>#N/A</v>
      </c>
      <c r="AF29" s="37" t="s">
        <v>157</v>
      </c>
      <c r="AG29" s="65" t="e">
        <f t="shared" si="1"/>
        <v>#N/A</v>
      </c>
    </row>
    <row r="30" spans="4:33" ht="13" thickBot="1">
      <c r="E30" s="10"/>
      <c r="F30" s="10"/>
      <c r="G30" s="10"/>
      <c r="H30" s="14" t="s">
        <v>232</v>
      </c>
      <c r="I30" s="9" t="str">
        <f>IF(OR(H28="",H32=""),"",+IF(H28&gt;H32,G28,G32))</f>
        <v/>
      </c>
      <c r="J30" s="11"/>
      <c r="K30" s="10"/>
      <c r="L30" s="10"/>
      <c r="M30" s="10"/>
      <c r="N30" s="14"/>
      <c r="O30" s="10"/>
      <c r="P30" s="14"/>
      <c r="Q30" s="10"/>
      <c r="T30">
        <v>26</v>
      </c>
      <c r="U30" s="28" t="s">
        <v>87</v>
      </c>
      <c r="V30" t="s">
        <v>77</v>
      </c>
      <c r="W30" s="29">
        <f>E95</f>
        <v>0</v>
      </c>
      <c r="Z30" s="34"/>
      <c r="AA30" s="41"/>
      <c r="AB30" s="33"/>
      <c r="AC30" s="33"/>
      <c r="AD30" s="50"/>
      <c r="AE30" s="54" t="e">
        <f t="shared" si="0"/>
        <v>#N/A</v>
      </c>
      <c r="AF30" s="33"/>
      <c r="AG30" s="58" t="e">
        <f t="shared" si="1"/>
        <v>#N/A</v>
      </c>
    </row>
    <row r="31" spans="4:33" ht="13" thickBot="1">
      <c r="D31">
        <v>12</v>
      </c>
      <c r="E31" s="10"/>
      <c r="F31" s="11"/>
      <c r="G31" s="10"/>
      <c r="H31" s="14"/>
      <c r="I31" s="10"/>
      <c r="J31" s="13"/>
      <c r="K31" s="10"/>
      <c r="L31" s="10"/>
      <c r="M31" s="10"/>
      <c r="N31" s="14"/>
      <c r="O31" s="10"/>
      <c r="P31" s="14"/>
      <c r="Q31" s="10"/>
      <c r="T31">
        <v>27</v>
      </c>
      <c r="U31" s="29" t="s">
        <v>88</v>
      </c>
      <c r="V31" t="s">
        <v>77</v>
      </c>
      <c r="W31" s="28" t="s">
        <v>89</v>
      </c>
      <c r="Z31" s="34"/>
      <c r="AA31" s="40"/>
      <c r="AB31" s="40"/>
      <c r="AC31" s="38" t="s">
        <v>159</v>
      </c>
      <c r="AD31" s="48"/>
      <c r="AE31" s="53" t="e">
        <f t="shared" si="0"/>
        <v>#N/A</v>
      </c>
      <c r="AF31" s="37" t="s">
        <v>157</v>
      </c>
      <c r="AG31" s="65" t="e">
        <f t="shared" si="1"/>
        <v>#N/A</v>
      </c>
    </row>
    <row r="32" spans="4:33" ht="13" thickBot="1">
      <c r="E32" s="12"/>
      <c r="F32" s="13" t="s">
        <v>206</v>
      </c>
      <c r="G32" s="9" t="str">
        <f>IF(OR(F31="",F33=""),"",+IF(F31&gt;F33,E31,E33))</f>
        <v/>
      </c>
      <c r="H32" s="16"/>
      <c r="I32" s="10"/>
      <c r="J32" s="14"/>
      <c r="K32" s="10"/>
      <c r="L32" s="10"/>
      <c r="M32" s="10"/>
      <c r="N32" s="14"/>
      <c r="O32" s="10"/>
      <c r="P32" s="14"/>
      <c r="Q32" s="10"/>
      <c r="T32">
        <v>28</v>
      </c>
      <c r="U32" s="29" t="s">
        <v>90</v>
      </c>
      <c r="V32" t="s">
        <v>77</v>
      </c>
      <c r="W32" s="28" t="s">
        <v>91</v>
      </c>
      <c r="Z32" s="34"/>
      <c r="AA32" s="40"/>
      <c r="AB32" s="40"/>
      <c r="AC32" s="38" t="s">
        <v>159</v>
      </c>
      <c r="AD32" s="48"/>
      <c r="AE32" s="53" t="e">
        <f t="shared" si="0"/>
        <v>#N/A</v>
      </c>
      <c r="AF32" s="37" t="s">
        <v>157</v>
      </c>
      <c r="AG32" s="65" t="e">
        <f t="shared" si="1"/>
        <v>#N/A</v>
      </c>
    </row>
    <row r="33" spans="4:33" ht="13" thickBot="1">
      <c r="D33">
        <v>13</v>
      </c>
      <c r="E33" s="10"/>
      <c r="F33" s="16"/>
      <c r="G33" s="10"/>
      <c r="H33" s="10"/>
      <c r="I33" s="10"/>
      <c r="J33" s="14" t="s">
        <v>260</v>
      </c>
      <c r="K33" s="9" t="str">
        <f>IF(OR(J30="",J36=""),"",+IF(J30&gt;J36,I30,I36))</f>
        <v/>
      </c>
      <c r="L33" s="11"/>
      <c r="M33" s="10"/>
      <c r="N33" s="14"/>
      <c r="O33" s="10"/>
      <c r="P33" s="14"/>
      <c r="Q33" s="10"/>
      <c r="T33">
        <v>29</v>
      </c>
      <c r="U33" s="29" t="s">
        <v>92</v>
      </c>
      <c r="V33" t="s">
        <v>77</v>
      </c>
      <c r="W33" s="28" t="s">
        <v>165</v>
      </c>
      <c r="Z33" s="34"/>
      <c r="AA33" s="40"/>
      <c r="AB33" s="40"/>
      <c r="AC33" s="38" t="s">
        <v>159</v>
      </c>
      <c r="AD33" s="48"/>
      <c r="AE33" s="53" t="e">
        <f t="shared" si="0"/>
        <v>#N/A</v>
      </c>
      <c r="AF33" s="37" t="s">
        <v>157</v>
      </c>
      <c r="AG33" s="65" t="e">
        <f t="shared" si="1"/>
        <v>#N/A</v>
      </c>
    </row>
    <row r="34" spans="4:33">
      <c r="E34" s="12"/>
      <c r="F34" s="10"/>
      <c r="G34" s="10"/>
      <c r="H34" s="10"/>
      <c r="I34" s="10"/>
      <c r="J34" s="14"/>
      <c r="K34" s="10"/>
      <c r="L34" s="13"/>
      <c r="M34" s="10"/>
      <c r="N34" s="14"/>
      <c r="O34" s="10"/>
      <c r="P34" s="14"/>
      <c r="Q34" s="10"/>
      <c r="T34">
        <v>30</v>
      </c>
      <c r="U34" s="29" t="s">
        <v>94</v>
      </c>
      <c r="V34" t="s">
        <v>77</v>
      </c>
      <c r="W34" s="28" t="s">
        <v>95</v>
      </c>
      <c r="Z34" s="34"/>
      <c r="AA34" s="40"/>
      <c r="AB34" s="40"/>
      <c r="AC34" s="38" t="s">
        <v>159</v>
      </c>
      <c r="AD34" s="48"/>
      <c r="AE34" s="53" t="e">
        <f t="shared" si="0"/>
        <v>#N/A</v>
      </c>
      <c r="AF34" s="37" t="s">
        <v>157</v>
      </c>
      <c r="AG34" s="65" t="e">
        <f t="shared" si="1"/>
        <v>#N/A</v>
      </c>
    </row>
    <row r="35" spans="4:33" ht="13" thickBot="1">
      <c r="D35">
        <v>14</v>
      </c>
      <c r="E35" s="9"/>
      <c r="F35" s="9"/>
      <c r="G35" s="9">
        <f>E35</f>
        <v>0</v>
      </c>
      <c r="H35" s="11"/>
      <c r="I35" s="10"/>
      <c r="J35" s="14"/>
      <c r="K35" s="10"/>
      <c r="L35" s="14"/>
      <c r="M35" s="10"/>
      <c r="N35" s="14"/>
      <c r="O35" s="10"/>
      <c r="P35" s="14"/>
      <c r="Q35" s="10"/>
      <c r="T35">
        <v>31</v>
      </c>
      <c r="U35" s="29" t="s">
        <v>96</v>
      </c>
      <c r="V35" t="s">
        <v>77</v>
      </c>
      <c r="W35" s="28" t="s">
        <v>97</v>
      </c>
      <c r="Z35" s="34"/>
      <c r="AA35" s="41"/>
      <c r="AB35" s="33"/>
      <c r="AC35" s="33"/>
      <c r="AD35" s="50"/>
      <c r="AE35" s="54" t="e">
        <f t="shared" si="0"/>
        <v>#N/A</v>
      </c>
      <c r="AF35" s="33"/>
      <c r="AG35" s="58" t="e">
        <f t="shared" si="1"/>
        <v>#N/A</v>
      </c>
    </row>
    <row r="36" spans="4:33" ht="13" thickBot="1">
      <c r="E36" s="10"/>
      <c r="F36" s="10"/>
      <c r="G36" s="10"/>
      <c r="H36" s="13" t="s">
        <v>234</v>
      </c>
      <c r="I36" s="9" t="str">
        <f>IF(OR(H35="",H37=""),"",+IF(H35&gt;H37,E35,E37))</f>
        <v/>
      </c>
      <c r="J36" s="16"/>
      <c r="K36" s="10"/>
      <c r="L36" s="14"/>
      <c r="M36" s="10"/>
      <c r="N36" s="14"/>
      <c r="O36" s="10"/>
      <c r="P36" s="14"/>
      <c r="Q36" s="10"/>
      <c r="T36">
        <v>32</v>
      </c>
      <c r="U36" s="29" t="s">
        <v>98</v>
      </c>
      <c r="V36" t="s">
        <v>77</v>
      </c>
      <c r="W36" s="28" t="s">
        <v>99</v>
      </c>
      <c r="Z36" s="34"/>
      <c r="AA36" s="40"/>
      <c r="AB36" s="40"/>
      <c r="AC36" s="38" t="s">
        <v>159</v>
      </c>
      <c r="AD36" s="48"/>
      <c r="AE36" s="53" t="e">
        <f t="shared" si="0"/>
        <v>#N/A</v>
      </c>
      <c r="AF36" s="37" t="s">
        <v>157</v>
      </c>
      <c r="AG36" s="65" t="e">
        <f t="shared" si="1"/>
        <v>#N/A</v>
      </c>
    </row>
    <row r="37" spans="4:33" ht="13" thickBot="1">
      <c r="D37">
        <v>15</v>
      </c>
      <c r="E37" s="9"/>
      <c r="F37" s="9"/>
      <c r="G37" s="9">
        <f>E37</f>
        <v>0</v>
      </c>
      <c r="H37" s="16"/>
      <c r="I37" s="10"/>
      <c r="J37" s="10"/>
      <c r="K37" s="10"/>
      <c r="L37" s="14"/>
      <c r="M37" s="10"/>
      <c r="N37" s="14"/>
      <c r="O37" s="10"/>
      <c r="P37" s="14"/>
      <c r="Q37" s="10"/>
      <c r="T37">
        <v>33</v>
      </c>
      <c r="U37" s="29" t="s">
        <v>100</v>
      </c>
      <c r="V37" t="s">
        <v>77</v>
      </c>
      <c r="W37" s="28" t="s">
        <v>101</v>
      </c>
      <c r="Z37" s="34"/>
      <c r="AA37" s="40"/>
      <c r="AB37" s="40"/>
      <c r="AC37" s="38" t="s">
        <v>159</v>
      </c>
      <c r="AD37" s="48"/>
      <c r="AE37" s="53" t="e">
        <f t="shared" si="0"/>
        <v>#N/A</v>
      </c>
      <c r="AF37" s="37" t="s">
        <v>157</v>
      </c>
      <c r="AG37" s="65" t="e">
        <f t="shared" si="1"/>
        <v>#N/A</v>
      </c>
    </row>
    <row r="38" spans="4:33">
      <c r="E38" s="10"/>
      <c r="F38" s="10"/>
      <c r="G38" s="10"/>
      <c r="H38" s="10"/>
      <c r="I38" s="10"/>
      <c r="J38" s="10"/>
      <c r="K38" s="10"/>
      <c r="L38" s="14"/>
      <c r="M38" s="10"/>
      <c r="N38" s="14"/>
      <c r="O38" s="10"/>
      <c r="P38" s="14"/>
      <c r="Q38" s="10"/>
      <c r="T38">
        <v>34</v>
      </c>
      <c r="U38" s="29" t="s">
        <v>102</v>
      </c>
      <c r="V38" t="s">
        <v>77</v>
      </c>
      <c r="W38" s="28" t="s">
        <v>103</v>
      </c>
      <c r="Z38" s="34"/>
      <c r="AA38" s="40"/>
      <c r="AB38" s="40"/>
      <c r="AC38" s="38" t="s">
        <v>159</v>
      </c>
      <c r="AD38" s="48"/>
      <c r="AE38" s="53" t="e">
        <f t="shared" si="0"/>
        <v>#N/A</v>
      </c>
      <c r="AF38" s="37" t="s">
        <v>157</v>
      </c>
      <c r="AG38" s="65" t="e">
        <f t="shared" si="1"/>
        <v>#N/A</v>
      </c>
    </row>
    <row r="39" spans="4:33" ht="13" thickBot="1">
      <c r="D39">
        <v>16</v>
      </c>
      <c r="E39" s="10"/>
      <c r="F39" s="9"/>
      <c r="G39" s="9">
        <f>E39</f>
        <v>0</v>
      </c>
      <c r="H39" s="11"/>
      <c r="I39" s="10"/>
      <c r="J39" s="10"/>
      <c r="K39" s="10"/>
      <c r="L39" s="14" t="s">
        <v>224</v>
      </c>
      <c r="M39" s="9" t="str">
        <f>IF(OR(L33="",L45=""),"",+IF(L33&gt;L416,K33,K45))</f>
        <v/>
      </c>
      <c r="N39" s="16"/>
      <c r="O39" s="10"/>
      <c r="P39" s="14"/>
      <c r="Q39" s="10"/>
      <c r="T39">
        <v>35</v>
      </c>
      <c r="U39" s="29" t="s">
        <v>104</v>
      </c>
      <c r="V39" t="s">
        <v>77</v>
      </c>
      <c r="W39" s="28" t="s">
        <v>105</v>
      </c>
      <c r="Z39" s="34"/>
      <c r="AA39" s="33"/>
      <c r="AB39" s="33"/>
      <c r="AC39" s="33"/>
      <c r="AD39" s="50"/>
      <c r="AE39" s="64" t="e">
        <f t="shared" si="0"/>
        <v>#N/A</v>
      </c>
      <c r="AF39" s="33"/>
      <c r="AG39" s="59" t="e">
        <f t="shared" si="1"/>
        <v>#N/A</v>
      </c>
    </row>
    <row r="40" spans="4:33">
      <c r="E40" s="12"/>
      <c r="F40" s="10"/>
      <c r="G40" s="10"/>
      <c r="H40" s="13"/>
      <c r="I40" s="10"/>
      <c r="J40" s="10"/>
      <c r="K40" s="10"/>
      <c r="L40" s="14"/>
      <c r="M40" s="10"/>
      <c r="N40" s="10"/>
      <c r="O40" s="10"/>
      <c r="P40" s="14"/>
      <c r="Q40" s="10"/>
      <c r="T40">
        <v>36</v>
      </c>
      <c r="U40" s="29" t="s">
        <v>106</v>
      </c>
      <c r="V40" t="s">
        <v>77</v>
      </c>
      <c r="W40" s="28" t="s">
        <v>107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E41" s="10"/>
      <c r="F41" s="10"/>
      <c r="G41" s="10"/>
      <c r="H41" s="14" t="s">
        <v>236</v>
      </c>
      <c r="I41" s="9" t="str">
        <f>IF(OR(H39="",H43=""),"",+IF(H39&gt;H43,G39,G43))</f>
        <v/>
      </c>
      <c r="J41" s="11"/>
      <c r="K41" s="10"/>
      <c r="L41" s="14"/>
      <c r="M41" s="10"/>
      <c r="N41" s="10"/>
      <c r="O41" s="10"/>
      <c r="P41" s="14"/>
      <c r="Q41" s="10"/>
      <c r="T41">
        <v>37</v>
      </c>
      <c r="U41" s="29" t="s">
        <v>108</v>
      </c>
      <c r="V41" t="s">
        <v>77</v>
      </c>
      <c r="W41" s="28" t="s">
        <v>109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D42">
        <v>17</v>
      </c>
      <c r="E42" s="10"/>
      <c r="F42" s="11"/>
      <c r="G42" s="10"/>
      <c r="H42" s="14"/>
      <c r="I42" s="10"/>
      <c r="J42" s="13"/>
      <c r="K42" s="10"/>
      <c r="L42" s="14"/>
      <c r="M42" s="10"/>
      <c r="N42" s="10"/>
      <c r="O42" s="10"/>
      <c r="P42" s="14"/>
      <c r="Q42" s="10"/>
      <c r="T42">
        <v>38</v>
      </c>
      <c r="U42" s="29" t="s">
        <v>110</v>
      </c>
      <c r="V42" t="s">
        <v>77</v>
      </c>
      <c r="W42" s="28" t="s">
        <v>111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E43" s="12"/>
      <c r="F43" s="13" t="s">
        <v>208</v>
      </c>
      <c r="G43" s="9" t="str">
        <f>IF(OR(F42="",F44=""),"",+IF(F42&gt;F44,E42,E44))</f>
        <v/>
      </c>
      <c r="H43" s="16"/>
      <c r="I43" s="10"/>
      <c r="J43" s="14"/>
      <c r="K43" s="10"/>
      <c r="L43" s="14"/>
      <c r="M43" s="10"/>
      <c r="N43" s="10"/>
      <c r="O43" s="10"/>
      <c r="P43" s="14"/>
      <c r="Q43" s="10"/>
      <c r="T43">
        <v>39</v>
      </c>
      <c r="U43" s="29" t="s">
        <v>112</v>
      </c>
      <c r="V43" t="s">
        <v>77</v>
      </c>
      <c r="W43" s="28" t="s">
        <v>113</v>
      </c>
      <c r="Z43" s="34"/>
      <c r="AA43" s="40"/>
      <c r="AB43" s="40"/>
      <c r="AC43" s="38" t="s">
        <v>159</v>
      </c>
      <c r="AD43" s="48"/>
      <c r="AE43" s="53" t="e">
        <f>LOOKUP(AD43,T$5:T$78,U$5:U$48)</f>
        <v>#N/A</v>
      </c>
      <c r="AF43" s="37" t="s">
        <v>157</v>
      </c>
      <c r="AG43" s="65" t="e">
        <f>LOOKUP(AD43,T$5:T$78,W$5:W$47)</f>
        <v>#N/A</v>
      </c>
    </row>
    <row r="44" spans="4:33" ht="13" thickBot="1">
      <c r="D44">
        <v>18</v>
      </c>
      <c r="E44" s="10"/>
      <c r="F44" s="16"/>
      <c r="G44" s="10"/>
      <c r="H44" s="10"/>
      <c r="I44" s="10"/>
      <c r="J44" s="14"/>
      <c r="K44" s="10"/>
      <c r="L44" s="14"/>
      <c r="M44" s="10"/>
      <c r="N44" s="10"/>
      <c r="O44" s="10"/>
      <c r="P44" s="14"/>
      <c r="Q44" s="10"/>
      <c r="T44">
        <v>40</v>
      </c>
      <c r="U44" s="29" t="s">
        <v>114</v>
      </c>
      <c r="V44" t="s">
        <v>77</v>
      </c>
      <c r="W44" s="28" t="s">
        <v>115</v>
      </c>
      <c r="Z44" s="34"/>
      <c r="AA44" s="40"/>
      <c r="AB44" s="40"/>
      <c r="AC44" s="38" t="s">
        <v>159</v>
      </c>
      <c r="AD44" s="48"/>
      <c r="AE44" s="53" t="e">
        <f>LOOKUP(AD44,T$5:T$78,U$5:U$48)</f>
        <v>#N/A</v>
      </c>
      <c r="AF44" s="37" t="s">
        <v>157</v>
      </c>
      <c r="AG44" s="65" t="e">
        <f>LOOKUP(AD44,T$5:T$78,W$5:W$47)</f>
        <v>#N/A</v>
      </c>
    </row>
    <row r="45" spans="4:33" ht="13" thickBot="1">
      <c r="E45" s="12"/>
      <c r="F45" s="10"/>
      <c r="G45" s="10"/>
      <c r="H45" s="10"/>
      <c r="I45" s="10"/>
      <c r="J45" s="14" t="s">
        <v>201</v>
      </c>
      <c r="K45" s="9" t="str">
        <f>IF(OR(J41="",J49=""),"",+IF(J41&gt;J49,I41,I49))</f>
        <v/>
      </c>
      <c r="L45" s="16"/>
      <c r="M45" s="10"/>
      <c r="N45" s="10"/>
      <c r="O45" s="10"/>
      <c r="P45" s="14"/>
      <c r="Q45" s="10"/>
      <c r="T45">
        <v>41</v>
      </c>
      <c r="U45" s="29" t="s">
        <v>116</v>
      </c>
      <c r="V45" t="s">
        <v>77</v>
      </c>
      <c r="W45" s="28" t="s">
        <v>117</v>
      </c>
      <c r="Z45" s="34"/>
      <c r="AA45" s="40"/>
      <c r="AB45" s="40"/>
      <c r="AC45" s="38" t="s">
        <v>159</v>
      </c>
      <c r="AD45" s="48"/>
      <c r="AE45" s="53" t="e">
        <f>LOOKUP(AD45,T$5:T$78,U$5:U$48)</f>
        <v>#N/A</v>
      </c>
      <c r="AF45" s="37" t="s">
        <v>157</v>
      </c>
      <c r="AG45" s="65" t="e">
        <f>LOOKUP(AD45,T$5:T$78,W$5:W$47)</f>
        <v>#N/A</v>
      </c>
    </row>
    <row r="46" spans="4:33" ht="13" thickBot="1">
      <c r="D46">
        <v>19</v>
      </c>
      <c r="E46" s="10"/>
      <c r="F46" s="11"/>
      <c r="G46" s="10"/>
      <c r="H46" s="10"/>
      <c r="I46" s="10"/>
      <c r="J46" s="14"/>
      <c r="K46" s="10"/>
      <c r="L46" s="10"/>
      <c r="M46" s="10"/>
      <c r="N46" s="10"/>
      <c r="O46" s="10"/>
      <c r="P46" s="14"/>
      <c r="Q46" s="10"/>
      <c r="U46" s="29"/>
      <c r="W46" s="28"/>
      <c r="Z46" s="34"/>
      <c r="AA46" s="40"/>
      <c r="AB46" s="40"/>
      <c r="AC46" s="38" t="s">
        <v>159</v>
      </c>
      <c r="AD46" s="48"/>
      <c r="AE46" s="53" t="e">
        <f>LOOKUP(AD46,T$5:T$78,U$5:U$48)</f>
        <v>#N/A</v>
      </c>
      <c r="AF46" s="37" t="s">
        <v>157</v>
      </c>
      <c r="AG46" s="65" t="e">
        <f>LOOKUP(AD46,T$5:T$78,W$5:W$47)</f>
        <v>#N/A</v>
      </c>
    </row>
    <row r="47" spans="4:33" ht="13" thickBot="1">
      <c r="E47" s="12"/>
      <c r="F47" s="13" t="s">
        <v>210</v>
      </c>
      <c r="G47" s="9" t="str">
        <f>IF(OR(F46="",F48=""),"",+IF(F46&gt;F48,E46,E48))</f>
        <v/>
      </c>
      <c r="H47" s="11"/>
      <c r="I47" s="10"/>
      <c r="J47" s="14"/>
      <c r="K47" s="10"/>
      <c r="L47" s="10"/>
      <c r="M47" s="10"/>
      <c r="N47" s="10"/>
      <c r="O47" s="10"/>
      <c r="P47" s="14"/>
      <c r="Q47" s="10"/>
      <c r="U47" s="29"/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D48">
        <v>20</v>
      </c>
      <c r="E48" s="9"/>
      <c r="F48" s="16"/>
      <c r="G48" s="10"/>
      <c r="H48" s="13"/>
      <c r="I48" s="10"/>
      <c r="J48" s="14"/>
      <c r="K48" s="10"/>
      <c r="L48" s="10"/>
      <c r="M48" s="10"/>
      <c r="N48" s="10"/>
      <c r="O48" s="10"/>
      <c r="P48" s="14"/>
      <c r="Q48" s="10"/>
      <c r="Z48" s="34"/>
      <c r="AA48" s="40"/>
      <c r="AB48" s="40"/>
      <c r="AC48" s="38" t="s">
        <v>159</v>
      </c>
      <c r="AD48" s="48"/>
      <c r="AE48" s="53" t="e">
        <f>LOOKUP(AD48,T$5:T$78,U$5:U$48)</f>
        <v>#N/A</v>
      </c>
      <c r="AF48" s="37" t="s">
        <v>157</v>
      </c>
      <c r="AG48" s="65" t="e">
        <f>LOOKUP(AD48,T$5:T$78,W$5:W$47)</f>
        <v>#N/A</v>
      </c>
    </row>
    <row r="49" spans="4:33" ht="13" thickBot="1">
      <c r="E49" s="10"/>
      <c r="F49" s="10"/>
      <c r="G49" s="10"/>
      <c r="H49" s="14" t="s">
        <v>238</v>
      </c>
      <c r="I49" s="9" t="str">
        <f>IF(OR(H47="",H50=""),"",+IF(H47&gt;H50,G47,E50))</f>
        <v/>
      </c>
      <c r="J49" s="16"/>
      <c r="K49" s="10"/>
      <c r="L49" s="10"/>
      <c r="M49" s="10"/>
      <c r="N49" s="10"/>
      <c r="O49" s="10"/>
      <c r="P49" s="14"/>
      <c r="Q49" s="10"/>
      <c r="Z49" s="34"/>
      <c r="AA49" s="40"/>
      <c r="AB49" s="40"/>
      <c r="AC49" s="38" t="s">
        <v>159</v>
      </c>
      <c r="AD49" s="48"/>
      <c r="AE49" s="53" t="e">
        <f>LOOKUP(AD49,T$5:T$78,U$5:U$48)</f>
        <v>#N/A</v>
      </c>
      <c r="AF49" s="37" t="s">
        <v>157</v>
      </c>
      <c r="AG49" s="65" t="e">
        <f>LOOKUP(AD49,T$5:T$78,W$5:W$47)</f>
        <v>#N/A</v>
      </c>
    </row>
    <row r="50" spans="4:33" ht="13" thickBot="1">
      <c r="D50">
        <v>21</v>
      </c>
      <c r="E50" s="9"/>
      <c r="F50" s="9"/>
      <c r="G50" s="9">
        <f>E50</f>
        <v>0</v>
      </c>
      <c r="H50" s="16"/>
      <c r="I50" s="10"/>
      <c r="J50" s="10"/>
      <c r="K50" s="10"/>
      <c r="L50" s="10"/>
      <c r="M50" s="10"/>
      <c r="N50" s="10"/>
      <c r="O50" s="10"/>
      <c r="P50" s="14"/>
      <c r="Q50" s="10"/>
      <c r="Z50" s="34"/>
      <c r="AA50" s="40"/>
      <c r="AB50" s="40"/>
      <c r="AC50" s="38" t="s">
        <v>159</v>
      </c>
      <c r="AD50" s="48"/>
      <c r="AE50" s="53" t="e">
        <f>LOOKUP(AD50,T$5:T$78,U$5:U$48)</f>
        <v>#N/A</v>
      </c>
      <c r="AF50" s="37" t="s">
        <v>157</v>
      </c>
      <c r="AG50" s="65" t="e">
        <f>LOOKUP(AD50,T$5:T$78,W$5:W$47)</f>
        <v>#N/A</v>
      </c>
    </row>
    <row r="51" spans="4:33" ht="13" thickBot="1"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4" t="s">
        <v>243</v>
      </c>
      <c r="Q51" s="9" t="str">
        <f>IF(OR(P27="",P72=""),"",+IF(P27&gt;P72,O27,O72))</f>
        <v/>
      </c>
      <c r="Z51" s="34"/>
      <c r="AA51" s="40"/>
      <c r="AB51" s="40"/>
      <c r="AC51" s="38" t="s">
        <v>159</v>
      </c>
      <c r="AD51" s="48"/>
      <c r="AE51" s="53" t="e">
        <f>LOOKUP(AD51,T$5:T$78,U$5:U$48)</f>
        <v>#N/A</v>
      </c>
      <c r="AF51" s="37" t="s">
        <v>157</v>
      </c>
      <c r="AG51" s="65" t="e">
        <f>LOOKUP(AD51,T$5:T$78,W$5:W$47)</f>
        <v>#N/A</v>
      </c>
    </row>
    <row r="52" spans="4:33" ht="13" thickBot="1">
      <c r="D52">
        <v>22</v>
      </c>
      <c r="E52" s="10"/>
      <c r="F52" s="9"/>
      <c r="G52" s="9">
        <f>E52</f>
        <v>0</v>
      </c>
      <c r="H52" s="11"/>
      <c r="I52" s="10"/>
      <c r="J52" s="10"/>
      <c r="K52" s="10"/>
      <c r="L52" s="10"/>
      <c r="M52" s="10"/>
      <c r="N52" s="10"/>
      <c r="O52" s="10"/>
      <c r="P52" s="14"/>
      <c r="Q52" s="10"/>
      <c r="Z52" s="34"/>
      <c r="AA52" s="41"/>
      <c r="AB52" s="33"/>
      <c r="AC52" s="33"/>
      <c r="AD52" s="50"/>
      <c r="AE52" s="54"/>
      <c r="AF52" s="33"/>
      <c r="AG52" s="58"/>
    </row>
    <row r="53" spans="4:33">
      <c r="E53" s="12"/>
      <c r="F53" s="10"/>
      <c r="G53" s="10"/>
      <c r="H53" s="13"/>
      <c r="I53" s="10"/>
      <c r="J53" s="10"/>
      <c r="K53" s="10"/>
      <c r="L53" s="10"/>
      <c r="M53" s="10"/>
      <c r="N53" s="10"/>
      <c r="O53" s="10"/>
      <c r="P53" s="14"/>
      <c r="Q53" s="10"/>
      <c r="Z53" s="34"/>
      <c r="AA53" s="40"/>
      <c r="AB53" s="40"/>
      <c r="AC53" s="38" t="s">
        <v>159</v>
      </c>
      <c r="AD53" s="48"/>
      <c r="AE53" s="53" t="e">
        <f>LOOKUP(AD53,T$5:T$78,U$5:U$48)</f>
        <v>#N/A</v>
      </c>
      <c r="AF53" s="37" t="s">
        <v>157</v>
      </c>
      <c r="AG53" s="65" t="e">
        <f>LOOKUP(AD53,T$5:T$78,W$5:W$47)</f>
        <v>#N/A</v>
      </c>
    </row>
    <row r="54" spans="4:33" ht="13" thickBot="1">
      <c r="E54" s="10"/>
      <c r="F54" s="10"/>
      <c r="G54" s="10"/>
      <c r="H54" s="14" t="s">
        <v>240</v>
      </c>
      <c r="I54" s="9" t="str">
        <f>IF(OR(H52="",H56=""),"",+IF(H52&gt;H56,G52,G56))</f>
        <v/>
      </c>
      <c r="J54" s="11"/>
      <c r="K54" s="10"/>
      <c r="L54" s="10"/>
      <c r="M54" s="10"/>
      <c r="N54" s="10"/>
      <c r="O54" s="10"/>
      <c r="P54" s="14"/>
      <c r="Q54" s="10"/>
      <c r="Z54" s="34"/>
      <c r="AA54" s="40"/>
      <c r="AB54" s="40"/>
      <c r="AC54" s="38" t="s">
        <v>159</v>
      </c>
      <c r="AD54" s="48"/>
      <c r="AE54" s="53" t="e">
        <f>LOOKUP(AD54,T$5:T$78,U$5:U$48)</f>
        <v>#N/A</v>
      </c>
      <c r="AF54" s="37" t="s">
        <v>157</v>
      </c>
      <c r="AG54" s="65" t="e">
        <f>LOOKUP(AD54,T$5:T$78,W$5:W$47)</f>
        <v>#N/A</v>
      </c>
    </row>
    <row r="55" spans="4:33" ht="13" thickBot="1">
      <c r="D55">
        <v>23</v>
      </c>
      <c r="E55" s="10"/>
      <c r="F55" s="11"/>
      <c r="G55" s="10"/>
      <c r="H55" s="14"/>
      <c r="I55" s="10"/>
      <c r="J55" s="13"/>
      <c r="K55" s="10"/>
      <c r="L55" s="10"/>
      <c r="M55" s="10"/>
      <c r="N55" s="10"/>
      <c r="O55" s="10"/>
      <c r="P55" s="14"/>
      <c r="Q55" s="10"/>
      <c r="Z55" s="34"/>
      <c r="AA55" s="40"/>
      <c r="AB55" s="40"/>
      <c r="AC55" s="38" t="s">
        <v>159</v>
      </c>
      <c r="AD55" s="48"/>
      <c r="AE55" s="53" t="e">
        <f>LOOKUP(AD55,T$5:T$78,U$5:U$48)</f>
        <v>#N/A</v>
      </c>
      <c r="AF55" s="37" t="s">
        <v>157</v>
      </c>
      <c r="AG55" s="65" t="e">
        <f>LOOKUP(AD55,T$5:T$78,W$5:W$47)</f>
        <v>#N/A</v>
      </c>
    </row>
    <row r="56" spans="4:33" ht="13" thickBot="1">
      <c r="E56" s="12"/>
      <c r="F56" s="13" t="s">
        <v>212</v>
      </c>
      <c r="G56" s="9" t="str">
        <f>IF(OR(F55="",F57=""),"",+IF(F55&gt;F57,E55,E57))</f>
        <v/>
      </c>
      <c r="H56" s="16"/>
      <c r="I56" s="10"/>
      <c r="J56" s="14"/>
      <c r="K56" s="10"/>
      <c r="L56" s="10"/>
      <c r="M56" s="10"/>
      <c r="N56" s="10"/>
      <c r="O56" s="10"/>
      <c r="P56" s="14"/>
      <c r="Q56" s="10"/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D57">
        <v>24</v>
      </c>
      <c r="E57" s="10"/>
      <c r="F57" s="16"/>
      <c r="G57" s="10"/>
      <c r="H57" s="10"/>
      <c r="I57" s="10"/>
      <c r="J57" s="14" t="s">
        <v>205</v>
      </c>
      <c r="K57" s="9" t="str">
        <f>IF(OR(J54="",J60=""),"",+IF(J54&gt;J60,I54,I60))</f>
        <v/>
      </c>
      <c r="L57" s="11"/>
      <c r="M57" s="10"/>
      <c r="N57" s="10"/>
      <c r="O57" s="10"/>
      <c r="P57" s="14"/>
      <c r="Q57" s="10"/>
    </row>
    <row r="58" spans="4:33">
      <c r="E58" s="12"/>
      <c r="F58" s="10"/>
      <c r="G58" s="10"/>
      <c r="H58" s="10"/>
      <c r="I58" s="10"/>
      <c r="J58" s="14"/>
      <c r="K58" s="12"/>
      <c r="L58" s="13"/>
      <c r="M58" s="10"/>
      <c r="N58" s="10"/>
      <c r="O58" s="10"/>
      <c r="P58" s="14"/>
      <c r="Q58" s="10"/>
    </row>
    <row r="59" spans="4:33" ht="13" thickBot="1">
      <c r="D59">
        <v>25</v>
      </c>
      <c r="E59" s="9"/>
      <c r="F59" s="9"/>
      <c r="G59" s="9">
        <f>E59</f>
        <v>0</v>
      </c>
      <c r="H59" s="11"/>
      <c r="I59" s="10"/>
      <c r="J59" s="14"/>
      <c r="K59" s="10"/>
      <c r="L59" s="14"/>
      <c r="M59" s="10"/>
      <c r="N59" s="10"/>
      <c r="O59" s="10"/>
      <c r="P59" s="14"/>
      <c r="Q59" s="10"/>
    </row>
    <row r="60" spans="4:33" ht="13" thickBot="1">
      <c r="E60" s="10"/>
      <c r="F60" s="10"/>
      <c r="G60" s="10"/>
      <c r="H60" s="13" t="s">
        <v>242</v>
      </c>
      <c r="I60" s="9" t="str">
        <f>IF(OR(H59="",H61=""),"",+IF(H59&gt;H61,E59,E61))</f>
        <v/>
      </c>
      <c r="J60" s="16"/>
      <c r="K60" s="10"/>
      <c r="L60" s="14"/>
      <c r="M60" s="10"/>
      <c r="N60" s="10"/>
      <c r="O60" s="10"/>
      <c r="P60" s="14"/>
      <c r="Q60" s="10"/>
    </row>
    <row r="61" spans="4:33" ht="13" thickBot="1">
      <c r="D61">
        <v>26</v>
      </c>
      <c r="E61" s="9"/>
      <c r="F61" s="9"/>
      <c r="G61" s="9">
        <f>E61</f>
        <v>0</v>
      </c>
      <c r="H61" s="16"/>
      <c r="I61" s="10"/>
      <c r="J61" s="10"/>
      <c r="K61" s="10"/>
      <c r="L61" s="14"/>
      <c r="M61" s="10"/>
      <c r="N61" s="10"/>
      <c r="O61" s="10"/>
      <c r="P61" s="14"/>
      <c r="Q61" s="10"/>
    </row>
    <row r="62" spans="4:33" ht="13" thickBot="1">
      <c r="E62" s="10"/>
      <c r="F62" s="10"/>
      <c r="G62" s="10"/>
      <c r="H62" s="10"/>
      <c r="I62" s="10"/>
      <c r="J62" s="10"/>
      <c r="K62" s="10"/>
      <c r="L62" s="14" t="s">
        <v>228</v>
      </c>
      <c r="M62" s="9" t="str">
        <f>IF(OR(L57="",L67=""),"",+IF(L57&gt;L67,K57,K67))</f>
        <v/>
      </c>
      <c r="N62" s="11"/>
      <c r="O62" s="10"/>
      <c r="P62" s="14"/>
      <c r="Q62" s="10"/>
    </row>
    <row r="63" spans="4:33" ht="13" thickBot="1">
      <c r="D63">
        <v>27</v>
      </c>
      <c r="E63" s="9"/>
      <c r="F63" s="9"/>
      <c r="G63" s="9">
        <f>E63</f>
        <v>0</v>
      </c>
      <c r="H63" s="11"/>
      <c r="I63" s="10"/>
      <c r="J63" s="10"/>
      <c r="K63" s="10"/>
      <c r="L63" s="14"/>
      <c r="M63" s="10"/>
      <c r="N63" s="13"/>
      <c r="O63" s="10"/>
      <c r="P63" s="14"/>
      <c r="Q63" s="10"/>
    </row>
    <row r="64" spans="4:33" ht="13" thickBot="1">
      <c r="E64" s="10"/>
      <c r="F64" s="10"/>
      <c r="G64" s="10"/>
      <c r="H64" s="13" t="s">
        <v>244</v>
      </c>
      <c r="I64" s="9" t="str">
        <f>IF(OR(H63="",H65=""),"",+IF(H63&gt;H65,E63,E65))</f>
        <v/>
      </c>
      <c r="J64" s="17"/>
      <c r="K64" s="10"/>
      <c r="L64" s="14"/>
      <c r="M64" s="10"/>
      <c r="N64" s="14"/>
      <c r="O64" s="10"/>
      <c r="P64" s="14"/>
      <c r="Q64" s="10"/>
    </row>
    <row r="65" spans="4:17" ht="13" thickBot="1">
      <c r="D65">
        <v>28</v>
      </c>
      <c r="E65" s="9"/>
      <c r="F65" s="9"/>
      <c r="G65" s="9">
        <f>E65</f>
        <v>0</v>
      </c>
      <c r="H65" s="16"/>
      <c r="I65" s="10"/>
      <c r="J65" s="13"/>
      <c r="K65" s="10"/>
      <c r="L65" s="14"/>
      <c r="M65" s="10"/>
      <c r="N65" s="14"/>
      <c r="O65" s="10"/>
      <c r="P65" s="14"/>
      <c r="Q65" s="10"/>
    </row>
    <row r="66" spans="4:17">
      <c r="E66" s="10"/>
      <c r="F66" s="10"/>
      <c r="G66" s="10"/>
      <c r="H66" s="10"/>
      <c r="I66" s="10"/>
      <c r="J66" s="14"/>
      <c r="K66" s="10"/>
      <c r="L66" s="14"/>
      <c r="M66" s="10"/>
      <c r="N66" s="14"/>
      <c r="O66" s="10"/>
      <c r="P66" s="14"/>
      <c r="Q66" s="10"/>
    </row>
    <row r="67" spans="4:17" ht="13" thickBot="1">
      <c r="D67">
        <v>29</v>
      </c>
      <c r="E67" s="10"/>
      <c r="F67" s="11"/>
      <c r="G67" s="10"/>
      <c r="H67" s="10"/>
      <c r="I67" s="10"/>
      <c r="J67" s="14" t="s">
        <v>209</v>
      </c>
      <c r="K67" s="18" t="str">
        <f>IF(OR(I64="",I69=""),"",+IF(J64&gt;J69,I64,I69))</f>
        <v/>
      </c>
      <c r="L67" s="16"/>
      <c r="M67" s="10"/>
      <c r="N67" s="14"/>
      <c r="O67" s="10"/>
      <c r="P67" s="14"/>
      <c r="Q67" s="10"/>
    </row>
    <row r="68" spans="4:17" ht="13" thickBot="1">
      <c r="E68" s="12"/>
      <c r="F68" s="13" t="s">
        <v>214</v>
      </c>
      <c r="G68" s="9" t="str">
        <f>IF(OR(F67="",F69=""),"",+IF(F67&gt;F69,E67,E69))</f>
        <v/>
      </c>
      <c r="H68" s="17"/>
      <c r="I68" s="10"/>
      <c r="J68" s="14"/>
      <c r="K68" s="10"/>
      <c r="L68" s="10"/>
      <c r="M68" s="10"/>
      <c r="N68" s="14"/>
      <c r="O68" s="10"/>
      <c r="P68" s="14"/>
      <c r="Q68" s="10"/>
    </row>
    <row r="69" spans="4:17" ht="13" thickBot="1">
      <c r="D69">
        <v>30</v>
      </c>
      <c r="E69" s="9"/>
      <c r="F69" s="16"/>
      <c r="G69" s="10"/>
      <c r="H69" s="13" t="s">
        <v>246</v>
      </c>
      <c r="I69" s="9" t="str">
        <f>IF(OR(H68="",H71=""),"",+IF(H68&gt;H71,G68,G71))</f>
        <v/>
      </c>
      <c r="J69" s="16"/>
      <c r="K69" s="10"/>
      <c r="L69" s="10"/>
      <c r="M69" s="10"/>
      <c r="N69" s="14"/>
      <c r="O69" s="10"/>
      <c r="P69" s="14"/>
      <c r="Q69" s="10"/>
    </row>
    <row r="70" spans="4:17">
      <c r="E70" s="10"/>
      <c r="F70" s="10"/>
      <c r="G70" s="10"/>
      <c r="H70" s="14"/>
      <c r="I70" s="10"/>
      <c r="J70" s="10"/>
      <c r="K70" s="10"/>
      <c r="L70" s="10"/>
      <c r="M70" s="10"/>
      <c r="N70" s="14"/>
      <c r="O70" s="10"/>
      <c r="P70" s="14"/>
      <c r="Q70" s="10"/>
    </row>
    <row r="71" spans="4:17" ht="13" thickBot="1">
      <c r="D71">
        <v>31</v>
      </c>
      <c r="E71" s="9"/>
      <c r="F71" s="9"/>
      <c r="G71" s="9">
        <f>E71</f>
        <v>0</v>
      </c>
      <c r="H71" s="16"/>
      <c r="I71" s="10"/>
      <c r="J71" s="10"/>
      <c r="K71" s="10"/>
      <c r="L71" s="10"/>
      <c r="M71" s="10"/>
      <c r="N71" s="14"/>
      <c r="O71" s="10"/>
      <c r="P71" s="14"/>
      <c r="Q71" s="10"/>
    </row>
    <row r="72" spans="4:17" ht="13" thickBot="1">
      <c r="E72" s="10"/>
      <c r="F72" s="10"/>
      <c r="G72" s="10"/>
      <c r="H72" s="10"/>
      <c r="I72" s="10"/>
      <c r="J72" s="10"/>
      <c r="K72" s="10"/>
      <c r="L72" s="10"/>
      <c r="M72" s="10"/>
      <c r="N72" s="14" t="s">
        <v>239</v>
      </c>
      <c r="O72" s="9" t="str">
        <f>IF(OR(N62="",N84=""),"",+IF(N62&gt;N84,M62,M84))</f>
        <v/>
      </c>
      <c r="P72" s="16"/>
      <c r="Q72" s="10"/>
    </row>
    <row r="73" spans="4:17" ht="13" thickBot="1">
      <c r="D73">
        <v>32</v>
      </c>
      <c r="E73" s="10"/>
      <c r="F73" s="9"/>
      <c r="G73" s="9">
        <f>E73</f>
        <v>0</v>
      </c>
      <c r="H73" s="11"/>
      <c r="I73" s="10"/>
      <c r="J73" s="10"/>
      <c r="K73" s="10"/>
      <c r="L73" s="10"/>
      <c r="M73" s="10"/>
      <c r="N73" s="14"/>
      <c r="O73" s="10"/>
      <c r="P73" s="10"/>
      <c r="Q73" s="10"/>
    </row>
    <row r="74" spans="4:17">
      <c r="E74" s="12"/>
      <c r="F74" s="10"/>
      <c r="G74" s="10"/>
      <c r="H74" s="13"/>
      <c r="I74" s="10"/>
      <c r="J74" s="10"/>
      <c r="K74" s="10"/>
      <c r="L74" s="10"/>
      <c r="M74" s="10"/>
      <c r="N74" s="14"/>
      <c r="O74" s="10"/>
      <c r="P74" s="10"/>
      <c r="Q74" s="10"/>
    </row>
    <row r="75" spans="4:17" ht="13" thickBot="1">
      <c r="E75" s="10"/>
      <c r="F75" s="10"/>
      <c r="G75" s="10"/>
      <c r="H75" s="14" t="s">
        <v>248</v>
      </c>
      <c r="I75" s="9" t="str">
        <f>IF(OR(H73="",H77=""),"",+IF(H73&gt;H77,G73,G77))</f>
        <v/>
      </c>
      <c r="J75" s="11"/>
      <c r="K75" s="10"/>
      <c r="L75" s="10"/>
      <c r="M75" s="10"/>
      <c r="N75" s="14"/>
      <c r="O75" s="10"/>
      <c r="P75" s="10"/>
      <c r="Q75" s="10"/>
    </row>
    <row r="76" spans="4:17" ht="13" thickBot="1">
      <c r="D76">
        <v>33</v>
      </c>
      <c r="E76" s="10"/>
      <c r="F76" s="11"/>
      <c r="G76" s="10"/>
      <c r="H76" s="14"/>
      <c r="I76" s="10"/>
      <c r="J76" s="13"/>
      <c r="K76" s="10"/>
      <c r="L76" s="10"/>
      <c r="M76" s="10"/>
      <c r="N76" s="14"/>
      <c r="O76" s="10"/>
      <c r="P76" s="10"/>
      <c r="Q76" s="10"/>
    </row>
    <row r="77" spans="4:17" ht="13" thickBot="1">
      <c r="E77" s="12"/>
      <c r="F77" s="13" t="s">
        <v>217</v>
      </c>
      <c r="G77" s="9" t="str">
        <f>IF(OR(F76="",F78=""),"",+IF(F76&gt;F78,E76,E78))</f>
        <v/>
      </c>
      <c r="H77" s="16"/>
      <c r="I77" s="10"/>
      <c r="J77" s="14"/>
      <c r="K77" s="10"/>
      <c r="L77" s="10"/>
      <c r="M77" s="10"/>
      <c r="N77" s="14"/>
      <c r="O77" s="10"/>
      <c r="P77" s="10"/>
      <c r="Q77" s="10"/>
    </row>
    <row r="78" spans="4:17" ht="13" thickBot="1">
      <c r="D78">
        <v>34</v>
      </c>
      <c r="E78" s="10"/>
      <c r="F78" s="16"/>
      <c r="G78" s="10"/>
      <c r="H78" s="10"/>
      <c r="I78" s="10"/>
      <c r="J78" s="14" t="s">
        <v>213</v>
      </c>
      <c r="K78" s="9" t="str">
        <f>IF(OR(J75="",J81=""),"",+IF(J75&gt;J81,I75,I81))</f>
        <v/>
      </c>
      <c r="L78" s="11"/>
      <c r="M78" s="10"/>
      <c r="N78" s="14"/>
      <c r="O78" s="10"/>
      <c r="P78" s="10"/>
      <c r="Q78" s="10"/>
    </row>
    <row r="79" spans="4:17">
      <c r="E79" s="12"/>
      <c r="F79" s="10"/>
      <c r="G79" s="10"/>
      <c r="H79" s="10"/>
      <c r="I79" s="10"/>
      <c r="J79" s="14"/>
      <c r="K79" s="10"/>
      <c r="L79" s="13"/>
      <c r="M79" s="10"/>
      <c r="N79" s="14"/>
      <c r="O79" s="10"/>
      <c r="P79" s="10"/>
      <c r="Q79" s="10"/>
    </row>
    <row r="80" spans="4:17" ht="13" thickBot="1">
      <c r="D80">
        <v>35</v>
      </c>
      <c r="E80" s="9"/>
      <c r="F80" s="9"/>
      <c r="G80" s="9">
        <f>E80</f>
        <v>0</v>
      </c>
      <c r="H80" s="11"/>
      <c r="I80" s="10"/>
      <c r="J80" s="14"/>
      <c r="K80" s="10"/>
      <c r="L80" s="14"/>
      <c r="M80" s="10"/>
      <c r="N80" s="14"/>
      <c r="O80" s="10"/>
      <c r="P80" s="10"/>
      <c r="Q80" s="10"/>
    </row>
    <row r="81" spans="4:17" ht="13" thickBot="1">
      <c r="E81" s="10"/>
      <c r="F81" s="10"/>
      <c r="G81" s="10"/>
      <c r="H81" s="13" t="s">
        <v>250</v>
      </c>
      <c r="I81" s="9" t="str">
        <f>IF(OR(H80="",H82=""),"",+IF(H80&gt;H82,E80,E82))</f>
        <v/>
      </c>
      <c r="J81" s="16"/>
      <c r="K81" s="10"/>
      <c r="L81" s="14"/>
      <c r="M81" s="10"/>
      <c r="N81" s="14"/>
      <c r="O81" s="10"/>
      <c r="P81" s="10"/>
      <c r="Q81" s="10"/>
    </row>
    <row r="82" spans="4:17" ht="13" thickBot="1">
      <c r="D82">
        <v>36</v>
      </c>
      <c r="E82" s="9"/>
      <c r="F82" s="9"/>
      <c r="G82" s="9">
        <f>E82</f>
        <v>0</v>
      </c>
      <c r="H82" s="16"/>
      <c r="I82" s="10"/>
      <c r="J82" s="10"/>
      <c r="K82" s="10"/>
      <c r="L82" s="14"/>
      <c r="M82" s="10"/>
      <c r="N82" s="14"/>
      <c r="O82" s="10"/>
      <c r="P82" s="10"/>
      <c r="Q82" s="10"/>
    </row>
    <row r="83" spans="4:17">
      <c r="E83" s="10"/>
      <c r="F83" s="10"/>
      <c r="G83" s="10"/>
      <c r="H83" s="10"/>
      <c r="I83" s="10"/>
      <c r="J83" s="10"/>
      <c r="K83" s="10"/>
      <c r="L83" s="14"/>
      <c r="M83" s="10"/>
      <c r="N83" s="14"/>
      <c r="O83" s="10"/>
      <c r="P83" s="10"/>
      <c r="Q83" s="10"/>
    </row>
    <row r="84" spans="4:17" ht="13" thickBot="1">
      <c r="D84">
        <v>37</v>
      </c>
      <c r="E84" s="10"/>
      <c r="F84" s="9"/>
      <c r="G84" s="9">
        <f>E84</f>
        <v>0</v>
      </c>
      <c r="H84" s="11"/>
      <c r="I84" s="10"/>
      <c r="J84" s="10"/>
      <c r="K84" s="10"/>
      <c r="L84" s="14" t="s">
        <v>231</v>
      </c>
      <c r="M84" s="9" t="str">
        <f>IF(OR(L78="",L90=""),"",+IF(L78&gt;L461,K78,K90))</f>
        <v/>
      </c>
      <c r="N84" s="16"/>
      <c r="O84" s="10"/>
      <c r="P84" s="10"/>
      <c r="Q84" s="10"/>
    </row>
    <row r="85" spans="4:17">
      <c r="E85" s="12"/>
      <c r="F85" s="10"/>
      <c r="G85" s="10"/>
      <c r="H85" s="13"/>
      <c r="I85" s="10"/>
      <c r="J85" s="10"/>
      <c r="K85" s="10"/>
      <c r="L85" s="14"/>
      <c r="M85" s="10"/>
      <c r="N85" s="10"/>
      <c r="O85" s="10"/>
      <c r="P85" s="10"/>
      <c r="Q85" s="10"/>
    </row>
    <row r="86" spans="4:17" ht="13" thickBot="1">
      <c r="E86" s="10"/>
      <c r="F86" s="10"/>
      <c r="G86" s="10"/>
      <c r="H86" s="14" t="s">
        <v>252</v>
      </c>
      <c r="I86" s="9" t="str">
        <f>IF(OR(H84="",H88=""),"",+IF(H84&gt;H88,G84,G88))</f>
        <v/>
      </c>
      <c r="J86" s="11"/>
      <c r="K86" s="10"/>
      <c r="L86" s="14"/>
      <c r="M86" s="10"/>
      <c r="N86" s="10"/>
      <c r="O86" s="10"/>
      <c r="P86" s="10"/>
      <c r="Q86" s="10"/>
    </row>
    <row r="87" spans="4:17" ht="13" thickBot="1">
      <c r="D87">
        <v>38</v>
      </c>
      <c r="E87" s="10"/>
      <c r="F87" s="11"/>
      <c r="G87" s="10"/>
      <c r="H87" s="14"/>
      <c r="I87" s="10"/>
      <c r="J87" s="13"/>
      <c r="K87" s="10"/>
      <c r="L87" s="14"/>
      <c r="M87" s="10"/>
      <c r="N87" s="10"/>
      <c r="O87" s="10"/>
      <c r="P87" s="10"/>
      <c r="Q87" s="10"/>
    </row>
    <row r="88" spans="4:17" ht="13" thickBot="1">
      <c r="E88" s="12"/>
      <c r="F88" s="13" t="s">
        <v>219</v>
      </c>
      <c r="G88" s="9" t="str">
        <f>IF(OR(F87="",F89=""),"",+IF(F87&gt;F89,E87,E89))</f>
        <v/>
      </c>
      <c r="H88" s="16"/>
      <c r="I88" s="10"/>
      <c r="J88" s="14"/>
      <c r="K88" s="10"/>
      <c r="L88" s="14"/>
      <c r="M88" s="10"/>
      <c r="N88" s="10"/>
      <c r="O88" s="10"/>
      <c r="P88" s="10"/>
      <c r="Q88" s="10"/>
    </row>
    <row r="89" spans="4:17" ht="13" thickBot="1">
      <c r="D89">
        <v>39</v>
      </c>
      <c r="E89" s="10"/>
      <c r="F89" s="16"/>
      <c r="G89" s="10"/>
      <c r="H89" s="10"/>
      <c r="I89" s="10"/>
      <c r="J89" s="14"/>
      <c r="K89" s="10"/>
      <c r="L89" s="14"/>
      <c r="M89" s="10"/>
      <c r="N89" s="10"/>
      <c r="O89" s="10"/>
      <c r="P89" s="10"/>
      <c r="Q89" s="10"/>
    </row>
    <row r="90" spans="4:17" ht="13" thickBot="1">
      <c r="E90" s="12"/>
      <c r="F90" s="10"/>
      <c r="G90" s="10"/>
      <c r="H90" s="10"/>
      <c r="I90" s="10"/>
      <c r="J90" s="14" t="s">
        <v>216</v>
      </c>
      <c r="K90" s="9" t="str">
        <f>IF(OR(J86="",J94=""),"",+IF(J86&gt;J94,I86,I94))</f>
        <v/>
      </c>
      <c r="L90" s="16"/>
      <c r="M90" s="10"/>
      <c r="N90" s="10"/>
      <c r="O90" s="10"/>
      <c r="P90" s="10"/>
      <c r="Q90" s="10"/>
    </row>
    <row r="91" spans="4:17" ht="13" thickBot="1">
      <c r="D91">
        <v>40</v>
      </c>
      <c r="E91" s="10"/>
      <c r="F91" s="11"/>
      <c r="G91" s="10"/>
      <c r="H91" s="10"/>
      <c r="I91" s="10"/>
      <c r="J91" s="14"/>
      <c r="K91" s="10"/>
      <c r="L91" s="10"/>
      <c r="M91" s="10"/>
      <c r="N91" s="10"/>
      <c r="O91" s="10"/>
      <c r="P91" s="10"/>
      <c r="Q91" s="10"/>
    </row>
    <row r="92" spans="4:17" ht="13" thickBot="1">
      <c r="E92" s="12"/>
      <c r="F92" s="13" t="s">
        <v>221</v>
      </c>
      <c r="G92" s="9" t="str">
        <f>IF(OR(F91="",F93=""),"",+IF(F91&gt;F93,E91,E93))</f>
        <v/>
      </c>
      <c r="H92" s="11"/>
      <c r="I92" s="10"/>
      <c r="J92" s="14"/>
      <c r="K92" s="10"/>
      <c r="L92" s="10"/>
      <c r="M92" s="10"/>
      <c r="N92" s="10"/>
      <c r="O92" s="10"/>
      <c r="P92" s="10"/>
      <c r="Q92" s="10"/>
    </row>
    <row r="93" spans="4:17" ht="13" thickBot="1">
      <c r="D93">
        <v>41</v>
      </c>
      <c r="E93" s="9"/>
      <c r="F93" s="16"/>
      <c r="G93" s="10"/>
      <c r="H93" s="13"/>
      <c r="I93" s="10"/>
      <c r="J93" s="14"/>
      <c r="K93" s="10"/>
      <c r="L93" s="10"/>
      <c r="M93" s="10"/>
      <c r="N93" s="10"/>
      <c r="O93" s="10"/>
      <c r="P93" s="10"/>
      <c r="Q93" s="10"/>
    </row>
    <row r="94" spans="4:17" ht="13" thickBot="1">
      <c r="E94" s="10"/>
      <c r="F94" s="10"/>
      <c r="G94" s="10"/>
      <c r="H94" s="14" t="s">
        <v>254</v>
      </c>
      <c r="I94" s="9" t="str">
        <f>IF(OR(H92="",H95=""),"",+IF(H92&gt;H95,G92,E95))</f>
        <v/>
      </c>
      <c r="J94" s="16"/>
      <c r="K94" s="10"/>
      <c r="L94" s="10"/>
      <c r="M94" s="10"/>
      <c r="N94" s="10"/>
      <c r="O94" s="10"/>
      <c r="P94" s="10"/>
      <c r="Q94" s="10"/>
    </row>
    <row r="95" spans="4:17" ht="13" thickBot="1">
      <c r="D95">
        <v>42</v>
      </c>
      <c r="E95" s="9"/>
      <c r="F95" s="9"/>
      <c r="G95" s="9">
        <f>E95</f>
        <v>0</v>
      </c>
      <c r="H95" s="16"/>
      <c r="I95" s="10"/>
      <c r="J95" s="10"/>
      <c r="K95" s="10"/>
      <c r="L95" s="10"/>
      <c r="M95" s="10"/>
      <c r="N95" s="10"/>
      <c r="O95" s="10"/>
      <c r="P95" s="10"/>
      <c r="Q95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Plan39"/>
  <dimension ref="D4:AG92"/>
  <sheetViews>
    <sheetView showGridLines="0" topLeftCell="A18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6" max="16" width="3.64453125" customWidth="1"/>
    <col min="17" max="17" width="15.644531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E22</f>
        <v>0</v>
      </c>
      <c r="V6" t="s">
        <v>77</v>
      </c>
      <c r="W6" s="29">
        <f>E24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E31</f>
        <v>0</v>
      </c>
      <c r="V7" t="s">
        <v>77</v>
      </c>
      <c r="W7" s="29">
        <f>E33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E43</f>
        <v>0</v>
      </c>
      <c r="V8" t="s">
        <v>77</v>
      </c>
      <c r="W8" s="29">
        <f>E45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221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E52</f>
        <v>0</v>
      </c>
      <c r="V9" t="s">
        <v>77</v>
      </c>
      <c r="W9" s="29">
        <f>E54</f>
        <v>0</v>
      </c>
      <c r="Z9" s="34"/>
      <c r="AA9" s="40"/>
      <c r="AB9" s="40"/>
      <c r="AC9" s="38" t="s">
        <v>159</v>
      </c>
      <c r="AD9" s="48"/>
      <c r="AE9" s="53" t="e">
        <f>LOOKUP(AD9,T$5:T$78,U$5:U$47)</f>
        <v>#N/A</v>
      </c>
      <c r="AF9" s="37" t="s">
        <v>157</v>
      </c>
      <c r="AG9" s="65" t="e">
        <f>LOOKUP(AD9,T$5:T$78,W$5:W$46)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E64</f>
        <v>0</v>
      </c>
      <c r="V10" t="s">
        <v>77</v>
      </c>
      <c r="W10" s="29">
        <f>E66</f>
        <v>0</v>
      </c>
      <c r="Z10" s="34"/>
      <c r="AA10" s="40"/>
      <c r="AB10" s="40"/>
      <c r="AC10" s="38" t="s">
        <v>159</v>
      </c>
      <c r="AD10" s="48"/>
      <c r="AE10" s="53" t="e">
        <f>LOOKUP(AD10,T$5:T$78,U$5:U$47)</f>
        <v>#N/A</v>
      </c>
      <c r="AF10" s="37" t="s">
        <v>157</v>
      </c>
      <c r="AG10" s="65" t="e">
        <f>LOOKUP(AD10,T$5:T$78,W$5:W$46)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E73</f>
        <v>0</v>
      </c>
      <c r="V11" t="s">
        <v>77</v>
      </c>
      <c r="W11" s="29">
        <f>E75</f>
        <v>0</v>
      </c>
      <c r="Z11" s="34"/>
      <c r="AA11" s="40"/>
      <c r="AB11" s="40"/>
      <c r="AC11" s="38" t="s">
        <v>159</v>
      </c>
      <c r="AD11" s="48"/>
      <c r="AE11" s="53" t="e">
        <f>LOOKUP(AD11,T$5:T$78,U$5:U$47)</f>
        <v>#N/A</v>
      </c>
      <c r="AF11" s="37" t="s">
        <v>157</v>
      </c>
      <c r="AG11" s="65" t="e">
        <f>LOOKUP(AD11,T$5:T$78,W$5:W$46)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254</v>
      </c>
      <c r="K12" s="9" t="str">
        <f>IF(OR(J9="",J15=""),"",+IF(J9&gt;J15,I9,I15))</f>
        <v/>
      </c>
      <c r="L12" s="11"/>
      <c r="M12" s="10"/>
      <c r="N12" s="10"/>
      <c r="O12" s="10"/>
      <c r="P12" s="10"/>
      <c r="Q12" s="10"/>
      <c r="T12">
        <v>8</v>
      </c>
      <c r="U12" s="28">
        <f>E84</f>
        <v>0</v>
      </c>
      <c r="V12" t="s">
        <v>77</v>
      </c>
      <c r="W12" s="29">
        <f>E86</f>
        <v>0</v>
      </c>
      <c r="Z12" s="34"/>
      <c r="AA12" s="40"/>
      <c r="AB12" s="40"/>
      <c r="AC12" s="38" t="s">
        <v>159</v>
      </c>
      <c r="AD12" s="48"/>
      <c r="AE12" s="53" t="e">
        <f>LOOKUP(AD12,T$5:T$78,U$5:U$47)</f>
        <v>#N/A</v>
      </c>
      <c r="AF12" s="37" t="s">
        <v>157</v>
      </c>
      <c r="AG12" s="65" t="e">
        <f>LOOKUP(AD12,T$5:T$78,W$5:W$46)</f>
        <v>#N/A</v>
      </c>
    </row>
    <row r="13" spans="4:33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P13" s="10"/>
      <c r="Q13" s="10"/>
      <c r="T13">
        <v>9</v>
      </c>
      <c r="U13" s="28">
        <f>E88</f>
        <v>0</v>
      </c>
      <c r="V13" t="s">
        <v>77</v>
      </c>
      <c r="W13" s="29">
        <f>E90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P14" s="10"/>
      <c r="Q14" s="10"/>
      <c r="T14">
        <v>10</v>
      </c>
      <c r="U14" s="28">
        <f>E7</f>
        <v>0</v>
      </c>
      <c r="V14" t="s">
        <v>77</v>
      </c>
      <c r="W14" s="29" t="s">
        <v>78</v>
      </c>
      <c r="Z14" s="34"/>
      <c r="AA14" s="40"/>
      <c r="AB14" s="40"/>
      <c r="AC14" s="38" t="s">
        <v>159</v>
      </c>
      <c r="AD14" s="48"/>
      <c r="AE14" s="53" t="e">
        <f>LOOKUP(AD14,T$5:T$78,U$5:U$47)</f>
        <v>#N/A</v>
      </c>
      <c r="AF14" s="37" t="s">
        <v>157</v>
      </c>
      <c r="AG14" s="65" t="e">
        <f>LOOKUP(AD14,T$5:T$78,W$5:W$46)</f>
        <v>#N/A</v>
      </c>
    </row>
    <row r="15" spans="4:33" ht="13" thickBot="1">
      <c r="E15" s="10"/>
      <c r="F15" s="10"/>
      <c r="G15" s="10"/>
      <c r="H15" s="13" t="s">
        <v>223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P15" s="10"/>
      <c r="Q15" s="10"/>
      <c r="T15">
        <v>11</v>
      </c>
      <c r="U15" s="28">
        <f>E14</f>
        <v>0</v>
      </c>
      <c r="V15" t="s">
        <v>77</v>
      </c>
      <c r="W15" s="29">
        <f>E16</f>
        <v>0</v>
      </c>
      <c r="Z15" s="34"/>
      <c r="AA15" s="40"/>
      <c r="AB15" s="40"/>
      <c r="AC15" s="38" t="s">
        <v>159</v>
      </c>
      <c r="AD15" s="48"/>
      <c r="AE15" s="53" t="e">
        <f>LOOKUP(AD15,T$5:T$78,U$5:U$47)</f>
        <v>#N/A</v>
      </c>
      <c r="AF15" s="37" t="s">
        <v>157</v>
      </c>
      <c r="AG15" s="65" t="e">
        <f>LOOKUP(AD15,T$5:T$78,W$5:W$46)</f>
        <v>#N/A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P16" s="10"/>
      <c r="Q16" s="10"/>
      <c r="T16">
        <v>12</v>
      </c>
      <c r="U16" s="28">
        <f>E18</f>
        <v>0</v>
      </c>
      <c r="V16" t="s">
        <v>77</v>
      </c>
      <c r="W16" s="29">
        <f>E20</f>
        <v>0</v>
      </c>
      <c r="Z16" s="34"/>
      <c r="AA16" s="40"/>
      <c r="AB16" s="40"/>
      <c r="AC16" s="38" t="s">
        <v>159</v>
      </c>
      <c r="AD16" s="48"/>
      <c r="AE16" s="53" t="e">
        <f>LOOKUP(AD16,T$5:T$78,U$5:U$47)</f>
        <v>#N/A</v>
      </c>
      <c r="AF16" s="37" t="s">
        <v>157</v>
      </c>
      <c r="AG16" s="65" t="e">
        <f>LOOKUP(AD16,T$5:T$78,W$5:W$46)</f>
        <v>#N/A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216</v>
      </c>
      <c r="M17" s="9" t="str">
        <f>IF(OR(L12="",L22=""),"",+IF(L12&gt;L22,K12,K22))</f>
        <v/>
      </c>
      <c r="N17" s="11"/>
      <c r="O17" s="10"/>
      <c r="P17" s="10"/>
      <c r="Q17" s="10"/>
      <c r="T17">
        <v>13</v>
      </c>
      <c r="U17" s="28" t="s">
        <v>160</v>
      </c>
      <c r="V17" t="s">
        <v>77</v>
      </c>
      <c r="W17" s="29">
        <f>E26</f>
        <v>0</v>
      </c>
      <c r="Z17" s="34"/>
      <c r="AA17" s="40"/>
      <c r="AB17" s="40"/>
      <c r="AC17" s="38" t="s">
        <v>159</v>
      </c>
      <c r="AD17" s="48"/>
      <c r="AE17" s="53" t="e">
        <f>LOOKUP(AD17,T$5:T$78,U$5:U$47)</f>
        <v>#N/A</v>
      </c>
      <c r="AF17" s="37" t="s">
        <v>157</v>
      </c>
      <c r="AG17" s="65" t="e">
        <f>LOOKUP(AD17,T$5:T$78,W$5:W$46)</f>
        <v>#N/A</v>
      </c>
    </row>
    <row r="18" spans="4:33" ht="13" thickBot="1">
      <c r="D18">
        <v>6</v>
      </c>
      <c r="E18" s="9"/>
      <c r="F18" s="9"/>
      <c r="G18" s="9">
        <f>E18</f>
        <v>0</v>
      </c>
      <c r="H18" s="11"/>
      <c r="I18" s="10"/>
      <c r="J18" s="10"/>
      <c r="K18" s="10"/>
      <c r="L18" s="14"/>
      <c r="M18" s="10"/>
      <c r="N18" s="13"/>
      <c r="O18" s="10"/>
      <c r="P18" s="10"/>
      <c r="Q18" s="10"/>
      <c r="T18">
        <v>14</v>
      </c>
      <c r="U18" s="28">
        <f>E28</f>
        <v>0</v>
      </c>
      <c r="V18" t="s">
        <v>77</v>
      </c>
      <c r="W18" s="29" t="s">
        <v>161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/>
      <c r="F19" s="10"/>
      <c r="G19" s="10"/>
      <c r="H19" s="13" t="s">
        <v>225</v>
      </c>
      <c r="I19" s="9" t="str">
        <f>IF(OR(H18="",H20=""),"",+IF(H18&gt;H20,E18,E20))</f>
        <v/>
      </c>
      <c r="J19" s="17"/>
      <c r="K19" s="10"/>
      <c r="L19" s="14"/>
      <c r="M19" s="10"/>
      <c r="N19" s="14"/>
      <c r="O19" s="10"/>
      <c r="P19" s="10"/>
      <c r="Q19" s="10"/>
      <c r="T19">
        <v>15</v>
      </c>
      <c r="U19" s="28">
        <f>E35</f>
        <v>0</v>
      </c>
      <c r="V19" t="s">
        <v>77</v>
      </c>
      <c r="W19" s="29">
        <f>E37</f>
        <v>0</v>
      </c>
      <c r="Z19" s="34"/>
      <c r="AA19" s="40"/>
      <c r="AB19" s="40"/>
      <c r="AC19" s="38" t="s">
        <v>159</v>
      </c>
      <c r="AD19" s="48"/>
      <c r="AE19" s="53" t="e">
        <f>LOOKUP(AD19,T$5:T$78,U$5:U$47)</f>
        <v>#N/A</v>
      </c>
      <c r="AF19" s="37" t="s">
        <v>157</v>
      </c>
      <c r="AG19" s="65" t="e">
        <f>LOOKUP(AD19,T$5:T$78,W$5:W$46)</f>
        <v>#N/A</v>
      </c>
    </row>
    <row r="20" spans="4:33" ht="13" thickBot="1">
      <c r="D20">
        <v>7</v>
      </c>
      <c r="E20" s="9"/>
      <c r="F20" s="9"/>
      <c r="G20" s="9">
        <f>E20</f>
        <v>0</v>
      </c>
      <c r="H20" s="16"/>
      <c r="I20" s="10"/>
      <c r="J20" s="13"/>
      <c r="K20" s="10"/>
      <c r="L20" s="14"/>
      <c r="M20" s="10"/>
      <c r="N20" s="14"/>
      <c r="O20" s="10"/>
      <c r="P20" s="10"/>
      <c r="Q20" s="10"/>
      <c r="T20">
        <v>16</v>
      </c>
      <c r="U20" s="28">
        <f>E39</f>
        <v>0</v>
      </c>
      <c r="V20" t="s">
        <v>77</v>
      </c>
      <c r="W20" s="29">
        <f>E41</f>
        <v>0</v>
      </c>
      <c r="Z20" s="34"/>
      <c r="AA20" s="40"/>
      <c r="AB20" s="40"/>
      <c r="AC20" s="38" t="s">
        <v>159</v>
      </c>
      <c r="AD20" s="48"/>
      <c r="AE20" s="53" t="e">
        <f>LOOKUP(AD20,T$5:T$78,U$5:U$47)</f>
        <v>#N/A</v>
      </c>
      <c r="AF20" s="37" t="s">
        <v>157</v>
      </c>
      <c r="AG20" s="65" t="e">
        <f>LOOKUP(AD20,T$5:T$78,W$5:W$46)</f>
        <v>#N/A</v>
      </c>
    </row>
    <row r="21" spans="4:33">
      <c r="E21" s="10"/>
      <c r="F21" s="10"/>
      <c r="G21" s="10"/>
      <c r="H21" s="10"/>
      <c r="I21" s="10"/>
      <c r="J21" s="14"/>
      <c r="K21" s="10"/>
      <c r="L21" s="14"/>
      <c r="M21" s="10"/>
      <c r="N21" s="14"/>
      <c r="O21" s="10"/>
      <c r="P21" s="10"/>
      <c r="Q21" s="10"/>
      <c r="T21">
        <v>17</v>
      </c>
      <c r="U21" s="28" t="s">
        <v>81</v>
      </c>
      <c r="V21" t="s">
        <v>77</v>
      </c>
      <c r="W21" s="29">
        <f>E47</f>
        <v>0</v>
      </c>
      <c r="Z21" s="34"/>
      <c r="AA21" s="40"/>
      <c r="AB21" s="40"/>
      <c r="AC21" s="38" t="s">
        <v>159</v>
      </c>
      <c r="AD21" s="48"/>
      <c r="AE21" s="53" t="e">
        <f>LOOKUP(AD21,T$5:T$78,U$5:U$47)</f>
        <v>#N/A</v>
      </c>
      <c r="AF21" s="37" t="s">
        <v>157</v>
      </c>
      <c r="AG21" s="65" t="e">
        <f>LOOKUP(AD21,T$5:T$78,W$5:W$46)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4" t="s">
        <v>256</v>
      </c>
      <c r="K22" s="18" t="str">
        <f>IF(OR(I19="",I24=""),"",+IF(J19&gt;J24,I19,I24))</f>
        <v/>
      </c>
      <c r="L22" s="16"/>
      <c r="M22" s="10"/>
      <c r="N22" s="14"/>
      <c r="O22" s="10"/>
      <c r="P22" s="10"/>
      <c r="Q22" s="10"/>
      <c r="T22">
        <v>18</v>
      </c>
      <c r="U22" s="28">
        <f>E49</f>
        <v>0</v>
      </c>
      <c r="V22" t="s">
        <v>77</v>
      </c>
      <c r="W22" s="29" t="s">
        <v>267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204</v>
      </c>
      <c r="G23" s="9" t="str">
        <f>IF(OR(F22="",F24=""),"",+IF(F22&gt;F24,E22,E24))</f>
        <v/>
      </c>
      <c r="H23" s="17"/>
      <c r="I23" s="10"/>
      <c r="J23" s="14"/>
      <c r="K23" s="10"/>
      <c r="L23" s="10"/>
      <c r="M23" s="10"/>
      <c r="N23" s="14"/>
      <c r="O23" s="10"/>
      <c r="P23" s="10"/>
      <c r="Q23" s="10"/>
      <c r="T23">
        <v>19</v>
      </c>
      <c r="U23" s="28">
        <f>E56</f>
        <v>0</v>
      </c>
      <c r="V23" t="s">
        <v>77</v>
      </c>
      <c r="W23" s="29">
        <f>E58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/>
      <c r="F24" s="16"/>
      <c r="G24" s="10"/>
      <c r="H24" s="13" t="s">
        <v>227</v>
      </c>
      <c r="I24" s="9" t="str">
        <f>IF(OR(H23="",H26=""),"",+IF(H23&gt;H26,G23,G26))</f>
        <v/>
      </c>
      <c r="J24" s="16"/>
      <c r="K24" s="10"/>
      <c r="L24" s="10"/>
      <c r="M24" s="10"/>
      <c r="N24" s="14"/>
      <c r="O24" s="10"/>
      <c r="P24" s="10"/>
      <c r="Q24" s="10"/>
      <c r="T24">
        <v>20</v>
      </c>
      <c r="U24" s="28">
        <f>E60</f>
        <v>0</v>
      </c>
      <c r="V24" t="s">
        <v>77</v>
      </c>
      <c r="W24" s="29">
        <f>E62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>
      <c r="E25" s="10"/>
      <c r="F25" s="10"/>
      <c r="G25" s="10"/>
      <c r="H25" s="14"/>
      <c r="I25" s="10"/>
      <c r="J25" s="10"/>
      <c r="K25" s="10"/>
      <c r="L25" s="10"/>
      <c r="M25" s="10"/>
      <c r="N25" s="14"/>
      <c r="O25" s="10"/>
      <c r="P25" s="10"/>
      <c r="Q25" s="10"/>
      <c r="T25">
        <v>21</v>
      </c>
      <c r="U25" s="28" t="s">
        <v>163</v>
      </c>
      <c r="V25" t="s">
        <v>77</v>
      </c>
      <c r="W25" s="29">
        <f>E68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/>
      <c r="F26" s="9"/>
      <c r="G26" s="9">
        <f>E26</f>
        <v>0</v>
      </c>
      <c r="H26" s="16"/>
      <c r="I26" s="10"/>
      <c r="J26" s="10"/>
      <c r="K26" s="10"/>
      <c r="L26" s="10"/>
      <c r="M26" s="10"/>
      <c r="N26" s="14"/>
      <c r="O26" s="10"/>
      <c r="P26" s="10"/>
      <c r="Q26" s="10"/>
      <c r="T26">
        <v>22</v>
      </c>
      <c r="U26" s="28">
        <f>E70</f>
        <v>0</v>
      </c>
      <c r="V26" t="s">
        <v>77</v>
      </c>
      <c r="W26" s="29" t="s">
        <v>84</v>
      </c>
      <c r="Z26" s="34"/>
      <c r="AA26" s="40"/>
      <c r="AB26" s="40"/>
      <c r="AC26" s="38" t="s">
        <v>159</v>
      </c>
      <c r="AD26" s="48"/>
      <c r="AE26" s="53" t="e">
        <f t="shared" ref="AE26:AE39" si="0">LOOKUP(AD26,T$5:T$78,U$5:U$47)</f>
        <v>#N/A</v>
      </c>
      <c r="AF26" s="37" t="s">
        <v>157</v>
      </c>
      <c r="AG26" s="65" t="e">
        <f t="shared" ref="AG26:AG39" si="1">LOOKUP(AD26,T$5:T$78,W$5:W$46)</f>
        <v>#N/A</v>
      </c>
    </row>
    <row r="27" spans="4:33" ht="13" thickBot="1">
      <c r="E27" s="10"/>
      <c r="F27" s="10"/>
      <c r="G27" s="10"/>
      <c r="H27" s="10"/>
      <c r="I27" s="10"/>
      <c r="J27" s="10"/>
      <c r="K27" s="10"/>
      <c r="L27" s="10"/>
      <c r="M27" s="10"/>
      <c r="N27" s="14" t="s">
        <v>231</v>
      </c>
      <c r="O27" s="9" t="str">
        <f>IF(OR(N17="",N38=""),"",+IF(N17&gt;N38,M17,M38))</f>
        <v/>
      </c>
      <c r="P27" s="17"/>
      <c r="Q27" s="10"/>
      <c r="T27">
        <v>23</v>
      </c>
      <c r="U27" s="28">
        <f>E77</f>
        <v>0</v>
      </c>
      <c r="V27" t="s">
        <v>77</v>
      </c>
      <c r="W27" s="29">
        <f>E79</f>
        <v>0</v>
      </c>
      <c r="Z27" s="34"/>
      <c r="AA27" s="40"/>
      <c r="AB27" s="40"/>
      <c r="AC27" s="38" t="s">
        <v>159</v>
      </c>
      <c r="AD27" s="48"/>
      <c r="AE27" s="53" t="e">
        <f t="shared" si="0"/>
        <v>#N/A</v>
      </c>
      <c r="AF27" s="37" t="s">
        <v>157</v>
      </c>
      <c r="AG27" s="65" t="e">
        <f t="shared" si="1"/>
        <v>#N/A</v>
      </c>
    </row>
    <row r="28" spans="4:33" ht="13" thickBot="1">
      <c r="D28">
        <v>11</v>
      </c>
      <c r="E28" s="10"/>
      <c r="F28" s="9"/>
      <c r="G28" s="9">
        <f>E28</f>
        <v>0</v>
      </c>
      <c r="H28" s="11"/>
      <c r="I28" s="10"/>
      <c r="J28" s="10"/>
      <c r="K28" s="10"/>
      <c r="L28" s="10"/>
      <c r="M28" s="10"/>
      <c r="N28" s="14"/>
      <c r="O28" s="10"/>
      <c r="P28" s="14"/>
      <c r="Q28" s="10"/>
      <c r="T28">
        <v>24</v>
      </c>
      <c r="U28" s="28">
        <f>E81</f>
        <v>0</v>
      </c>
      <c r="V28" t="s">
        <v>77</v>
      </c>
      <c r="W28" s="29" t="s">
        <v>164</v>
      </c>
      <c r="Z28" s="34"/>
      <c r="AA28" s="40"/>
      <c r="AB28" s="40"/>
      <c r="AC28" s="38" t="s">
        <v>159</v>
      </c>
      <c r="AD28" s="48"/>
      <c r="AE28" s="53" t="e">
        <f t="shared" si="0"/>
        <v>#N/A</v>
      </c>
      <c r="AF28" s="37" t="s">
        <v>157</v>
      </c>
      <c r="AG28" s="65" t="e">
        <f t="shared" si="1"/>
        <v>#N/A</v>
      </c>
    </row>
    <row r="29" spans="4:33">
      <c r="E29" s="12"/>
      <c r="F29" s="10"/>
      <c r="G29" s="10"/>
      <c r="H29" s="13"/>
      <c r="I29" s="10"/>
      <c r="J29" s="10"/>
      <c r="K29" s="10"/>
      <c r="L29" s="10"/>
      <c r="M29" s="10"/>
      <c r="N29" s="14"/>
      <c r="O29" s="10"/>
      <c r="P29" s="14"/>
      <c r="Q29" s="10"/>
      <c r="T29">
        <v>25</v>
      </c>
      <c r="U29" s="28" t="s">
        <v>86</v>
      </c>
      <c r="V29" t="s">
        <v>77</v>
      </c>
      <c r="W29" s="29">
        <f>E92</f>
        <v>0</v>
      </c>
      <c r="Z29" s="34"/>
      <c r="AA29" s="40"/>
      <c r="AB29" s="40"/>
      <c r="AC29" s="38" t="s">
        <v>159</v>
      </c>
      <c r="AD29" s="48"/>
      <c r="AE29" s="53" t="e">
        <f t="shared" si="0"/>
        <v>#N/A</v>
      </c>
      <c r="AF29" s="37" t="s">
        <v>157</v>
      </c>
      <c r="AG29" s="65" t="e">
        <f t="shared" si="1"/>
        <v>#N/A</v>
      </c>
    </row>
    <row r="30" spans="4:33" ht="13" thickBot="1">
      <c r="E30" s="10"/>
      <c r="F30" s="10"/>
      <c r="G30" s="10"/>
      <c r="H30" s="14" t="s">
        <v>229</v>
      </c>
      <c r="I30" s="9" t="str">
        <f>IF(OR(H28="",H32=""),"",+IF(H28&gt;H32,G28,G32))</f>
        <v/>
      </c>
      <c r="J30" s="11"/>
      <c r="K30" s="10"/>
      <c r="L30" s="10"/>
      <c r="M30" s="10"/>
      <c r="N30" s="14"/>
      <c r="O30" s="10"/>
      <c r="P30" s="14"/>
      <c r="Q30" s="10"/>
      <c r="T30">
        <v>26</v>
      </c>
      <c r="U30" s="28" t="s">
        <v>87</v>
      </c>
      <c r="V30" t="s">
        <v>77</v>
      </c>
      <c r="W30" s="29" t="s">
        <v>88</v>
      </c>
      <c r="Z30" s="34"/>
      <c r="AA30" s="41"/>
      <c r="AB30" s="33"/>
      <c r="AC30" s="33"/>
      <c r="AD30" s="50"/>
      <c r="AE30" s="54" t="e">
        <f t="shared" si="0"/>
        <v>#N/A</v>
      </c>
      <c r="AF30" s="33"/>
      <c r="AG30" s="58" t="e">
        <f t="shared" si="1"/>
        <v>#N/A</v>
      </c>
    </row>
    <row r="31" spans="4:33" ht="13" thickBot="1">
      <c r="D31">
        <v>12</v>
      </c>
      <c r="E31" s="10"/>
      <c r="F31" s="11"/>
      <c r="G31" s="10"/>
      <c r="H31" s="14"/>
      <c r="I31" s="10"/>
      <c r="J31" s="13"/>
      <c r="K31" s="10"/>
      <c r="L31" s="10"/>
      <c r="M31" s="10"/>
      <c r="N31" s="14"/>
      <c r="O31" s="10"/>
      <c r="P31" s="14"/>
      <c r="Q31" s="10"/>
      <c r="T31">
        <v>27</v>
      </c>
      <c r="U31" s="28" t="s">
        <v>89</v>
      </c>
      <c r="V31" t="s">
        <v>77</v>
      </c>
      <c r="W31" s="29" t="s">
        <v>90</v>
      </c>
      <c r="Z31" s="34"/>
      <c r="AA31" s="40"/>
      <c r="AB31" s="40"/>
      <c r="AC31" s="38" t="s">
        <v>159</v>
      </c>
      <c r="AD31" s="48"/>
      <c r="AE31" s="53" t="e">
        <f t="shared" si="0"/>
        <v>#N/A</v>
      </c>
      <c r="AF31" s="37" t="s">
        <v>157</v>
      </c>
      <c r="AG31" s="65" t="e">
        <f t="shared" si="1"/>
        <v>#N/A</v>
      </c>
    </row>
    <row r="32" spans="4:33" ht="13" thickBot="1">
      <c r="E32" s="12"/>
      <c r="F32" s="13" t="s">
        <v>206</v>
      </c>
      <c r="G32" s="9" t="str">
        <f>IF(OR(F31="",F33=""),"",+IF(F31&gt;F33,E31,E33))</f>
        <v/>
      </c>
      <c r="H32" s="16"/>
      <c r="I32" s="10"/>
      <c r="J32" s="14"/>
      <c r="K32" s="10"/>
      <c r="L32" s="10"/>
      <c r="M32" s="10"/>
      <c r="N32" s="14"/>
      <c r="O32" s="10"/>
      <c r="P32" s="14"/>
      <c r="Q32" s="10"/>
      <c r="T32">
        <v>28</v>
      </c>
      <c r="U32" s="28" t="s">
        <v>91</v>
      </c>
      <c r="V32" t="s">
        <v>77</v>
      </c>
      <c r="W32" s="29" t="s">
        <v>92</v>
      </c>
      <c r="Z32" s="34"/>
      <c r="AA32" s="40"/>
      <c r="AB32" s="40"/>
      <c r="AC32" s="38" t="s">
        <v>159</v>
      </c>
      <c r="AD32" s="48"/>
      <c r="AE32" s="53" t="e">
        <f t="shared" si="0"/>
        <v>#N/A</v>
      </c>
      <c r="AF32" s="37" t="s">
        <v>157</v>
      </c>
      <c r="AG32" s="65" t="e">
        <f t="shared" si="1"/>
        <v>#N/A</v>
      </c>
    </row>
    <row r="33" spans="4:33" ht="13" thickBot="1">
      <c r="D33">
        <v>13</v>
      </c>
      <c r="E33" s="10"/>
      <c r="F33" s="16"/>
      <c r="G33" s="10"/>
      <c r="H33" s="10"/>
      <c r="I33" s="10"/>
      <c r="J33" s="14" t="s">
        <v>258</v>
      </c>
      <c r="K33" s="9" t="str">
        <f>IF(OR(J30="",J36=""),"",+IF(J30&gt;J36,I30,I36))</f>
        <v/>
      </c>
      <c r="L33" s="11"/>
      <c r="M33" s="10"/>
      <c r="N33" s="14"/>
      <c r="O33" s="10"/>
      <c r="P33" s="14"/>
      <c r="Q33" s="10"/>
      <c r="T33">
        <v>29</v>
      </c>
      <c r="U33" s="28" t="s">
        <v>165</v>
      </c>
      <c r="V33" t="s">
        <v>77</v>
      </c>
      <c r="W33" s="29" t="s">
        <v>94</v>
      </c>
      <c r="Z33" s="34"/>
      <c r="AA33" s="40"/>
      <c r="AB33" s="40"/>
      <c r="AC33" s="38" t="s">
        <v>159</v>
      </c>
      <c r="AD33" s="48"/>
      <c r="AE33" s="53" t="e">
        <f t="shared" si="0"/>
        <v>#N/A</v>
      </c>
      <c r="AF33" s="37" t="s">
        <v>157</v>
      </c>
      <c r="AG33" s="65" t="e">
        <f t="shared" si="1"/>
        <v>#N/A</v>
      </c>
    </row>
    <row r="34" spans="4:33">
      <c r="E34" s="12"/>
      <c r="F34" s="10"/>
      <c r="G34" s="10"/>
      <c r="H34" s="10"/>
      <c r="I34" s="10"/>
      <c r="J34" s="14"/>
      <c r="K34" s="12"/>
      <c r="L34" s="13"/>
      <c r="M34" s="10"/>
      <c r="N34" s="14"/>
      <c r="O34" s="10"/>
      <c r="P34" s="14"/>
      <c r="Q34" s="10"/>
      <c r="T34">
        <v>30</v>
      </c>
      <c r="U34" s="28" t="s">
        <v>95</v>
      </c>
      <c r="V34" t="s">
        <v>77</v>
      </c>
      <c r="W34" s="29" t="s">
        <v>96</v>
      </c>
      <c r="Z34" s="34"/>
      <c r="AA34" s="40"/>
      <c r="AB34" s="40"/>
      <c r="AC34" s="38" t="s">
        <v>159</v>
      </c>
      <c r="AD34" s="48"/>
      <c r="AE34" s="53" t="e">
        <f t="shared" si="0"/>
        <v>#N/A</v>
      </c>
      <c r="AF34" s="37" t="s">
        <v>157</v>
      </c>
      <c r="AG34" s="65" t="e">
        <f t="shared" si="1"/>
        <v>#N/A</v>
      </c>
    </row>
    <row r="35" spans="4:33" ht="13" thickBot="1">
      <c r="D35">
        <v>14</v>
      </c>
      <c r="E35" s="9"/>
      <c r="F35" s="9"/>
      <c r="G35" s="9">
        <f>E35</f>
        <v>0</v>
      </c>
      <c r="H35" s="11"/>
      <c r="I35" s="10"/>
      <c r="J35" s="14"/>
      <c r="K35" s="10"/>
      <c r="L35" s="14"/>
      <c r="M35" s="10"/>
      <c r="N35" s="14"/>
      <c r="O35" s="10"/>
      <c r="P35" s="14"/>
      <c r="Q35" s="10"/>
      <c r="T35">
        <v>31</v>
      </c>
      <c r="U35" s="28" t="s">
        <v>97</v>
      </c>
      <c r="V35" t="s">
        <v>77</v>
      </c>
      <c r="W35" s="29" t="s">
        <v>98</v>
      </c>
      <c r="Z35" s="34"/>
      <c r="AA35" s="41"/>
      <c r="AB35" s="33"/>
      <c r="AC35" s="33"/>
      <c r="AD35" s="50"/>
      <c r="AE35" s="54" t="e">
        <f t="shared" si="0"/>
        <v>#N/A</v>
      </c>
      <c r="AF35" s="33"/>
      <c r="AG35" s="58" t="e">
        <f t="shared" si="1"/>
        <v>#N/A</v>
      </c>
    </row>
    <row r="36" spans="4:33" ht="13" thickBot="1">
      <c r="E36" s="10"/>
      <c r="F36" s="10"/>
      <c r="G36" s="10"/>
      <c r="H36" s="13" t="s">
        <v>232</v>
      </c>
      <c r="I36" s="9" t="str">
        <f>IF(OR(H35="",H37=""),"",+IF(H35&gt;H37,E35,E37))</f>
        <v/>
      </c>
      <c r="J36" s="16"/>
      <c r="K36" s="10"/>
      <c r="L36" s="14"/>
      <c r="M36" s="10"/>
      <c r="N36" s="14"/>
      <c r="O36" s="10"/>
      <c r="P36" s="14"/>
      <c r="Q36" s="10"/>
      <c r="T36">
        <v>32</v>
      </c>
      <c r="U36" s="28" t="s">
        <v>99</v>
      </c>
      <c r="V36" t="s">
        <v>77</v>
      </c>
      <c r="W36" s="29" t="s">
        <v>100</v>
      </c>
      <c r="Z36" s="34"/>
      <c r="AA36" s="40"/>
      <c r="AB36" s="40"/>
      <c r="AC36" s="38" t="s">
        <v>159</v>
      </c>
      <c r="AD36" s="48"/>
      <c r="AE36" s="53" t="e">
        <f t="shared" si="0"/>
        <v>#N/A</v>
      </c>
      <c r="AF36" s="37" t="s">
        <v>157</v>
      </c>
      <c r="AG36" s="65" t="e">
        <f t="shared" si="1"/>
        <v>#N/A</v>
      </c>
    </row>
    <row r="37" spans="4:33" ht="13" thickBot="1">
      <c r="D37">
        <v>15</v>
      </c>
      <c r="E37" s="9"/>
      <c r="F37" s="9"/>
      <c r="G37" s="9">
        <f>E37</f>
        <v>0</v>
      </c>
      <c r="H37" s="16"/>
      <c r="I37" s="10"/>
      <c r="J37" s="10"/>
      <c r="K37" s="10"/>
      <c r="L37" s="14"/>
      <c r="M37" s="10"/>
      <c r="N37" s="14"/>
      <c r="O37" s="10"/>
      <c r="P37" s="14"/>
      <c r="Q37" s="10"/>
      <c r="T37">
        <v>33</v>
      </c>
      <c r="U37" s="28" t="s">
        <v>101</v>
      </c>
      <c r="V37" t="s">
        <v>77</v>
      </c>
      <c r="W37" s="29" t="s">
        <v>102</v>
      </c>
      <c r="Z37" s="34"/>
      <c r="AA37" s="40"/>
      <c r="AB37" s="40"/>
      <c r="AC37" s="38" t="s">
        <v>159</v>
      </c>
      <c r="AD37" s="48"/>
      <c r="AE37" s="53" t="e">
        <f t="shared" si="0"/>
        <v>#N/A</v>
      </c>
      <c r="AF37" s="37" t="s">
        <v>157</v>
      </c>
      <c r="AG37" s="65" t="e">
        <f t="shared" si="1"/>
        <v>#N/A</v>
      </c>
    </row>
    <row r="38" spans="4:33" ht="13" thickBot="1">
      <c r="E38" s="10"/>
      <c r="F38" s="10"/>
      <c r="G38" s="10"/>
      <c r="H38" s="10"/>
      <c r="I38" s="10"/>
      <c r="J38" s="10"/>
      <c r="K38" s="10"/>
      <c r="L38" s="14" t="s">
        <v>220</v>
      </c>
      <c r="M38" s="9" t="str">
        <f>IF(OR(L33="",L43=""),"",+IF(L33&gt;L43,K33,K43))</f>
        <v/>
      </c>
      <c r="N38" s="16"/>
      <c r="O38" s="10"/>
      <c r="P38" s="14"/>
      <c r="Q38" s="10"/>
      <c r="T38">
        <v>34</v>
      </c>
      <c r="U38" s="28" t="s">
        <v>103</v>
      </c>
      <c r="V38" t="s">
        <v>77</v>
      </c>
      <c r="W38" s="29" t="s">
        <v>104</v>
      </c>
      <c r="Z38" s="34"/>
      <c r="AA38" s="40"/>
      <c r="AB38" s="40"/>
      <c r="AC38" s="38" t="s">
        <v>159</v>
      </c>
      <c r="AD38" s="48"/>
      <c r="AE38" s="53" t="e">
        <f t="shared" si="0"/>
        <v>#N/A</v>
      </c>
      <c r="AF38" s="37" t="s">
        <v>157</v>
      </c>
      <c r="AG38" s="65" t="e">
        <f t="shared" si="1"/>
        <v>#N/A</v>
      </c>
    </row>
    <row r="39" spans="4:33" ht="13" thickBot="1">
      <c r="D39">
        <v>16</v>
      </c>
      <c r="E39" s="9"/>
      <c r="F39" s="9"/>
      <c r="G39" s="9">
        <f>E39</f>
        <v>0</v>
      </c>
      <c r="H39" s="11"/>
      <c r="I39" s="10"/>
      <c r="J39" s="10"/>
      <c r="K39" s="10"/>
      <c r="L39" s="14"/>
      <c r="M39" s="10"/>
      <c r="N39" s="10"/>
      <c r="O39" s="10"/>
      <c r="P39" s="14"/>
      <c r="Q39" s="10"/>
      <c r="T39">
        <v>35</v>
      </c>
      <c r="U39" s="28" t="s">
        <v>105</v>
      </c>
      <c r="V39" t="s">
        <v>77</v>
      </c>
      <c r="W39" s="29" t="s">
        <v>106</v>
      </c>
      <c r="Z39" s="34"/>
      <c r="AA39" s="33"/>
      <c r="AB39" s="33"/>
      <c r="AC39" s="33"/>
      <c r="AD39" s="50"/>
      <c r="AE39" s="64" t="e">
        <f t="shared" si="0"/>
        <v>#N/A</v>
      </c>
      <c r="AF39" s="33"/>
      <c r="AG39" s="59" t="e">
        <f t="shared" si="1"/>
        <v>#N/A</v>
      </c>
    </row>
    <row r="40" spans="4:33" ht="13" thickBot="1">
      <c r="E40" s="10"/>
      <c r="F40" s="10"/>
      <c r="G40" s="10"/>
      <c r="H40" s="13" t="s">
        <v>234</v>
      </c>
      <c r="I40" s="9" t="str">
        <f>IF(OR(H39="",H41=""),"",+IF(H39&gt;H41,E39,E41))</f>
        <v/>
      </c>
      <c r="J40" s="17"/>
      <c r="K40" s="10"/>
      <c r="L40" s="14"/>
      <c r="M40" s="10"/>
      <c r="N40" s="10"/>
      <c r="O40" s="10"/>
      <c r="P40" s="14"/>
      <c r="Q40" s="10"/>
      <c r="T40">
        <v>36</v>
      </c>
      <c r="U40" s="28" t="s">
        <v>107</v>
      </c>
      <c r="V40" t="s">
        <v>77</v>
      </c>
      <c r="W40" s="29" t="s">
        <v>108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9"/>
      <c r="F41" s="9"/>
      <c r="G41" s="9">
        <f>E41</f>
        <v>0</v>
      </c>
      <c r="H41" s="16"/>
      <c r="I41" s="10"/>
      <c r="J41" s="13"/>
      <c r="K41" s="10"/>
      <c r="L41" s="14"/>
      <c r="M41" s="10"/>
      <c r="N41" s="10"/>
      <c r="O41" s="10"/>
      <c r="P41" s="14"/>
      <c r="Q41" s="10"/>
      <c r="T41">
        <v>37</v>
      </c>
      <c r="U41" s="28" t="s">
        <v>109</v>
      </c>
      <c r="V41" t="s">
        <v>77</v>
      </c>
      <c r="W41" s="29" t="s">
        <v>110</v>
      </c>
      <c r="Z41" s="34"/>
      <c r="AA41" s="102"/>
      <c r="AB41" s="103"/>
      <c r="AC41" s="103"/>
      <c r="AD41" s="103"/>
      <c r="AE41" s="103"/>
      <c r="AF41" s="103"/>
      <c r="AG41" s="104"/>
    </row>
    <row r="42" spans="4:33">
      <c r="E42" s="10"/>
      <c r="F42" s="10"/>
      <c r="G42" s="10"/>
      <c r="H42" s="10"/>
      <c r="I42" s="10"/>
      <c r="J42" s="14"/>
      <c r="K42" s="10"/>
      <c r="L42" s="14"/>
      <c r="M42" s="10"/>
      <c r="N42" s="10"/>
      <c r="O42" s="10"/>
      <c r="P42" s="14"/>
      <c r="Q42" s="10"/>
      <c r="T42">
        <v>38</v>
      </c>
      <c r="U42" s="28" t="s">
        <v>111</v>
      </c>
      <c r="V42" t="s">
        <v>77</v>
      </c>
      <c r="W42" s="29" t="s">
        <v>112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10"/>
      <c r="F43" s="11"/>
      <c r="G43" s="10"/>
      <c r="H43" s="10"/>
      <c r="I43" s="10"/>
      <c r="J43" s="14" t="s">
        <v>260</v>
      </c>
      <c r="K43" s="18" t="str">
        <f>IF(OR(I40="",I45=""),"",+IF(J40&gt;J45,I40,I45))</f>
        <v/>
      </c>
      <c r="L43" s="16"/>
      <c r="M43" s="10"/>
      <c r="N43" s="10"/>
      <c r="O43" s="10"/>
      <c r="P43" s="14"/>
      <c r="Q43" s="10"/>
      <c r="T43">
        <v>39</v>
      </c>
      <c r="U43" s="28" t="s">
        <v>113</v>
      </c>
      <c r="V43" t="s">
        <v>77</v>
      </c>
      <c r="W43" s="29" t="s">
        <v>114</v>
      </c>
      <c r="Z43" s="34"/>
      <c r="AA43" s="40"/>
      <c r="AB43" s="40"/>
      <c r="AC43" s="38" t="s">
        <v>159</v>
      </c>
      <c r="AD43" s="48"/>
      <c r="AE43" s="53" t="e">
        <f>LOOKUP(AD43,T$5:T$78,U$5:U$47)</f>
        <v>#N/A</v>
      </c>
      <c r="AF43" s="37" t="s">
        <v>157</v>
      </c>
      <c r="AG43" s="65" t="e">
        <f>LOOKUP(AD43,T$5:T$78,W$5:W$46)</f>
        <v>#N/A</v>
      </c>
    </row>
    <row r="44" spans="4:33" ht="13" thickBot="1">
      <c r="E44" s="12"/>
      <c r="F44" s="13" t="s">
        <v>208</v>
      </c>
      <c r="G44" s="9" t="str">
        <f>IF(OR(F43="",F45=""),"",+IF(F43&gt;F45,E43,E45))</f>
        <v/>
      </c>
      <c r="H44" s="17"/>
      <c r="I44" s="10"/>
      <c r="J44" s="14"/>
      <c r="K44" s="10"/>
      <c r="L44" s="10"/>
      <c r="M44" s="10"/>
      <c r="N44" s="10"/>
      <c r="O44" s="10"/>
      <c r="P44" s="14"/>
      <c r="Q44" s="10"/>
      <c r="T44">
        <v>40</v>
      </c>
      <c r="U44" s="28" t="s">
        <v>115</v>
      </c>
      <c r="V44" t="s">
        <v>77</v>
      </c>
      <c r="W44" s="29" t="s">
        <v>116</v>
      </c>
      <c r="Z44" s="34"/>
      <c r="AA44" s="40"/>
      <c r="AB44" s="40"/>
      <c r="AC44" s="38" t="s">
        <v>159</v>
      </c>
      <c r="AD44" s="48"/>
      <c r="AE44" s="53" t="e">
        <f>LOOKUP(AD44,T$5:T$78,U$5:U$47)</f>
        <v>#N/A</v>
      </c>
      <c r="AF44" s="37" t="s">
        <v>157</v>
      </c>
      <c r="AG44" s="65" t="e">
        <f>LOOKUP(AD44,T$5:T$78,W$5:W$46)</f>
        <v>#N/A</v>
      </c>
    </row>
    <row r="45" spans="4:33" ht="13" thickBot="1">
      <c r="D45">
        <v>19</v>
      </c>
      <c r="E45" s="9"/>
      <c r="F45" s="16"/>
      <c r="G45" s="10"/>
      <c r="H45" s="13" t="s">
        <v>236</v>
      </c>
      <c r="I45" s="9" t="str">
        <f>IF(OR(H44="",H47=""),"",+IF(H44&gt;H47,G44,G47))</f>
        <v/>
      </c>
      <c r="J45" s="16"/>
      <c r="K45" s="10"/>
      <c r="L45" s="10"/>
      <c r="M45" s="10"/>
      <c r="N45" s="10"/>
      <c r="O45" s="10"/>
      <c r="P45" s="14"/>
      <c r="Q45" s="10"/>
      <c r="Z45" s="34"/>
      <c r="AA45" s="40"/>
      <c r="AB45" s="40"/>
      <c r="AC45" s="38" t="s">
        <v>159</v>
      </c>
      <c r="AD45" s="48"/>
      <c r="AE45" s="53" t="e">
        <f>LOOKUP(AD45,T$5:T$78,U$5:U$47)</f>
        <v>#N/A</v>
      </c>
      <c r="AF45" s="37" t="s">
        <v>157</v>
      </c>
      <c r="AG45" s="65" t="e">
        <f>LOOKUP(AD45,T$5:T$78,W$5:W$46)</f>
        <v>#N/A</v>
      </c>
    </row>
    <row r="46" spans="4:33">
      <c r="E46" s="10"/>
      <c r="F46" s="10"/>
      <c r="G46" s="10"/>
      <c r="H46" s="14"/>
      <c r="I46" s="10"/>
      <c r="J46" s="10"/>
      <c r="K46" s="10"/>
      <c r="L46" s="10"/>
      <c r="M46" s="10"/>
      <c r="N46" s="10"/>
      <c r="O46" s="10"/>
      <c r="P46" s="14"/>
      <c r="Q46" s="10"/>
      <c r="Z46" s="34"/>
      <c r="AA46" s="40"/>
      <c r="AB46" s="40"/>
      <c r="AC46" s="38" t="s">
        <v>159</v>
      </c>
      <c r="AD46" s="48"/>
      <c r="AE46" s="53" t="e">
        <f>LOOKUP(AD46,T$5:T$78,U$5:U$47)</f>
        <v>#N/A</v>
      </c>
      <c r="AF46" s="37" t="s">
        <v>157</v>
      </c>
      <c r="AG46" s="65" t="e">
        <f>LOOKUP(AD46,T$5:T$78,W$5:W$46)</f>
        <v>#N/A</v>
      </c>
    </row>
    <row r="47" spans="4:33" ht="13" thickBot="1">
      <c r="D47">
        <v>20</v>
      </c>
      <c r="E47" s="9"/>
      <c r="F47" s="9"/>
      <c r="G47" s="9">
        <f>E47</f>
        <v>0</v>
      </c>
      <c r="H47" s="16"/>
      <c r="I47" s="10"/>
      <c r="J47" s="10"/>
      <c r="K47" s="10"/>
      <c r="L47" s="10"/>
      <c r="M47" s="10"/>
      <c r="N47" s="10"/>
      <c r="O47" s="10"/>
      <c r="P47" s="14"/>
      <c r="Q47" s="10"/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4" t="s">
        <v>239</v>
      </c>
      <c r="Q48" s="9" t="str">
        <f>IF(OR(P27="",P69=""),"",+IF(P27&gt;P69,O27,O69))</f>
        <v/>
      </c>
      <c r="Z48" s="34"/>
      <c r="AA48" s="40"/>
      <c r="AB48" s="40"/>
      <c r="AC48" s="38" t="s">
        <v>159</v>
      </c>
      <c r="AD48" s="48"/>
      <c r="AE48" s="53" t="e">
        <f>LOOKUP(AD48,T$5:T$78,U$5:U$47)</f>
        <v>#N/A</v>
      </c>
      <c r="AF48" s="37" t="s">
        <v>157</v>
      </c>
      <c r="AG48" s="65" t="e">
        <f>LOOKUP(AD48,T$5:T$78,W$5:W$46)</f>
        <v>#N/A</v>
      </c>
    </row>
    <row r="49" spans="4:33" ht="13" thickBot="1">
      <c r="D49">
        <v>21</v>
      </c>
      <c r="E49" s="10"/>
      <c r="F49" s="9"/>
      <c r="G49" s="9">
        <f>E49</f>
        <v>0</v>
      </c>
      <c r="H49" s="11"/>
      <c r="I49" s="10"/>
      <c r="J49" s="10"/>
      <c r="K49" s="10"/>
      <c r="L49" s="10"/>
      <c r="M49" s="10"/>
      <c r="N49" s="10"/>
      <c r="O49" s="10"/>
      <c r="P49" s="14"/>
      <c r="Q49" s="10"/>
      <c r="Z49" s="34"/>
      <c r="AA49" s="40"/>
      <c r="AB49" s="40"/>
      <c r="AC49" s="38" t="s">
        <v>159</v>
      </c>
      <c r="AD49" s="48"/>
      <c r="AE49" s="53" t="e">
        <f>LOOKUP(AD49,T$5:T$78,U$5:U$47)</f>
        <v>#N/A</v>
      </c>
      <c r="AF49" s="37" t="s">
        <v>157</v>
      </c>
      <c r="AG49" s="65" t="e">
        <f>LOOKUP(AD49,T$5:T$78,W$5:W$46)</f>
        <v>#N/A</v>
      </c>
    </row>
    <row r="50" spans="4:33">
      <c r="E50" s="12"/>
      <c r="F50" s="10"/>
      <c r="G50" s="10"/>
      <c r="H50" s="13"/>
      <c r="I50" s="10"/>
      <c r="J50" s="10"/>
      <c r="K50" s="10"/>
      <c r="L50" s="10"/>
      <c r="M50" s="10"/>
      <c r="N50" s="10"/>
      <c r="O50" s="10"/>
      <c r="P50" s="14"/>
      <c r="Q50" s="10"/>
      <c r="Z50" s="34"/>
      <c r="AA50" s="40"/>
      <c r="AB50" s="40"/>
      <c r="AC50" s="38" t="s">
        <v>159</v>
      </c>
      <c r="AD50" s="48"/>
      <c r="AE50" s="53" t="e">
        <f>LOOKUP(AD50,T$5:T$78,U$5:U$47)</f>
        <v>#N/A</v>
      </c>
      <c r="AF50" s="37" t="s">
        <v>157</v>
      </c>
      <c r="AG50" s="65" t="e">
        <f>LOOKUP(AD50,T$5:T$78,W$5:W$46)</f>
        <v>#N/A</v>
      </c>
    </row>
    <row r="51" spans="4:33" ht="13" thickBot="1">
      <c r="E51" s="10"/>
      <c r="F51" s="10"/>
      <c r="G51" s="10"/>
      <c r="H51" s="14" t="s">
        <v>238</v>
      </c>
      <c r="I51" s="9" t="str">
        <f>IF(OR(H49="",H53=""),"",+IF(H49&gt;H53,G49,G53))</f>
        <v/>
      </c>
      <c r="J51" s="11"/>
      <c r="K51" s="10"/>
      <c r="L51" s="10"/>
      <c r="M51" s="10"/>
      <c r="N51" s="10"/>
      <c r="O51" s="10"/>
      <c r="P51" s="14"/>
      <c r="Q51" s="10"/>
      <c r="Z51" s="34"/>
      <c r="AA51" s="40"/>
      <c r="AB51" s="40"/>
      <c r="AC51" s="38" t="s">
        <v>159</v>
      </c>
      <c r="AD51" s="48"/>
      <c r="AE51" s="53" t="e">
        <f>LOOKUP(AD51,T$5:T$78,U$5:U$47)</f>
        <v>#N/A</v>
      </c>
      <c r="AF51" s="37" t="s">
        <v>157</v>
      </c>
      <c r="AG51" s="65" t="e">
        <f>LOOKUP(AD51,T$5:T$78,W$5:W$46)</f>
        <v>#N/A</v>
      </c>
    </row>
    <row r="52" spans="4:33" ht="13" thickBot="1">
      <c r="D52">
        <v>22</v>
      </c>
      <c r="E52" s="10"/>
      <c r="F52" s="11"/>
      <c r="G52" s="10"/>
      <c r="H52" s="14"/>
      <c r="I52" s="10"/>
      <c r="J52" s="13"/>
      <c r="K52" s="10"/>
      <c r="L52" s="10"/>
      <c r="M52" s="10"/>
      <c r="N52" s="10"/>
      <c r="O52" s="10"/>
      <c r="P52" s="14"/>
      <c r="Q52" s="10"/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E53" s="12"/>
      <c r="F53" s="13" t="s">
        <v>210</v>
      </c>
      <c r="G53" s="9" t="str">
        <f>IF(OR(F52="",F54=""),"",+IF(F52&gt;F54,E52,E54))</f>
        <v/>
      </c>
      <c r="H53" s="16"/>
      <c r="I53" s="10"/>
      <c r="J53" s="14"/>
      <c r="K53" s="10"/>
      <c r="L53" s="10"/>
      <c r="M53" s="10"/>
      <c r="N53" s="10"/>
      <c r="O53" s="10"/>
      <c r="P53" s="14"/>
      <c r="Q53" s="10"/>
      <c r="Z53" s="34"/>
      <c r="AA53" s="40"/>
      <c r="AB53" s="40"/>
      <c r="AC53" s="38" t="s">
        <v>159</v>
      </c>
      <c r="AD53" s="48"/>
      <c r="AE53" s="53" t="e">
        <f>LOOKUP(AD53,T$5:T$78,U$5:U$47)</f>
        <v>#N/A</v>
      </c>
      <c r="AF53" s="37" t="s">
        <v>157</v>
      </c>
      <c r="AG53" s="65" t="e">
        <f>LOOKUP(AD53,T$5:T$78,W$5:W$46)</f>
        <v>#N/A</v>
      </c>
    </row>
    <row r="54" spans="4:33" ht="13" thickBot="1">
      <c r="D54">
        <v>23</v>
      </c>
      <c r="E54" s="10"/>
      <c r="F54" s="16"/>
      <c r="G54" s="10"/>
      <c r="H54" s="10"/>
      <c r="I54" s="10"/>
      <c r="J54" s="14" t="s">
        <v>201</v>
      </c>
      <c r="K54" s="9" t="str">
        <f>IF(OR(J51="",J57=""),"",+IF(J51&gt;J57,I51,I57))</f>
        <v/>
      </c>
      <c r="L54" s="11"/>
      <c r="M54" s="10"/>
      <c r="N54" s="10"/>
      <c r="O54" s="10"/>
      <c r="P54" s="14"/>
      <c r="Q54" s="10"/>
      <c r="Z54" s="34"/>
      <c r="AA54" s="40"/>
      <c r="AB54" s="40"/>
      <c r="AC54" s="38" t="s">
        <v>159</v>
      </c>
      <c r="AD54" s="48"/>
      <c r="AE54" s="53" t="e">
        <f>LOOKUP(AD54,T$5:T$78,U$5:U$47)</f>
        <v>#N/A</v>
      </c>
      <c r="AF54" s="37" t="s">
        <v>157</v>
      </c>
      <c r="AG54" s="65" t="e">
        <f>LOOKUP(AD54,T$5:T$78,W$5:W$46)</f>
        <v>#N/A</v>
      </c>
    </row>
    <row r="55" spans="4:33">
      <c r="E55" s="12"/>
      <c r="F55" s="10"/>
      <c r="G55" s="10"/>
      <c r="H55" s="10"/>
      <c r="I55" s="10"/>
      <c r="J55" s="14"/>
      <c r="K55" s="12"/>
      <c r="L55" s="13"/>
      <c r="M55" s="10"/>
      <c r="N55" s="10"/>
      <c r="O55" s="10"/>
      <c r="P55" s="14"/>
      <c r="Q55" s="10"/>
      <c r="Z55" s="34"/>
      <c r="AA55" s="40"/>
      <c r="AB55" s="40"/>
      <c r="AC55" s="38" t="s">
        <v>159</v>
      </c>
      <c r="AD55" s="48"/>
      <c r="AE55" s="53" t="e">
        <f>LOOKUP(AD55,T$5:T$78,U$5:U$47)</f>
        <v>#N/A</v>
      </c>
      <c r="AF55" s="37" t="s">
        <v>157</v>
      </c>
      <c r="AG55" s="65" t="e">
        <f>LOOKUP(AD55,T$5:T$78,W$5:W$46)</f>
        <v>#N/A</v>
      </c>
    </row>
    <row r="56" spans="4:33" ht="13" thickBot="1">
      <c r="D56">
        <v>24</v>
      </c>
      <c r="E56" s="9"/>
      <c r="F56" s="9"/>
      <c r="G56" s="9">
        <f>E56</f>
        <v>0</v>
      </c>
      <c r="H56" s="11"/>
      <c r="I56" s="10"/>
      <c r="J56" s="14"/>
      <c r="K56" s="10"/>
      <c r="L56" s="14"/>
      <c r="M56" s="10"/>
      <c r="N56" s="10"/>
      <c r="O56" s="10"/>
      <c r="P56" s="14"/>
      <c r="Q56" s="10"/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E57" s="10"/>
      <c r="F57" s="10"/>
      <c r="G57" s="10"/>
      <c r="H57" s="13" t="s">
        <v>240</v>
      </c>
      <c r="I57" s="9" t="str">
        <f>IF(OR(H56="",H58=""),"",+IF(H56&gt;H58,E56,E58))</f>
        <v/>
      </c>
      <c r="J57" s="16"/>
      <c r="K57" s="10"/>
      <c r="L57" s="14"/>
      <c r="M57" s="10"/>
      <c r="N57" s="10"/>
      <c r="O57" s="10"/>
      <c r="P57" s="14"/>
      <c r="Q57" s="10"/>
    </row>
    <row r="58" spans="4:33" ht="13" thickBot="1">
      <c r="D58">
        <v>25</v>
      </c>
      <c r="E58" s="9"/>
      <c r="F58" s="9"/>
      <c r="G58" s="9">
        <f>E58</f>
        <v>0</v>
      </c>
      <c r="H58" s="16"/>
      <c r="I58" s="10"/>
      <c r="J58" s="10"/>
      <c r="K58" s="10"/>
      <c r="L58" s="14"/>
      <c r="M58" s="10"/>
      <c r="N58" s="10"/>
      <c r="O58" s="10"/>
      <c r="P58" s="14"/>
      <c r="Q58" s="10"/>
    </row>
    <row r="59" spans="4:33" ht="13" thickBot="1">
      <c r="E59" s="10"/>
      <c r="F59" s="10"/>
      <c r="G59" s="10"/>
      <c r="H59" s="10"/>
      <c r="I59" s="10"/>
      <c r="J59" s="10"/>
      <c r="K59" s="10"/>
      <c r="L59" s="14" t="s">
        <v>224</v>
      </c>
      <c r="M59" s="9" t="str">
        <f>IF(OR(L54="",L64=""),"",+IF(L54&gt;L64,K54,K64))</f>
        <v/>
      </c>
      <c r="N59" s="11"/>
      <c r="O59" s="10"/>
      <c r="P59" s="14"/>
      <c r="Q59" s="10"/>
    </row>
    <row r="60" spans="4:33" ht="13" thickBot="1">
      <c r="D60">
        <v>26</v>
      </c>
      <c r="E60" s="9"/>
      <c r="F60" s="9"/>
      <c r="G60" s="9">
        <f>E60</f>
        <v>0</v>
      </c>
      <c r="H60" s="11"/>
      <c r="I60" s="10"/>
      <c r="J60" s="10"/>
      <c r="K60" s="10"/>
      <c r="L60" s="14"/>
      <c r="M60" s="10"/>
      <c r="N60" s="13"/>
      <c r="O60" s="10"/>
      <c r="P60" s="14"/>
      <c r="Q60" s="10"/>
    </row>
    <row r="61" spans="4:33" ht="13" thickBot="1">
      <c r="E61" s="10"/>
      <c r="F61" s="10"/>
      <c r="G61" s="10"/>
      <c r="H61" s="13" t="s">
        <v>242</v>
      </c>
      <c r="I61" s="9" t="str">
        <f>IF(OR(H60="",H62=""),"",+IF(H60&gt;H62,E60,E62))</f>
        <v/>
      </c>
      <c r="J61" s="17"/>
      <c r="K61" s="10"/>
      <c r="L61" s="14"/>
      <c r="M61" s="10"/>
      <c r="N61" s="14"/>
      <c r="O61" s="10"/>
      <c r="P61" s="14"/>
      <c r="Q61" s="10"/>
    </row>
    <row r="62" spans="4:33" ht="13" thickBot="1">
      <c r="D62">
        <v>27</v>
      </c>
      <c r="E62" s="9"/>
      <c r="F62" s="9"/>
      <c r="G62" s="9">
        <f>E62</f>
        <v>0</v>
      </c>
      <c r="H62" s="16"/>
      <c r="I62" s="10"/>
      <c r="J62" s="13"/>
      <c r="K62" s="10"/>
      <c r="L62" s="14"/>
      <c r="M62" s="10"/>
      <c r="N62" s="14"/>
      <c r="O62" s="10"/>
      <c r="P62" s="14"/>
      <c r="Q62" s="10"/>
    </row>
    <row r="63" spans="4:33">
      <c r="E63" s="10"/>
      <c r="F63" s="10"/>
      <c r="G63" s="10"/>
      <c r="H63" s="10"/>
      <c r="I63" s="10"/>
      <c r="J63" s="14"/>
      <c r="K63" s="10"/>
      <c r="L63" s="14"/>
      <c r="M63" s="10"/>
      <c r="N63" s="14"/>
      <c r="O63" s="10"/>
      <c r="P63" s="14"/>
      <c r="Q63" s="10"/>
    </row>
    <row r="64" spans="4:33" ht="13" thickBot="1">
      <c r="D64">
        <v>28</v>
      </c>
      <c r="E64" s="10"/>
      <c r="F64" s="11"/>
      <c r="G64" s="10"/>
      <c r="H64" s="10"/>
      <c r="I64" s="10"/>
      <c r="J64" s="14" t="s">
        <v>205</v>
      </c>
      <c r="K64" s="18" t="str">
        <f>IF(OR(I61="",I66=""),"",+IF(J61&gt;J66,I61,I66))</f>
        <v/>
      </c>
      <c r="L64" s="16"/>
      <c r="M64" s="10"/>
      <c r="N64" s="14"/>
      <c r="O64" s="10"/>
      <c r="P64" s="14"/>
      <c r="Q64" s="10"/>
    </row>
    <row r="65" spans="4:17" ht="13" thickBot="1">
      <c r="E65" s="12"/>
      <c r="F65" s="13" t="s">
        <v>212</v>
      </c>
      <c r="G65" s="9" t="str">
        <f>IF(OR(F64="",F66=""),"",+IF(F64&gt;F66,E64,E66))</f>
        <v/>
      </c>
      <c r="H65" s="17"/>
      <c r="I65" s="10"/>
      <c r="J65" s="14"/>
      <c r="K65" s="10"/>
      <c r="L65" s="10"/>
      <c r="M65" s="10"/>
      <c r="N65" s="14"/>
      <c r="O65" s="10"/>
      <c r="P65" s="14"/>
      <c r="Q65" s="10"/>
    </row>
    <row r="66" spans="4:17" ht="13" thickBot="1">
      <c r="D66">
        <v>29</v>
      </c>
      <c r="E66" s="9"/>
      <c r="F66" s="16"/>
      <c r="G66" s="10"/>
      <c r="H66" s="13" t="s">
        <v>244</v>
      </c>
      <c r="I66" s="9" t="str">
        <f>IF(OR(H65="",H68=""),"",+IF(H65&gt;H68,G65,G68))</f>
        <v/>
      </c>
      <c r="J66" s="16"/>
      <c r="K66" s="10"/>
      <c r="L66" s="10"/>
      <c r="M66" s="10"/>
      <c r="N66" s="14"/>
      <c r="O66" s="10"/>
      <c r="P66" s="14"/>
      <c r="Q66" s="10"/>
    </row>
    <row r="67" spans="4:17">
      <c r="E67" s="10"/>
      <c r="F67" s="10"/>
      <c r="G67" s="10"/>
      <c r="H67" s="14"/>
      <c r="I67" s="10"/>
      <c r="J67" s="10"/>
      <c r="K67" s="10"/>
      <c r="L67" s="10"/>
      <c r="M67" s="10"/>
      <c r="N67" s="14"/>
      <c r="O67" s="10"/>
      <c r="P67" s="14"/>
      <c r="Q67" s="10"/>
    </row>
    <row r="68" spans="4:17" ht="13" thickBot="1">
      <c r="D68">
        <v>30</v>
      </c>
      <c r="E68" s="9"/>
      <c r="F68" s="9"/>
      <c r="G68" s="9">
        <f>E68</f>
        <v>0</v>
      </c>
      <c r="H68" s="16"/>
      <c r="I68" s="10"/>
      <c r="J68" s="10"/>
      <c r="K68" s="10"/>
      <c r="L68" s="10"/>
      <c r="M68" s="10"/>
      <c r="N68" s="14"/>
      <c r="O68" s="10"/>
      <c r="P68" s="14"/>
      <c r="Q68" s="10"/>
    </row>
    <row r="69" spans="4:17" ht="13" thickBot="1">
      <c r="E69" s="10"/>
      <c r="F69" s="10"/>
      <c r="G69" s="10"/>
      <c r="H69" s="10"/>
      <c r="I69" s="10"/>
      <c r="J69" s="10"/>
      <c r="K69" s="10"/>
      <c r="L69" s="10"/>
      <c r="M69" s="10"/>
      <c r="N69" s="14" t="s">
        <v>235</v>
      </c>
      <c r="O69" s="9" t="str">
        <f>IF(OR(N59="",N81=""),"",+IF(N59&gt;N81,M59,M81))</f>
        <v/>
      </c>
      <c r="P69" s="16"/>
      <c r="Q69" s="10"/>
    </row>
    <row r="70" spans="4:17" ht="13" thickBot="1">
      <c r="D70">
        <v>31</v>
      </c>
      <c r="E70" s="10"/>
      <c r="F70" s="9"/>
      <c r="G70" s="9">
        <f>E70</f>
        <v>0</v>
      </c>
      <c r="H70" s="11"/>
      <c r="I70" s="10"/>
      <c r="J70" s="10"/>
      <c r="K70" s="10"/>
      <c r="L70" s="10"/>
      <c r="M70" s="10"/>
      <c r="N70" s="14"/>
      <c r="O70" s="10"/>
      <c r="P70" s="10"/>
      <c r="Q70" s="10"/>
    </row>
    <row r="71" spans="4:17">
      <c r="E71" s="12"/>
      <c r="F71" s="10"/>
      <c r="G71" s="10"/>
      <c r="H71" s="13"/>
      <c r="I71" s="10"/>
      <c r="J71" s="10"/>
      <c r="K71" s="10"/>
      <c r="L71" s="10"/>
      <c r="M71" s="10"/>
      <c r="N71" s="14"/>
      <c r="O71" s="10"/>
      <c r="P71" s="10"/>
      <c r="Q71" s="10"/>
    </row>
    <row r="72" spans="4:17" ht="13" thickBot="1">
      <c r="E72" s="10"/>
      <c r="F72" s="10"/>
      <c r="G72" s="10"/>
      <c r="H72" s="14" t="s">
        <v>246</v>
      </c>
      <c r="I72" s="9" t="str">
        <f>IF(OR(H70="",H74=""),"",+IF(H70&gt;H74,G70,G74))</f>
        <v/>
      </c>
      <c r="J72" s="11"/>
      <c r="K72" s="10"/>
      <c r="L72" s="10"/>
      <c r="M72" s="10"/>
      <c r="N72" s="14"/>
      <c r="O72" s="10"/>
      <c r="P72" s="10"/>
      <c r="Q72" s="10"/>
    </row>
    <row r="73" spans="4:17" ht="13" thickBot="1">
      <c r="D73">
        <v>32</v>
      </c>
      <c r="E73" s="10"/>
      <c r="F73" s="11"/>
      <c r="G73" s="10"/>
      <c r="H73" s="14"/>
      <c r="I73" s="10"/>
      <c r="J73" s="13"/>
      <c r="K73" s="10"/>
      <c r="L73" s="10"/>
      <c r="M73" s="10"/>
      <c r="N73" s="14"/>
      <c r="O73" s="10"/>
      <c r="P73" s="10"/>
      <c r="Q73" s="10"/>
    </row>
    <row r="74" spans="4:17" ht="13" thickBot="1">
      <c r="E74" s="12"/>
      <c r="F74" s="13" t="s">
        <v>214</v>
      </c>
      <c r="G74" s="9" t="str">
        <f>IF(OR(F73="",F75=""),"",+IF(F73&gt;F75,E73,E75))</f>
        <v/>
      </c>
      <c r="H74" s="16"/>
      <c r="I74" s="10"/>
      <c r="J74" s="14"/>
      <c r="K74" s="10"/>
      <c r="L74" s="10"/>
      <c r="M74" s="10"/>
      <c r="N74" s="14"/>
      <c r="O74" s="10"/>
      <c r="P74" s="10"/>
      <c r="Q74" s="10"/>
    </row>
    <row r="75" spans="4:17" ht="13" thickBot="1">
      <c r="D75">
        <v>33</v>
      </c>
      <c r="E75" s="10"/>
      <c r="F75" s="16"/>
      <c r="G75" s="10"/>
      <c r="H75" s="10"/>
      <c r="I75" s="10"/>
      <c r="J75" s="14" t="s">
        <v>209</v>
      </c>
      <c r="K75" s="9" t="str">
        <f>IF(OR(J72="",J78=""),"",+IF(J72&gt;J78,I72,I78))</f>
        <v/>
      </c>
      <c r="L75" s="11"/>
      <c r="M75" s="10"/>
      <c r="N75" s="14"/>
      <c r="O75" s="10"/>
      <c r="P75" s="10"/>
      <c r="Q75" s="10"/>
    </row>
    <row r="76" spans="4:17">
      <c r="E76" s="12"/>
      <c r="F76" s="10"/>
      <c r="G76" s="10"/>
      <c r="H76" s="10"/>
      <c r="I76" s="10"/>
      <c r="J76" s="14"/>
      <c r="K76" s="10"/>
      <c r="L76" s="13"/>
      <c r="M76" s="10"/>
      <c r="N76" s="14"/>
      <c r="O76" s="10"/>
      <c r="P76" s="10"/>
      <c r="Q76" s="10"/>
    </row>
    <row r="77" spans="4:17" ht="13" thickBot="1">
      <c r="D77">
        <v>34</v>
      </c>
      <c r="E77" s="9"/>
      <c r="F77" s="9"/>
      <c r="G77" s="9">
        <f>E77</f>
        <v>0</v>
      </c>
      <c r="H77" s="11"/>
      <c r="I77" s="10"/>
      <c r="J77" s="14"/>
      <c r="K77" s="10"/>
      <c r="L77" s="14"/>
      <c r="M77" s="10"/>
      <c r="N77" s="14"/>
      <c r="O77" s="10"/>
      <c r="P77" s="10"/>
      <c r="Q77" s="10"/>
    </row>
    <row r="78" spans="4:17" ht="13" thickBot="1">
      <c r="E78" s="10"/>
      <c r="F78" s="10"/>
      <c r="G78" s="10"/>
      <c r="H78" s="13" t="s">
        <v>248</v>
      </c>
      <c r="I78" s="9" t="str">
        <f>IF(OR(H77="",H79=""),"",+IF(H77&gt;H79,E77,E79))</f>
        <v/>
      </c>
      <c r="J78" s="16"/>
      <c r="K78" s="10"/>
      <c r="L78" s="14"/>
      <c r="M78" s="10"/>
      <c r="N78" s="14"/>
      <c r="O78" s="10"/>
      <c r="P78" s="10"/>
      <c r="Q78" s="10"/>
    </row>
    <row r="79" spans="4:17" ht="13" thickBot="1">
      <c r="D79">
        <v>35</v>
      </c>
      <c r="E79" s="9"/>
      <c r="F79" s="9"/>
      <c r="G79" s="9">
        <f>E79</f>
        <v>0</v>
      </c>
      <c r="H79" s="16"/>
      <c r="I79" s="10"/>
      <c r="J79" s="10"/>
      <c r="K79" s="10"/>
      <c r="L79" s="14"/>
      <c r="M79" s="10"/>
      <c r="N79" s="14"/>
      <c r="O79" s="10"/>
      <c r="P79" s="10"/>
      <c r="Q79" s="10"/>
    </row>
    <row r="80" spans="4:17">
      <c r="E80" s="10"/>
      <c r="F80" s="10"/>
      <c r="G80" s="10"/>
      <c r="H80" s="10"/>
      <c r="I80" s="10"/>
      <c r="J80" s="10"/>
      <c r="K80" s="10"/>
      <c r="L80" s="14"/>
      <c r="M80" s="10"/>
      <c r="N80" s="14"/>
      <c r="O80" s="10"/>
      <c r="P80" s="10"/>
      <c r="Q80" s="10"/>
    </row>
    <row r="81" spans="4:17" ht="13" thickBot="1">
      <c r="D81">
        <v>36</v>
      </c>
      <c r="E81" s="10"/>
      <c r="F81" s="9"/>
      <c r="G81" s="9">
        <f>E81</f>
        <v>0</v>
      </c>
      <c r="H81" s="11"/>
      <c r="I81" s="10"/>
      <c r="J81" s="10"/>
      <c r="K81" s="10"/>
      <c r="L81" s="14" t="s">
        <v>228</v>
      </c>
      <c r="M81" s="9" t="str">
        <f>IF(OR(L75="",L87=""),"",+IF(L75&gt;L458,K75,K87))</f>
        <v/>
      </c>
      <c r="N81" s="16"/>
      <c r="O81" s="10"/>
      <c r="P81" s="10"/>
      <c r="Q81" s="10"/>
    </row>
    <row r="82" spans="4:17">
      <c r="E82" s="12"/>
      <c r="F82" s="10"/>
      <c r="G82" s="10"/>
      <c r="H82" s="13"/>
      <c r="I82" s="10"/>
      <c r="J82" s="10"/>
      <c r="K82" s="10"/>
      <c r="L82" s="14"/>
      <c r="M82" s="10"/>
      <c r="N82" s="10"/>
      <c r="O82" s="10"/>
      <c r="P82" s="10"/>
      <c r="Q82" s="10"/>
    </row>
    <row r="83" spans="4:17" ht="13" thickBot="1">
      <c r="E83" s="10"/>
      <c r="F83" s="10"/>
      <c r="G83" s="10"/>
      <c r="H83" s="14" t="s">
        <v>250</v>
      </c>
      <c r="I83" s="9" t="str">
        <f>IF(OR(H81="",H85=""),"",+IF(H81&gt;H85,G81,G85))</f>
        <v/>
      </c>
      <c r="J83" s="11"/>
      <c r="K83" s="10"/>
      <c r="L83" s="14"/>
      <c r="M83" s="10"/>
      <c r="N83" s="10"/>
      <c r="O83" s="10"/>
      <c r="P83" s="10"/>
      <c r="Q83" s="10"/>
    </row>
    <row r="84" spans="4:17" ht="13" thickBot="1">
      <c r="D84">
        <v>37</v>
      </c>
      <c r="E84" s="10"/>
      <c r="F84" s="11"/>
      <c r="G84" s="10"/>
      <c r="H84" s="14"/>
      <c r="I84" s="10"/>
      <c r="J84" s="13"/>
      <c r="K84" s="10"/>
      <c r="L84" s="14"/>
      <c r="M84" s="10"/>
      <c r="N84" s="10"/>
      <c r="O84" s="10"/>
      <c r="P84" s="10"/>
      <c r="Q84" s="10"/>
    </row>
    <row r="85" spans="4:17" ht="13" thickBot="1">
      <c r="E85" s="12"/>
      <c r="F85" s="13" t="s">
        <v>217</v>
      </c>
      <c r="G85" s="9" t="str">
        <f>IF(OR(F84="",F86=""),"",+IF(F84&gt;F86,E84,E86))</f>
        <v/>
      </c>
      <c r="H85" s="16"/>
      <c r="I85" s="10"/>
      <c r="J85" s="14"/>
      <c r="K85" s="10"/>
      <c r="L85" s="14"/>
      <c r="M85" s="10"/>
      <c r="N85" s="10"/>
      <c r="O85" s="10"/>
      <c r="P85" s="10"/>
      <c r="Q85" s="10"/>
    </row>
    <row r="86" spans="4:17" ht="13" thickBot="1">
      <c r="D86">
        <v>38</v>
      </c>
      <c r="E86" s="10"/>
      <c r="F86" s="16"/>
      <c r="G86" s="10"/>
      <c r="H86" s="10"/>
      <c r="I86" s="10"/>
      <c r="J86" s="14"/>
      <c r="K86" s="10"/>
      <c r="L86" s="14"/>
      <c r="M86" s="10"/>
      <c r="N86" s="10"/>
      <c r="O86" s="10"/>
      <c r="P86" s="10"/>
      <c r="Q86" s="10"/>
    </row>
    <row r="87" spans="4:17" ht="13" thickBot="1">
      <c r="E87" s="12"/>
      <c r="F87" s="10"/>
      <c r="G87" s="10"/>
      <c r="H87" s="10"/>
      <c r="I87" s="10"/>
      <c r="J87" s="14" t="s">
        <v>213</v>
      </c>
      <c r="K87" s="9" t="str">
        <f>IF(OR(J83="",J91=""),"",+IF(J83&gt;J91,I83,I91))</f>
        <v/>
      </c>
      <c r="L87" s="16"/>
      <c r="M87" s="10"/>
      <c r="N87" s="10"/>
      <c r="O87" s="10"/>
      <c r="P87" s="10"/>
      <c r="Q87" s="10"/>
    </row>
    <row r="88" spans="4:17" ht="13" thickBot="1">
      <c r="D88">
        <v>39</v>
      </c>
      <c r="E88" s="10"/>
      <c r="F88" s="11"/>
      <c r="G88" s="10"/>
      <c r="H88" s="10"/>
      <c r="I88" s="10"/>
      <c r="J88" s="14"/>
      <c r="K88" s="10"/>
      <c r="L88" s="10"/>
      <c r="M88" s="10"/>
      <c r="N88" s="10"/>
      <c r="O88" s="10"/>
      <c r="P88" s="10"/>
      <c r="Q88" s="10"/>
    </row>
    <row r="89" spans="4:17" ht="13" thickBot="1">
      <c r="E89" s="12"/>
      <c r="F89" s="13" t="s">
        <v>219</v>
      </c>
      <c r="G89" s="9" t="str">
        <f>IF(OR(F88="",F90=""),"",+IF(F88&gt;F90,E88,E90))</f>
        <v/>
      </c>
      <c r="H89" s="11"/>
      <c r="I89" s="10"/>
      <c r="J89" s="14"/>
      <c r="K89" s="10"/>
      <c r="L89" s="10"/>
      <c r="M89" s="10"/>
      <c r="N89" s="10"/>
      <c r="O89" s="10"/>
      <c r="P89" s="10"/>
      <c r="Q89" s="10"/>
    </row>
    <row r="90" spans="4:17" ht="13" thickBot="1">
      <c r="D90">
        <v>40</v>
      </c>
      <c r="E90" s="9"/>
      <c r="F90" s="16"/>
      <c r="G90" s="10"/>
      <c r="H90" s="13"/>
      <c r="I90" s="10"/>
      <c r="J90" s="14"/>
      <c r="K90" s="10"/>
      <c r="L90" s="10"/>
      <c r="M90" s="10"/>
      <c r="N90" s="10"/>
      <c r="O90" s="10"/>
      <c r="P90" s="10"/>
      <c r="Q90" s="10"/>
    </row>
    <row r="91" spans="4:17" ht="13" thickBot="1">
      <c r="E91" s="10"/>
      <c r="F91" s="10"/>
      <c r="G91" s="10"/>
      <c r="H91" s="14" t="s">
        <v>252</v>
      </c>
      <c r="I91" s="9" t="str">
        <f>IF(OR(H89="",H92=""),"",+IF(H89&gt;H92,G89,E92))</f>
        <v/>
      </c>
      <c r="J91" s="16"/>
      <c r="K91" s="10"/>
      <c r="L91" s="10"/>
      <c r="M91" s="10"/>
      <c r="N91" s="10"/>
      <c r="O91" s="10"/>
      <c r="P91" s="10"/>
      <c r="Q91" s="10"/>
    </row>
    <row r="92" spans="4:17" ht="13" thickBot="1">
      <c r="D92">
        <v>41</v>
      </c>
      <c r="E92" s="9"/>
      <c r="F92" s="9"/>
      <c r="G92" s="9">
        <f>E92</f>
        <v>0</v>
      </c>
      <c r="H92" s="16"/>
      <c r="I92" s="10"/>
      <c r="J92" s="10"/>
      <c r="K92" s="10"/>
      <c r="L92" s="10"/>
      <c r="M92" s="10"/>
      <c r="N92" s="10"/>
      <c r="O92" s="10"/>
      <c r="P92" s="10"/>
      <c r="Q92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Plan38"/>
  <dimension ref="D4:AG89"/>
  <sheetViews>
    <sheetView showGridLines="0" topLeftCell="A15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6" max="16" width="3.41015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E22</f>
        <v>0</v>
      </c>
      <c r="V6" t="s">
        <v>77</v>
      </c>
      <c r="W6" s="29">
        <f>E24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E31</f>
        <v>0</v>
      </c>
      <c r="V7" t="s">
        <v>77</v>
      </c>
      <c r="W7" s="29">
        <f>E33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E43</f>
        <v>0</v>
      </c>
      <c r="V8" t="s">
        <v>77</v>
      </c>
      <c r="W8" s="29">
        <f>E45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219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E52</f>
        <v>0</v>
      </c>
      <c r="V9" t="s">
        <v>77</v>
      </c>
      <c r="W9" s="29">
        <f>E54</f>
        <v>0</v>
      </c>
      <c r="Z9" s="34"/>
      <c r="AA9" s="40"/>
      <c r="AB9" s="40"/>
      <c r="AC9" s="38" t="s">
        <v>159</v>
      </c>
      <c r="AD9" s="48"/>
      <c r="AE9" s="53" t="e">
        <f>LOOKUP(AD9,T$5:T$78,U$5:U$46)</f>
        <v>#N/A</v>
      </c>
      <c r="AF9" s="37" t="s">
        <v>157</v>
      </c>
      <c r="AG9" s="65" t="e">
        <f>LOOKUP(AD9,T$5:T$78,W$5:W$45)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E64</f>
        <v>0</v>
      </c>
      <c r="V10" t="s">
        <v>77</v>
      </c>
      <c r="W10" s="29">
        <f>E66</f>
        <v>0</v>
      </c>
      <c r="Z10" s="34"/>
      <c r="AA10" s="40"/>
      <c r="AB10" s="40"/>
      <c r="AC10" s="38" t="s">
        <v>159</v>
      </c>
      <c r="AD10" s="48"/>
      <c r="AE10" s="53" t="e">
        <f>LOOKUP(AD10,T$5:T$78,U$5:U$46)</f>
        <v>#N/A</v>
      </c>
      <c r="AF10" s="37" t="s">
        <v>157</v>
      </c>
      <c r="AG10" s="65" t="e">
        <f>LOOKUP(AD10,T$5:T$78,W$5:W$45)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E73</f>
        <v>0</v>
      </c>
      <c r="V11" t="s">
        <v>77</v>
      </c>
      <c r="W11" s="29">
        <f>E75</f>
        <v>0</v>
      </c>
      <c r="Z11" s="34"/>
      <c r="AA11" s="40"/>
      <c r="AB11" s="40"/>
      <c r="AC11" s="38" t="s">
        <v>159</v>
      </c>
      <c r="AD11" s="48"/>
      <c r="AE11" s="53" t="e">
        <f>LOOKUP(AD11,T$5:T$78,U$5:U$46)</f>
        <v>#N/A</v>
      </c>
      <c r="AF11" s="37" t="s">
        <v>157</v>
      </c>
      <c r="AG11" s="65" t="e">
        <f>LOOKUP(AD11,T$5:T$78,W$5:W$45)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252</v>
      </c>
      <c r="K12" s="9" t="str">
        <f>IF(OR(J9="",J15=""),"",+IF(J9&gt;J15,I9,I15))</f>
        <v/>
      </c>
      <c r="L12" s="11"/>
      <c r="M12" s="10"/>
      <c r="N12" s="10"/>
      <c r="O12" s="10"/>
      <c r="P12" s="10"/>
      <c r="Q12" s="10"/>
      <c r="T12">
        <v>8</v>
      </c>
      <c r="U12" s="28">
        <f>E85</f>
        <v>0</v>
      </c>
      <c r="V12" t="s">
        <v>77</v>
      </c>
      <c r="W12" s="29">
        <f>E87</f>
        <v>0</v>
      </c>
      <c r="Z12" s="34"/>
      <c r="AA12" s="40"/>
      <c r="AB12" s="40"/>
      <c r="AC12" s="38" t="s">
        <v>159</v>
      </c>
      <c r="AD12" s="48"/>
      <c r="AE12" s="53" t="e">
        <f>LOOKUP(AD12,T$5:T$78,U$5:U$46)</f>
        <v>#N/A</v>
      </c>
      <c r="AF12" s="37" t="s">
        <v>157</v>
      </c>
      <c r="AG12" s="65" t="e">
        <f>LOOKUP(AD12,T$5:T$78,W$5:W$45)</f>
        <v>#N/A</v>
      </c>
    </row>
    <row r="13" spans="4:33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P13" s="10"/>
      <c r="Q13" s="10"/>
      <c r="T13">
        <v>9</v>
      </c>
      <c r="U13" s="28">
        <f>E7</f>
        <v>0</v>
      </c>
      <c r="V13" t="s">
        <v>77</v>
      </c>
      <c r="W13" s="29" t="s">
        <v>78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P14" s="10"/>
      <c r="Q14" s="10"/>
      <c r="T14">
        <v>10</v>
      </c>
      <c r="U14" s="28">
        <f>E14</f>
        <v>0</v>
      </c>
      <c r="V14" t="s">
        <v>77</v>
      </c>
      <c r="W14" s="29">
        <f>E16</f>
        <v>0</v>
      </c>
      <c r="Z14" s="34"/>
      <c r="AA14" s="40"/>
      <c r="AB14" s="40"/>
      <c r="AC14" s="38" t="s">
        <v>159</v>
      </c>
      <c r="AD14" s="48"/>
      <c r="AE14" s="53" t="e">
        <f>LOOKUP(AD14,T$5:T$78,U$5:U$46)</f>
        <v>#N/A</v>
      </c>
      <c r="AF14" s="37" t="s">
        <v>157</v>
      </c>
      <c r="AG14" s="65" t="e">
        <f>LOOKUP(AD14,T$5:T$78,W$5:W$45)</f>
        <v>#N/A</v>
      </c>
    </row>
    <row r="15" spans="4:33" ht="13" thickBot="1">
      <c r="E15" s="10"/>
      <c r="F15" s="10"/>
      <c r="G15" s="10"/>
      <c r="H15" s="13" t="s">
        <v>221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P15" s="10"/>
      <c r="Q15" s="10"/>
      <c r="T15">
        <v>11</v>
      </c>
      <c r="U15" s="28">
        <f>E18</f>
        <v>0</v>
      </c>
      <c r="V15" t="s">
        <v>77</v>
      </c>
      <c r="W15" s="29">
        <f>E20</f>
        <v>0</v>
      </c>
      <c r="Z15" s="34"/>
      <c r="AA15" s="40"/>
      <c r="AB15" s="40"/>
      <c r="AC15" s="38" t="s">
        <v>159</v>
      </c>
      <c r="AD15" s="48"/>
      <c r="AE15" s="53" t="e">
        <f>LOOKUP(AD15,T$5:T$78,U$5:U$46)</f>
        <v>#N/A</v>
      </c>
      <c r="AF15" s="37" t="s">
        <v>157</v>
      </c>
      <c r="AG15" s="65" t="e">
        <f>LOOKUP(AD15,T$5:T$78,W$5:W$45)</f>
        <v>#N/A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P16" s="10"/>
      <c r="Q16" s="10"/>
      <c r="T16">
        <v>12</v>
      </c>
      <c r="U16" s="28" t="s">
        <v>160</v>
      </c>
      <c r="V16" t="s">
        <v>77</v>
      </c>
      <c r="W16" s="29">
        <f>E26</f>
        <v>0</v>
      </c>
      <c r="Z16" s="34"/>
      <c r="AA16" s="40"/>
      <c r="AB16" s="40"/>
      <c r="AC16" s="38" t="s">
        <v>159</v>
      </c>
      <c r="AD16" s="48"/>
      <c r="AE16" s="53" t="e">
        <f>LOOKUP(AD16,T$5:T$78,U$5:U$46)</f>
        <v>#N/A</v>
      </c>
      <c r="AF16" s="37" t="s">
        <v>157</v>
      </c>
      <c r="AG16" s="65" t="e">
        <f>LOOKUP(AD16,T$5:T$78,W$5:W$45)</f>
        <v>#N/A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213</v>
      </c>
      <c r="M17" s="9" t="str">
        <f>IF(OR(L12="",L22=""),"",+IF(L12&gt;L22,K12,K22))</f>
        <v/>
      </c>
      <c r="N17" s="11"/>
      <c r="O17" s="10"/>
      <c r="P17" s="10"/>
      <c r="Q17" s="10"/>
      <c r="T17">
        <v>13</v>
      </c>
      <c r="U17" s="28">
        <f>E28</f>
        <v>0</v>
      </c>
      <c r="V17" t="s">
        <v>77</v>
      </c>
      <c r="W17" s="29" t="s">
        <v>161</v>
      </c>
      <c r="Z17" s="34"/>
      <c r="AA17" s="40"/>
      <c r="AB17" s="40"/>
      <c r="AC17" s="38" t="s">
        <v>159</v>
      </c>
      <c r="AD17" s="48"/>
      <c r="AE17" s="53" t="e">
        <f>LOOKUP(AD17,T$5:T$78,U$5:U$46)</f>
        <v>#N/A</v>
      </c>
      <c r="AF17" s="37" t="s">
        <v>157</v>
      </c>
      <c r="AG17" s="65" t="e">
        <f>LOOKUP(AD17,T$5:T$78,W$5:W$45)</f>
        <v>#N/A</v>
      </c>
    </row>
    <row r="18" spans="4:33" ht="13" thickBot="1">
      <c r="D18">
        <v>6</v>
      </c>
      <c r="E18" s="9"/>
      <c r="F18" s="9"/>
      <c r="G18" s="9">
        <f>E18</f>
        <v>0</v>
      </c>
      <c r="H18" s="11"/>
      <c r="I18" s="10"/>
      <c r="J18" s="10"/>
      <c r="K18" s="10"/>
      <c r="L18" s="14"/>
      <c r="M18" s="10"/>
      <c r="N18" s="13"/>
      <c r="O18" s="10"/>
      <c r="P18" s="10"/>
      <c r="Q18" s="10"/>
      <c r="T18">
        <v>14</v>
      </c>
      <c r="U18" s="28">
        <f>E35</f>
        <v>0</v>
      </c>
      <c r="V18" t="s">
        <v>77</v>
      </c>
      <c r="W18" s="29">
        <f>E37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/>
      <c r="F19" s="10"/>
      <c r="G19" s="10"/>
      <c r="H19" s="13" t="s">
        <v>223</v>
      </c>
      <c r="I19" s="9" t="str">
        <f>IF(OR(H18="",H20=""),"",+IF(H18&gt;H20,E18,E20))</f>
        <v/>
      </c>
      <c r="J19" s="17"/>
      <c r="K19" s="10"/>
      <c r="L19" s="14"/>
      <c r="M19" s="10"/>
      <c r="N19" s="14"/>
      <c r="O19" s="10"/>
      <c r="P19" s="10"/>
      <c r="Q19" s="10"/>
      <c r="T19">
        <v>15</v>
      </c>
      <c r="U19" s="28">
        <f>E39</f>
        <v>0</v>
      </c>
      <c r="V19" t="s">
        <v>77</v>
      </c>
      <c r="W19" s="29">
        <f>E41</f>
        <v>0</v>
      </c>
      <c r="Z19" s="34"/>
      <c r="AA19" s="40"/>
      <c r="AB19" s="40"/>
      <c r="AC19" s="38" t="s">
        <v>159</v>
      </c>
      <c r="AD19" s="48"/>
      <c r="AE19" s="53" t="e">
        <f>LOOKUP(AD19,T$5:T$78,U$5:U$46)</f>
        <v>#N/A</v>
      </c>
      <c r="AF19" s="37" t="s">
        <v>157</v>
      </c>
      <c r="AG19" s="65" t="e">
        <f>LOOKUP(AD19,T$5:T$78,W$5:W$45)</f>
        <v>#N/A</v>
      </c>
    </row>
    <row r="20" spans="4:33" ht="13" thickBot="1">
      <c r="D20">
        <v>7</v>
      </c>
      <c r="E20" s="9"/>
      <c r="F20" s="9"/>
      <c r="G20" s="9">
        <f>E20</f>
        <v>0</v>
      </c>
      <c r="H20" s="16"/>
      <c r="I20" s="10"/>
      <c r="J20" s="13"/>
      <c r="K20" s="10"/>
      <c r="L20" s="14"/>
      <c r="M20" s="10"/>
      <c r="N20" s="14"/>
      <c r="O20" s="10"/>
      <c r="P20" s="10"/>
      <c r="Q20" s="10"/>
      <c r="T20">
        <v>16</v>
      </c>
      <c r="U20" s="28" t="s">
        <v>81</v>
      </c>
      <c r="V20" t="s">
        <v>77</v>
      </c>
      <c r="W20" s="29">
        <f>E47</f>
        <v>0</v>
      </c>
      <c r="Z20" s="34"/>
      <c r="AA20" s="40"/>
      <c r="AB20" s="40"/>
      <c r="AC20" s="38" t="s">
        <v>159</v>
      </c>
      <c r="AD20" s="48"/>
      <c r="AE20" s="53" t="e">
        <f>LOOKUP(AD20,T$5:T$78,U$5:U$46)</f>
        <v>#N/A</v>
      </c>
      <c r="AF20" s="37" t="s">
        <v>157</v>
      </c>
      <c r="AG20" s="65" t="e">
        <f>LOOKUP(AD20,T$5:T$78,W$5:W$45)</f>
        <v>#N/A</v>
      </c>
    </row>
    <row r="21" spans="4:33">
      <c r="E21" s="10"/>
      <c r="F21" s="10"/>
      <c r="G21" s="10"/>
      <c r="H21" s="10"/>
      <c r="I21" s="10"/>
      <c r="J21" s="14"/>
      <c r="K21" s="10"/>
      <c r="L21" s="14"/>
      <c r="M21" s="10"/>
      <c r="N21" s="14"/>
      <c r="O21" s="10"/>
      <c r="P21" s="10"/>
      <c r="Q21" s="10"/>
      <c r="T21">
        <v>17</v>
      </c>
      <c r="U21" s="28">
        <f>E49</f>
        <v>0</v>
      </c>
      <c r="V21" t="s">
        <v>77</v>
      </c>
      <c r="W21" s="29" t="s">
        <v>267</v>
      </c>
      <c r="Z21" s="34"/>
      <c r="AA21" s="40"/>
      <c r="AB21" s="40"/>
      <c r="AC21" s="38" t="s">
        <v>159</v>
      </c>
      <c r="AD21" s="48"/>
      <c r="AE21" s="53" t="e">
        <f>LOOKUP(AD21,T$5:T$78,U$5:U$46)</f>
        <v>#N/A</v>
      </c>
      <c r="AF21" s="37" t="s">
        <v>157</v>
      </c>
      <c r="AG21" s="65" t="e">
        <f>LOOKUP(AD21,T$5:T$78,W$5:W$45)</f>
        <v>#N/A</v>
      </c>
    </row>
    <row r="22" spans="4:33" ht="13" thickBot="1">
      <c r="D22">
        <v>8</v>
      </c>
      <c r="E22" s="10"/>
      <c r="F22" s="11"/>
      <c r="G22" s="10"/>
      <c r="H22" s="10"/>
      <c r="I22" s="10"/>
      <c r="J22" s="14" t="s">
        <v>254</v>
      </c>
      <c r="K22" s="18" t="str">
        <f>IF(OR(I19="",I24=""),"",+IF(J19&gt;J24,I19,I24))</f>
        <v/>
      </c>
      <c r="L22" s="16"/>
      <c r="M22" s="10"/>
      <c r="N22" s="14"/>
      <c r="O22" s="10"/>
      <c r="P22" s="10"/>
      <c r="Q22" s="10"/>
      <c r="T22">
        <v>18</v>
      </c>
      <c r="U22" s="28">
        <f>E56</f>
        <v>0</v>
      </c>
      <c r="V22" t="s">
        <v>77</v>
      </c>
      <c r="W22" s="29">
        <f>E58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2"/>
      <c r="F23" s="13" t="s">
        <v>204</v>
      </c>
      <c r="G23" s="9" t="str">
        <f>IF(OR(F22="",F24=""),"",+IF(F22&gt;F24,E22,E24))</f>
        <v/>
      </c>
      <c r="H23" s="17"/>
      <c r="I23" s="10"/>
      <c r="J23" s="14"/>
      <c r="K23" s="10"/>
      <c r="L23" s="10"/>
      <c r="M23" s="10"/>
      <c r="N23" s="14"/>
      <c r="O23" s="10"/>
      <c r="P23" s="10"/>
      <c r="Q23" s="10"/>
      <c r="T23">
        <v>19</v>
      </c>
      <c r="U23" s="28">
        <f>E60</f>
        <v>0</v>
      </c>
      <c r="V23" t="s">
        <v>77</v>
      </c>
      <c r="W23" s="29">
        <f>E62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/>
      <c r="F24" s="16"/>
      <c r="G24" s="10"/>
      <c r="H24" s="13" t="s">
        <v>225</v>
      </c>
      <c r="I24" s="9" t="str">
        <f>IF(OR(H23="",H26=""),"",+IF(H23&gt;H26,G23,G26))</f>
        <v/>
      </c>
      <c r="J24" s="16"/>
      <c r="K24" s="10"/>
      <c r="L24" s="10"/>
      <c r="M24" s="10"/>
      <c r="N24" s="14"/>
      <c r="O24" s="10"/>
      <c r="P24" s="10"/>
      <c r="Q24" s="10"/>
      <c r="T24">
        <v>20</v>
      </c>
      <c r="U24" s="28" t="s">
        <v>163</v>
      </c>
      <c r="V24" t="s">
        <v>77</v>
      </c>
      <c r="W24" s="29">
        <f>E68</f>
        <v>0</v>
      </c>
      <c r="Z24" s="34"/>
      <c r="AA24" s="102"/>
      <c r="AB24" s="103"/>
      <c r="AC24" s="103"/>
      <c r="AD24" s="103"/>
      <c r="AE24" s="103"/>
      <c r="AF24" s="103"/>
      <c r="AG24" s="104"/>
    </row>
    <row r="25" spans="4:33">
      <c r="E25" s="10"/>
      <c r="F25" s="10"/>
      <c r="G25" s="10"/>
      <c r="H25" s="14"/>
      <c r="I25" s="10"/>
      <c r="J25" s="10"/>
      <c r="K25" s="10"/>
      <c r="L25" s="10"/>
      <c r="M25" s="10"/>
      <c r="N25" s="14"/>
      <c r="O25" s="10"/>
      <c r="P25" s="10"/>
      <c r="Q25" s="10"/>
      <c r="T25">
        <v>21</v>
      </c>
      <c r="U25" s="28">
        <f>E70</f>
        <v>0</v>
      </c>
      <c r="V25" t="s">
        <v>77</v>
      </c>
      <c r="W25" s="29" t="s">
        <v>84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9"/>
      <c r="F26" s="9"/>
      <c r="G26" s="9">
        <f>E26</f>
        <v>0</v>
      </c>
      <c r="H26" s="16"/>
      <c r="I26" s="10"/>
      <c r="J26" s="10"/>
      <c r="K26" s="10"/>
      <c r="L26" s="10"/>
      <c r="M26" s="10"/>
      <c r="N26" s="14"/>
      <c r="O26" s="10"/>
      <c r="P26" s="10"/>
      <c r="Q26" s="10"/>
      <c r="T26">
        <v>22</v>
      </c>
      <c r="U26" s="28">
        <f>E77</f>
        <v>0</v>
      </c>
      <c r="V26" t="s">
        <v>77</v>
      </c>
      <c r="W26" s="29">
        <f>E79</f>
        <v>0</v>
      </c>
      <c r="Z26" s="34"/>
      <c r="AA26" s="40"/>
      <c r="AB26" s="40"/>
      <c r="AC26" s="38" t="s">
        <v>159</v>
      </c>
      <c r="AD26" s="48"/>
      <c r="AE26" s="53" t="e">
        <f t="shared" ref="AE26:AE39" si="0">LOOKUP(AD26,T$5:T$78,U$5:U$46)</f>
        <v>#N/A</v>
      </c>
      <c r="AF26" s="37" t="s">
        <v>157</v>
      </c>
      <c r="AG26" s="65" t="e">
        <f t="shared" ref="AG26:AG39" si="1">LOOKUP(AD26,T$5:T$78,W$5:W$45)</f>
        <v>#N/A</v>
      </c>
    </row>
    <row r="27" spans="4:33" ht="13" thickBot="1">
      <c r="E27" s="10"/>
      <c r="F27" s="10"/>
      <c r="G27" s="10"/>
      <c r="H27" s="10"/>
      <c r="I27" s="10"/>
      <c r="J27" s="10"/>
      <c r="K27" s="10"/>
      <c r="L27" s="10"/>
      <c r="M27" s="10"/>
      <c r="N27" s="14" t="s">
        <v>228</v>
      </c>
      <c r="O27" s="9" t="str">
        <f>IF(OR(N17="",N38=""),"",+IF(N17&gt;N38,M17,M38))</f>
        <v/>
      </c>
      <c r="P27" s="17"/>
      <c r="Q27" s="10"/>
      <c r="T27">
        <v>23</v>
      </c>
      <c r="U27" s="28">
        <f>E81</f>
        <v>0</v>
      </c>
      <c r="V27" t="s">
        <v>77</v>
      </c>
      <c r="W27" s="29">
        <f>E83</f>
        <v>0</v>
      </c>
      <c r="Z27" s="34"/>
      <c r="AA27" s="40"/>
      <c r="AB27" s="40"/>
      <c r="AC27" s="38" t="s">
        <v>159</v>
      </c>
      <c r="AD27" s="48"/>
      <c r="AE27" s="53" t="e">
        <f t="shared" si="0"/>
        <v>#N/A</v>
      </c>
      <c r="AF27" s="37" t="s">
        <v>157</v>
      </c>
      <c r="AG27" s="65" t="e">
        <f t="shared" si="1"/>
        <v>#N/A</v>
      </c>
    </row>
    <row r="28" spans="4:33" ht="13" thickBot="1">
      <c r="D28">
        <v>11</v>
      </c>
      <c r="E28" s="10"/>
      <c r="F28" s="9"/>
      <c r="G28" s="9">
        <f>E28</f>
        <v>0</v>
      </c>
      <c r="H28" s="11"/>
      <c r="I28" s="10"/>
      <c r="J28" s="10"/>
      <c r="K28" s="10"/>
      <c r="L28" s="10"/>
      <c r="M28" s="10"/>
      <c r="N28" s="14"/>
      <c r="O28" s="10"/>
      <c r="P28" s="14"/>
      <c r="Q28" s="10"/>
      <c r="T28">
        <v>24</v>
      </c>
      <c r="U28" s="28" t="s">
        <v>164</v>
      </c>
      <c r="V28" t="s">
        <v>77</v>
      </c>
      <c r="W28" s="29">
        <f>E89</f>
        <v>0</v>
      </c>
      <c r="Z28" s="34"/>
      <c r="AA28" s="40"/>
      <c r="AB28" s="40"/>
      <c r="AC28" s="38" t="s">
        <v>159</v>
      </c>
      <c r="AD28" s="48"/>
      <c r="AE28" s="53" t="e">
        <f t="shared" si="0"/>
        <v>#N/A</v>
      </c>
      <c r="AF28" s="37" t="s">
        <v>157</v>
      </c>
      <c r="AG28" s="65" t="e">
        <f t="shared" si="1"/>
        <v>#N/A</v>
      </c>
    </row>
    <row r="29" spans="4:33">
      <c r="E29" s="12"/>
      <c r="F29" s="10"/>
      <c r="G29" s="10"/>
      <c r="H29" s="13"/>
      <c r="I29" s="10"/>
      <c r="J29" s="10"/>
      <c r="K29" s="10"/>
      <c r="L29" s="10"/>
      <c r="M29" s="10"/>
      <c r="N29" s="14"/>
      <c r="O29" s="10"/>
      <c r="P29" s="14"/>
      <c r="Q29" s="10"/>
      <c r="T29">
        <v>25</v>
      </c>
      <c r="U29" s="28" t="s">
        <v>86</v>
      </c>
      <c r="V29" t="s">
        <v>77</v>
      </c>
      <c r="W29" s="29" t="s">
        <v>87</v>
      </c>
      <c r="Z29" s="34"/>
      <c r="AA29" s="40"/>
      <c r="AB29" s="40"/>
      <c r="AC29" s="38" t="s">
        <v>159</v>
      </c>
      <c r="AD29" s="48"/>
      <c r="AE29" s="53" t="e">
        <f t="shared" si="0"/>
        <v>#N/A</v>
      </c>
      <c r="AF29" s="37" t="s">
        <v>157</v>
      </c>
      <c r="AG29" s="65" t="e">
        <f t="shared" si="1"/>
        <v>#N/A</v>
      </c>
    </row>
    <row r="30" spans="4:33" ht="13" thickBot="1">
      <c r="E30" s="10"/>
      <c r="F30" s="10"/>
      <c r="G30" s="10"/>
      <c r="H30" s="14" t="s">
        <v>227</v>
      </c>
      <c r="I30" s="9" t="str">
        <f>IF(OR(H28="",H32=""),"",+IF(H28&gt;H32,G28,G32))</f>
        <v/>
      </c>
      <c r="J30" s="11"/>
      <c r="K30" s="10"/>
      <c r="L30" s="10"/>
      <c r="M30" s="10"/>
      <c r="N30" s="14"/>
      <c r="O30" s="10"/>
      <c r="P30" s="14"/>
      <c r="Q30" s="10"/>
      <c r="T30">
        <v>26</v>
      </c>
      <c r="U30" s="28" t="s">
        <v>88</v>
      </c>
      <c r="V30" t="s">
        <v>77</v>
      </c>
      <c r="W30" s="29" t="s">
        <v>89</v>
      </c>
      <c r="Z30" s="34"/>
      <c r="AA30" s="41"/>
      <c r="AB30" s="33"/>
      <c r="AC30" s="33"/>
      <c r="AD30" s="50"/>
      <c r="AE30" s="54" t="e">
        <f t="shared" si="0"/>
        <v>#N/A</v>
      </c>
      <c r="AF30" s="33"/>
      <c r="AG30" s="58" t="e">
        <f t="shared" si="1"/>
        <v>#N/A</v>
      </c>
    </row>
    <row r="31" spans="4:33" ht="13" thickBot="1">
      <c r="D31">
        <v>12</v>
      </c>
      <c r="E31" s="10"/>
      <c r="F31" s="11"/>
      <c r="G31" s="10"/>
      <c r="H31" s="14"/>
      <c r="I31" s="10"/>
      <c r="J31" s="13"/>
      <c r="K31" s="10"/>
      <c r="L31" s="10"/>
      <c r="M31" s="10"/>
      <c r="N31" s="14"/>
      <c r="O31" s="10"/>
      <c r="P31" s="14"/>
      <c r="Q31" s="10"/>
      <c r="T31">
        <v>27</v>
      </c>
      <c r="U31" s="28" t="s">
        <v>90</v>
      </c>
      <c r="V31" t="s">
        <v>77</v>
      </c>
      <c r="W31" s="29" t="s">
        <v>91</v>
      </c>
      <c r="Z31" s="34"/>
      <c r="AA31" s="40"/>
      <c r="AB31" s="40"/>
      <c r="AC31" s="38" t="s">
        <v>159</v>
      </c>
      <c r="AD31" s="48"/>
      <c r="AE31" s="53" t="e">
        <f t="shared" si="0"/>
        <v>#N/A</v>
      </c>
      <c r="AF31" s="37" t="s">
        <v>157</v>
      </c>
      <c r="AG31" s="65" t="e">
        <f t="shared" si="1"/>
        <v>#N/A</v>
      </c>
    </row>
    <row r="32" spans="4:33" ht="13" thickBot="1">
      <c r="E32" s="12"/>
      <c r="F32" s="13" t="s">
        <v>206</v>
      </c>
      <c r="G32" s="9" t="str">
        <f>IF(OR(F31="",F33=""),"",+IF(F31&gt;F33,E31,E33))</f>
        <v/>
      </c>
      <c r="H32" s="16"/>
      <c r="I32" s="10"/>
      <c r="J32" s="14"/>
      <c r="K32" s="10"/>
      <c r="L32" s="10"/>
      <c r="M32" s="10"/>
      <c r="N32" s="14"/>
      <c r="O32" s="10"/>
      <c r="P32" s="14"/>
      <c r="Q32" s="10"/>
      <c r="T32">
        <v>28</v>
      </c>
      <c r="U32" s="28" t="s">
        <v>92</v>
      </c>
      <c r="V32" t="s">
        <v>77</v>
      </c>
      <c r="W32" s="29" t="s">
        <v>165</v>
      </c>
      <c r="Z32" s="34"/>
      <c r="AA32" s="40"/>
      <c r="AB32" s="40"/>
      <c r="AC32" s="38" t="s">
        <v>159</v>
      </c>
      <c r="AD32" s="48"/>
      <c r="AE32" s="53" t="e">
        <f t="shared" si="0"/>
        <v>#N/A</v>
      </c>
      <c r="AF32" s="37" t="s">
        <v>157</v>
      </c>
      <c r="AG32" s="65" t="e">
        <f t="shared" si="1"/>
        <v>#N/A</v>
      </c>
    </row>
    <row r="33" spans="4:33" ht="13" thickBot="1">
      <c r="D33">
        <v>13</v>
      </c>
      <c r="E33" s="10"/>
      <c r="F33" s="16"/>
      <c r="G33" s="10"/>
      <c r="H33" s="10"/>
      <c r="I33" s="10"/>
      <c r="J33" s="14" t="s">
        <v>256</v>
      </c>
      <c r="K33" s="9" t="str">
        <f>IF(OR(J30="",J36=""),"",+IF(J30&gt;J36,I30,I36))</f>
        <v/>
      </c>
      <c r="L33" s="11"/>
      <c r="M33" s="10"/>
      <c r="N33" s="14"/>
      <c r="O33" s="10"/>
      <c r="P33" s="14"/>
      <c r="Q33" s="10"/>
      <c r="T33">
        <v>29</v>
      </c>
      <c r="U33" s="28" t="s">
        <v>94</v>
      </c>
      <c r="V33" t="s">
        <v>77</v>
      </c>
      <c r="W33" s="29" t="s">
        <v>95</v>
      </c>
      <c r="Z33" s="34"/>
      <c r="AA33" s="40"/>
      <c r="AB33" s="40"/>
      <c r="AC33" s="38" t="s">
        <v>159</v>
      </c>
      <c r="AD33" s="48"/>
      <c r="AE33" s="53" t="e">
        <f t="shared" si="0"/>
        <v>#N/A</v>
      </c>
      <c r="AF33" s="37" t="s">
        <v>157</v>
      </c>
      <c r="AG33" s="65" t="e">
        <f t="shared" si="1"/>
        <v>#N/A</v>
      </c>
    </row>
    <row r="34" spans="4:33">
      <c r="E34" s="12"/>
      <c r="F34" s="10"/>
      <c r="G34" s="10"/>
      <c r="H34" s="10"/>
      <c r="I34" s="10"/>
      <c r="J34" s="14"/>
      <c r="K34" s="12"/>
      <c r="L34" s="13"/>
      <c r="M34" s="10"/>
      <c r="N34" s="14"/>
      <c r="O34" s="10"/>
      <c r="P34" s="14"/>
      <c r="Q34" s="10"/>
      <c r="T34">
        <v>30</v>
      </c>
      <c r="U34" s="28" t="s">
        <v>96</v>
      </c>
      <c r="V34" t="s">
        <v>77</v>
      </c>
      <c r="W34" s="29" t="s">
        <v>97</v>
      </c>
      <c r="Z34" s="34"/>
      <c r="AA34" s="40"/>
      <c r="AB34" s="40"/>
      <c r="AC34" s="38" t="s">
        <v>159</v>
      </c>
      <c r="AD34" s="48"/>
      <c r="AE34" s="53" t="e">
        <f t="shared" si="0"/>
        <v>#N/A</v>
      </c>
      <c r="AF34" s="37" t="s">
        <v>157</v>
      </c>
      <c r="AG34" s="65" t="e">
        <f t="shared" si="1"/>
        <v>#N/A</v>
      </c>
    </row>
    <row r="35" spans="4:33" ht="13" thickBot="1">
      <c r="D35">
        <v>14</v>
      </c>
      <c r="E35" s="9"/>
      <c r="F35" s="9"/>
      <c r="G35" s="9">
        <f>E35</f>
        <v>0</v>
      </c>
      <c r="H35" s="11"/>
      <c r="I35" s="10"/>
      <c r="J35" s="14"/>
      <c r="K35" s="10"/>
      <c r="L35" s="14"/>
      <c r="M35" s="10"/>
      <c r="N35" s="14"/>
      <c r="O35" s="10"/>
      <c r="P35" s="14"/>
      <c r="Q35" s="10"/>
      <c r="T35">
        <v>31</v>
      </c>
      <c r="U35" s="28" t="s">
        <v>98</v>
      </c>
      <c r="V35" t="s">
        <v>77</v>
      </c>
      <c r="W35" s="29" t="s">
        <v>99</v>
      </c>
      <c r="Z35" s="34"/>
      <c r="AA35" s="41"/>
      <c r="AB35" s="33"/>
      <c r="AC35" s="33"/>
      <c r="AD35" s="50"/>
      <c r="AE35" s="54" t="e">
        <f t="shared" si="0"/>
        <v>#N/A</v>
      </c>
      <c r="AF35" s="33"/>
      <c r="AG35" s="58" t="e">
        <f t="shared" si="1"/>
        <v>#N/A</v>
      </c>
    </row>
    <row r="36" spans="4:33" ht="13" thickBot="1">
      <c r="E36" s="10"/>
      <c r="F36" s="10"/>
      <c r="G36" s="10"/>
      <c r="H36" s="13" t="s">
        <v>229</v>
      </c>
      <c r="I36" s="9" t="str">
        <f>IF(OR(H35="",H37=""),"",+IF(H35&gt;H37,E35,E37))</f>
        <v/>
      </c>
      <c r="J36" s="16"/>
      <c r="K36" s="10"/>
      <c r="L36" s="14"/>
      <c r="M36" s="10"/>
      <c r="N36" s="14"/>
      <c r="O36" s="10"/>
      <c r="P36" s="14"/>
      <c r="Q36" s="10"/>
      <c r="T36">
        <v>32</v>
      </c>
      <c r="U36" s="28" t="s">
        <v>100</v>
      </c>
      <c r="V36" t="s">
        <v>77</v>
      </c>
      <c r="W36" s="29" t="s">
        <v>101</v>
      </c>
      <c r="Z36" s="34"/>
      <c r="AA36" s="40"/>
      <c r="AB36" s="40"/>
      <c r="AC36" s="38" t="s">
        <v>159</v>
      </c>
      <c r="AD36" s="48"/>
      <c r="AE36" s="53" t="e">
        <f t="shared" si="0"/>
        <v>#N/A</v>
      </c>
      <c r="AF36" s="37" t="s">
        <v>157</v>
      </c>
      <c r="AG36" s="65" t="e">
        <f t="shared" si="1"/>
        <v>#N/A</v>
      </c>
    </row>
    <row r="37" spans="4:33" ht="13" thickBot="1">
      <c r="D37">
        <v>15</v>
      </c>
      <c r="E37" s="9"/>
      <c r="F37" s="9"/>
      <c r="G37" s="9">
        <f>E37</f>
        <v>0</v>
      </c>
      <c r="H37" s="16"/>
      <c r="I37" s="10"/>
      <c r="J37" s="10"/>
      <c r="K37" s="10"/>
      <c r="L37" s="14"/>
      <c r="M37" s="10"/>
      <c r="N37" s="14"/>
      <c r="O37" s="10"/>
      <c r="P37" s="14"/>
      <c r="Q37" s="10"/>
      <c r="T37">
        <v>33</v>
      </c>
      <c r="U37" s="28" t="s">
        <v>102</v>
      </c>
      <c r="V37" t="s">
        <v>77</v>
      </c>
      <c r="W37" s="29" t="s">
        <v>103</v>
      </c>
      <c r="Z37" s="34"/>
      <c r="AA37" s="40"/>
      <c r="AB37" s="40"/>
      <c r="AC37" s="38" t="s">
        <v>159</v>
      </c>
      <c r="AD37" s="48"/>
      <c r="AE37" s="53" t="e">
        <f t="shared" si="0"/>
        <v>#N/A</v>
      </c>
      <c r="AF37" s="37" t="s">
        <v>157</v>
      </c>
      <c r="AG37" s="65" t="e">
        <f t="shared" si="1"/>
        <v>#N/A</v>
      </c>
    </row>
    <row r="38" spans="4:33" ht="13" thickBot="1">
      <c r="E38" s="10"/>
      <c r="F38" s="10"/>
      <c r="G38" s="10"/>
      <c r="H38" s="10"/>
      <c r="I38" s="10"/>
      <c r="J38" s="10"/>
      <c r="K38" s="10"/>
      <c r="L38" s="14" t="s">
        <v>216</v>
      </c>
      <c r="M38" s="9" t="str">
        <f>IF(OR(L33="",L43=""),"",+IF(L33&gt;L43,K33,K43))</f>
        <v/>
      </c>
      <c r="N38" s="16"/>
      <c r="O38" s="10"/>
      <c r="P38" s="14"/>
      <c r="Q38" s="10"/>
      <c r="T38">
        <v>34</v>
      </c>
      <c r="U38" s="28" t="s">
        <v>104</v>
      </c>
      <c r="V38" t="s">
        <v>77</v>
      </c>
      <c r="W38" s="29" t="s">
        <v>105</v>
      </c>
      <c r="Z38" s="34"/>
      <c r="AA38" s="40"/>
      <c r="AB38" s="40"/>
      <c r="AC38" s="38" t="s">
        <v>159</v>
      </c>
      <c r="AD38" s="48"/>
      <c r="AE38" s="53" t="e">
        <f t="shared" si="0"/>
        <v>#N/A</v>
      </c>
      <c r="AF38" s="37" t="s">
        <v>157</v>
      </c>
      <c r="AG38" s="65" t="e">
        <f t="shared" si="1"/>
        <v>#N/A</v>
      </c>
    </row>
    <row r="39" spans="4:33" ht="13" thickBot="1">
      <c r="D39">
        <v>16</v>
      </c>
      <c r="E39" s="9"/>
      <c r="F39" s="9"/>
      <c r="G39" s="9">
        <f>E39</f>
        <v>0</v>
      </c>
      <c r="H39" s="11"/>
      <c r="I39" s="10"/>
      <c r="J39" s="10"/>
      <c r="K39" s="10"/>
      <c r="L39" s="14"/>
      <c r="M39" s="10"/>
      <c r="N39" s="10"/>
      <c r="O39" s="10"/>
      <c r="P39" s="14"/>
      <c r="Q39" s="10"/>
      <c r="T39">
        <v>35</v>
      </c>
      <c r="U39" s="28" t="s">
        <v>106</v>
      </c>
      <c r="V39" t="s">
        <v>77</v>
      </c>
      <c r="W39" s="29" t="s">
        <v>107</v>
      </c>
      <c r="Z39" s="34"/>
      <c r="AA39" s="33"/>
      <c r="AB39" s="33"/>
      <c r="AC39" s="33"/>
      <c r="AD39" s="50"/>
      <c r="AE39" s="64" t="e">
        <f t="shared" si="0"/>
        <v>#N/A</v>
      </c>
      <c r="AF39" s="33"/>
      <c r="AG39" s="59" t="e">
        <f t="shared" si="1"/>
        <v>#N/A</v>
      </c>
    </row>
    <row r="40" spans="4:33" ht="13" thickBot="1">
      <c r="E40" s="10"/>
      <c r="F40" s="10"/>
      <c r="G40" s="10"/>
      <c r="H40" s="13" t="s">
        <v>232</v>
      </c>
      <c r="I40" s="9" t="str">
        <f>IF(OR(H39="",H41=""),"",+IF(H39&gt;H41,E39,E41))</f>
        <v/>
      </c>
      <c r="J40" s="17"/>
      <c r="K40" s="10"/>
      <c r="L40" s="14"/>
      <c r="M40" s="10"/>
      <c r="N40" s="10"/>
      <c r="O40" s="10"/>
      <c r="P40" s="14"/>
      <c r="Q40" s="10"/>
      <c r="T40">
        <v>36</v>
      </c>
      <c r="U40" s="28" t="s">
        <v>108</v>
      </c>
      <c r="V40" t="s">
        <v>77</v>
      </c>
      <c r="W40" s="29" t="s">
        <v>109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9"/>
      <c r="F41" s="9"/>
      <c r="G41" s="9">
        <f>E41</f>
        <v>0</v>
      </c>
      <c r="H41" s="16"/>
      <c r="I41" s="10"/>
      <c r="J41" s="13"/>
      <c r="K41" s="10"/>
      <c r="L41" s="14"/>
      <c r="M41" s="10"/>
      <c r="N41" s="10"/>
      <c r="O41" s="10"/>
      <c r="P41" s="14"/>
      <c r="Q41" s="10"/>
      <c r="T41">
        <v>37</v>
      </c>
      <c r="U41" s="28" t="s">
        <v>110</v>
      </c>
      <c r="V41" t="s">
        <v>77</v>
      </c>
      <c r="W41" s="29" t="s">
        <v>111</v>
      </c>
      <c r="Z41" s="34"/>
      <c r="AA41" s="102"/>
      <c r="AB41" s="103"/>
      <c r="AC41" s="103"/>
      <c r="AD41" s="103"/>
      <c r="AE41" s="103"/>
      <c r="AF41" s="103"/>
      <c r="AG41" s="104"/>
    </row>
    <row r="42" spans="4:33">
      <c r="E42" s="10"/>
      <c r="F42" s="10"/>
      <c r="G42" s="10"/>
      <c r="H42" s="10"/>
      <c r="I42" s="10"/>
      <c r="J42" s="14"/>
      <c r="K42" s="10"/>
      <c r="L42" s="14"/>
      <c r="M42" s="10"/>
      <c r="N42" s="10"/>
      <c r="O42" s="10"/>
      <c r="P42" s="14"/>
      <c r="Q42" s="10"/>
      <c r="T42">
        <v>38</v>
      </c>
      <c r="U42" s="28" t="s">
        <v>112</v>
      </c>
      <c r="V42" t="s">
        <v>77</v>
      </c>
      <c r="W42" s="29" t="s">
        <v>113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10"/>
      <c r="F43" s="11"/>
      <c r="G43" s="10"/>
      <c r="H43" s="10"/>
      <c r="I43" s="10"/>
      <c r="J43" s="14" t="s">
        <v>258</v>
      </c>
      <c r="K43" s="18" t="str">
        <f>IF(OR(I40="",I45=""),"",+IF(J40&gt;J45,I40,I45))</f>
        <v/>
      </c>
      <c r="L43" s="16"/>
      <c r="M43" s="10"/>
      <c r="N43" s="10"/>
      <c r="O43" s="10"/>
      <c r="P43" s="14"/>
      <c r="Q43" s="10"/>
      <c r="T43">
        <v>39</v>
      </c>
      <c r="U43" s="28" t="s">
        <v>114</v>
      </c>
      <c r="V43" t="s">
        <v>77</v>
      </c>
      <c r="W43" s="29" t="s">
        <v>115</v>
      </c>
      <c r="Z43" s="34"/>
      <c r="AA43" s="40"/>
      <c r="AB43" s="40"/>
      <c r="AC43" s="38" t="s">
        <v>159</v>
      </c>
      <c r="AD43" s="48"/>
      <c r="AE43" s="53" t="e">
        <f>LOOKUP(AD43,T$5:T$78,U$5:U$46)</f>
        <v>#N/A</v>
      </c>
      <c r="AF43" s="37" t="s">
        <v>157</v>
      </c>
      <c r="AG43" s="65" t="e">
        <f>LOOKUP(AD43,T$5:T$78,W$5:W$45)</f>
        <v>#N/A</v>
      </c>
    </row>
    <row r="44" spans="4:33" ht="13" thickBot="1">
      <c r="E44" s="12"/>
      <c r="F44" s="13" t="s">
        <v>208</v>
      </c>
      <c r="G44" s="9" t="str">
        <f>IF(OR(F43="",F45=""),"",+IF(F43&gt;F45,E43,E45))</f>
        <v/>
      </c>
      <c r="H44" s="17"/>
      <c r="I44" s="10"/>
      <c r="J44" s="14"/>
      <c r="K44" s="10"/>
      <c r="L44" s="10"/>
      <c r="M44" s="10"/>
      <c r="N44" s="10"/>
      <c r="O44" s="10"/>
      <c r="P44" s="14"/>
      <c r="Q44" s="10"/>
      <c r="Z44" s="34"/>
      <c r="AA44" s="40"/>
      <c r="AB44" s="40"/>
      <c r="AC44" s="38" t="s">
        <v>159</v>
      </c>
      <c r="AD44" s="48"/>
      <c r="AE44" s="53" t="e">
        <f>LOOKUP(AD44,T$5:T$78,U$5:U$46)</f>
        <v>#N/A</v>
      </c>
      <c r="AF44" s="37" t="s">
        <v>157</v>
      </c>
      <c r="AG44" s="65" t="e">
        <f>LOOKUP(AD44,T$5:T$78,W$5:W$45)</f>
        <v>#N/A</v>
      </c>
    </row>
    <row r="45" spans="4:33" ht="13" thickBot="1">
      <c r="D45">
        <v>19</v>
      </c>
      <c r="E45" s="9"/>
      <c r="F45" s="16"/>
      <c r="G45" s="10"/>
      <c r="H45" s="13" t="s">
        <v>234</v>
      </c>
      <c r="I45" s="9" t="str">
        <f>IF(OR(H44="",H47=""),"",+IF(H44&gt;H47,G44,G47))</f>
        <v/>
      </c>
      <c r="J45" s="16"/>
      <c r="K45" s="10"/>
      <c r="L45" s="10"/>
      <c r="M45" s="10"/>
      <c r="N45" s="10"/>
      <c r="O45" s="10"/>
      <c r="P45" s="14"/>
      <c r="Q45" s="10"/>
      <c r="Z45" s="34"/>
      <c r="AA45" s="40"/>
      <c r="AB45" s="40"/>
      <c r="AC45" s="38" t="s">
        <v>159</v>
      </c>
      <c r="AD45" s="48"/>
      <c r="AE45" s="53" t="e">
        <f>LOOKUP(AD45,T$5:T$78,U$5:U$46)</f>
        <v>#N/A</v>
      </c>
      <c r="AF45" s="37" t="s">
        <v>157</v>
      </c>
      <c r="AG45" s="65" t="e">
        <f>LOOKUP(AD45,T$5:T$78,W$5:W$45)</f>
        <v>#N/A</v>
      </c>
    </row>
    <row r="46" spans="4:33">
      <c r="E46" s="10"/>
      <c r="F46" s="10"/>
      <c r="G46" s="10"/>
      <c r="H46" s="14"/>
      <c r="I46" s="10"/>
      <c r="J46" s="10"/>
      <c r="K46" s="10"/>
      <c r="L46" s="10"/>
      <c r="M46" s="10"/>
      <c r="N46" s="10"/>
      <c r="O46" s="10"/>
      <c r="P46" s="14"/>
      <c r="Q46" s="10"/>
      <c r="Z46" s="34"/>
      <c r="AA46" s="40"/>
      <c r="AB46" s="40"/>
      <c r="AC46" s="38" t="s">
        <v>159</v>
      </c>
      <c r="AD46" s="48"/>
      <c r="AE46" s="53" t="e">
        <f>LOOKUP(AD46,T$5:T$78,U$5:U$46)</f>
        <v>#N/A</v>
      </c>
      <c r="AF46" s="37" t="s">
        <v>157</v>
      </c>
      <c r="AG46" s="65" t="e">
        <f>LOOKUP(AD46,T$5:T$78,W$5:W$45)</f>
        <v>#N/A</v>
      </c>
    </row>
    <row r="47" spans="4:33" ht="13" thickBot="1">
      <c r="D47">
        <v>20</v>
      </c>
      <c r="E47" s="9"/>
      <c r="F47" s="9"/>
      <c r="G47" s="9">
        <f>E47</f>
        <v>0</v>
      </c>
      <c r="H47" s="16"/>
      <c r="I47" s="10"/>
      <c r="J47" s="10"/>
      <c r="K47" s="10"/>
      <c r="L47" s="10"/>
      <c r="M47" s="10"/>
      <c r="N47" s="10"/>
      <c r="O47" s="10"/>
      <c r="P47" s="14"/>
      <c r="Q47" s="10"/>
      <c r="Z47" s="34"/>
      <c r="AA47" s="41"/>
      <c r="AB47" s="33"/>
      <c r="AC47" s="33"/>
      <c r="AD47" s="50"/>
      <c r="AE47" s="54"/>
      <c r="AF47" s="33"/>
      <c r="AG47" s="58"/>
    </row>
    <row r="48" spans="4:33" ht="13" thickBot="1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4" t="s">
        <v>262</v>
      </c>
      <c r="Q48" s="9" t="str">
        <f>IF(OR(P27="",P69=""),"",+IF(P27&gt;P69,O27,O69))</f>
        <v/>
      </c>
      <c r="Z48" s="34"/>
      <c r="AA48" s="40"/>
      <c r="AB48" s="40"/>
      <c r="AC48" s="38" t="s">
        <v>159</v>
      </c>
      <c r="AD48" s="48"/>
      <c r="AE48" s="53" t="e">
        <f>LOOKUP(AD48,T$5:T$78,U$5:U$46)</f>
        <v>#N/A</v>
      </c>
      <c r="AF48" s="37" t="s">
        <v>157</v>
      </c>
      <c r="AG48" s="65" t="e">
        <f>LOOKUP(AD48,T$5:T$78,W$5:W$45)</f>
        <v>#N/A</v>
      </c>
    </row>
    <row r="49" spans="4:33" ht="13" thickBot="1">
      <c r="D49">
        <v>21</v>
      </c>
      <c r="E49" s="10"/>
      <c r="F49" s="9"/>
      <c r="G49" s="9">
        <f>E49</f>
        <v>0</v>
      </c>
      <c r="H49" s="11"/>
      <c r="I49" s="10"/>
      <c r="J49" s="10"/>
      <c r="K49" s="10"/>
      <c r="L49" s="10"/>
      <c r="M49" s="10"/>
      <c r="N49" s="10"/>
      <c r="O49" s="10"/>
      <c r="P49" s="14"/>
      <c r="Q49" s="10"/>
      <c r="Z49" s="34"/>
      <c r="AA49" s="40"/>
      <c r="AB49" s="40"/>
      <c r="AC49" s="38" t="s">
        <v>159</v>
      </c>
      <c r="AD49" s="48"/>
      <c r="AE49" s="53" t="e">
        <f>LOOKUP(AD49,T$5:T$78,U$5:U$46)</f>
        <v>#N/A</v>
      </c>
      <c r="AF49" s="37" t="s">
        <v>157</v>
      </c>
      <c r="AG49" s="65" t="e">
        <f>LOOKUP(AD49,T$5:T$78,W$5:W$45)</f>
        <v>#N/A</v>
      </c>
    </row>
    <row r="50" spans="4:33">
      <c r="E50" s="12"/>
      <c r="F50" s="10"/>
      <c r="G50" s="10"/>
      <c r="H50" s="13"/>
      <c r="I50" s="10"/>
      <c r="J50" s="10"/>
      <c r="K50" s="10"/>
      <c r="L50" s="10"/>
      <c r="M50" s="10"/>
      <c r="N50" s="10"/>
      <c r="O50" s="10"/>
      <c r="P50" s="14"/>
      <c r="Q50" s="10"/>
      <c r="Z50" s="34"/>
      <c r="AA50" s="40"/>
      <c r="AB50" s="40"/>
      <c r="AC50" s="38" t="s">
        <v>159</v>
      </c>
      <c r="AD50" s="48"/>
      <c r="AE50" s="53" t="e">
        <f>LOOKUP(AD50,T$5:T$78,U$5:U$46)</f>
        <v>#N/A</v>
      </c>
      <c r="AF50" s="37" t="s">
        <v>157</v>
      </c>
      <c r="AG50" s="65" t="e">
        <f>LOOKUP(AD50,T$5:T$78,W$5:W$45)</f>
        <v>#N/A</v>
      </c>
    </row>
    <row r="51" spans="4:33" ht="13" thickBot="1">
      <c r="E51" s="10"/>
      <c r="F51" s="10"/>
      <c r="G51" s="10"/>
      <c r="H51" s="14" t="s">
        <v>236</v>
      </c>
      <c r="I51" s="9" t="str">
        <f>IF(OR(H49="",H53=""),"",+IF(H49&gt;H53,G49,G53))</f>
        <v/>
      </c>
      <c r="J51" s="11"/>
      <c r="K51" s="10"/>
      <c r="L51" s="10"/>
      <c r="M51" s="10"/>
      <c r="N51" s="10"/>
      <c r="O51" s="10"/>
      <c r="P51" s="14"/>
      <c r="Q51" s="10"/>
      <c r="Z51" s="34"/>
      <c r="AA51" s="40"/>
      <c r="AB51" s="40"/>
      <c r="AC51" s="38" t="s">
        <v>159</v>
      </c>
      <c r="AD51" s="48"/>
      <c r="AE51" s="53" t="e">
        <f>LOOKUP(AD51,T$5:T$78,U$5:U$46)</f>
        <v>#N/A</v>
      </c>
      <c r="AF51" s="37" t="s">
        <v>157</v>
      </c>
      <c r="AG51" s="65" t="e">
        <f>LOOKUP(AD51,T$5:T$78,W$5:W$45)</f>
        <v>#N/A</v>
      </c>
    </row>
    <row r="52" spans="4:33" ht="13" thickBot="1">
      <c r="D52">
        <v>22</v>
      </c>
      <c r="E52" s="10"/>
      <c r="F52" s="11"/>
      <c r="G52" s="10"/>
      <c r="H52" s="14"/>
      <c r="I52" s="10"/>
      <c r="J52" s="13"/>
      <c r="K52" s="10"/>
      <c r="L52" s="10"/>
      <c r="M52" s="10"/>
      <c r="N52" s="10"/>
      <c r="O52" s="10"/>
      <c r="P52" s="14"/>
      <c r="Q52" s="10"/>
      <c r="Z52" s="34"/>
      <c r="AA52" s="41"/>
      <c r="AB52" s="33"/>
      <c r="AC52" s="33"/>
      <c r="AD52" s="50"/>
      <c r="AE52" s="54"/>
      <c r="AF52" s="33"/>
      <c r="AG52" s="58"/>
    </row>
    <row r="53" spans="4:33" ht="13" thickBot="1">
      <c r="E53" s="12"/>
      <c r="F53" s="13" t="s">
        <v>210</v>
      </c>
      <c r="G53" s="9" t="str">
        <f>IF(OR(F52="",F54=""),"",+IF(F52&gt;F54,E52,E54))</f>
        <v/>
      </c>
      <c r="H53" s="16"/>
      <c r="I53" s="10"/>
      <c r="J53" s="14"/>
      <c r="K53" s="10"/>
      <c r="L53" s="10"/>
      <c r="M53" s="10"/>
      <c r="N53" s="10"/>
      <c r="O53" s="10"/>
      <c r="P53" s="14"/>
      <c r="Q53" s="10"/>
      <c r="Z53" s="34"/>
      <c r="AA53" s="40"/>
      <c r="AB53" s="40"/>
      <c r="AC53" s="38" t="s">
        <v>159</v>
      </c>
      <c r="AD53" s="48"/>
      <c r="AE53" s="53" t="e">
        <f>LOOKUP(AD53,T$5:T$78,U$5:U$46)</f>
        <v>#N/A</v>
      </c>
      <c r="AF53" s="37" t="s">
        <v>157</v>
      </c>
      <c r="AG53" s="65" t="e">
        <f>LOOKUP(AD53,T$5:T$78,W$5:W$45)</f>
        <v>#N/A</v>
      </c>
    </row>
    <row r="54" spans="4:33" ht="13" thickBot="1">
      <c r="D54">
        <v>23</v>
      </c>
      <c r="E54" s="10"/>
      <c r="F54" s="16"/>
      <c r="G54" s="10"/>
      <c r="H54" s="10"/>
      <c r="I54" s="10"/>
      <c r="J54" s="14" t="s">
        <v>260</v>
      </c>
      <c r="K54" s="9" t="str">
        <f>IF(OR(J51="",J57=""),"",+IF(J51&gt;J57,I51,I57))</f>
        <v/>
      </c>
      <c r="L54" s="11"/>
      <c r="M54" s="10"/>
      <c r="N54" s="10"/>
      <c r="O54" s="10"/>
      <c r="P54" s="14"/>
      <c r="Q54" s="10"/>
      <c r="Z54" s="34"/>
      <c r="AA54" s="40"/>
      <c r="AB54" s="40"/>
      <c r="AC54" s="38" t="s">
        <v>159</v>
      </c>
      <c r="AD54" s="48"/>
      <c r="AE54" s="53" t="e">
        <f>LOOKUP(AD54,T$5:T$78,U$5:U$46)</f>
        <v>#N/A</v>
      </c>
      <c r="AF54" s="37" t="s">
        <v>157</v>
      </c>
      <c r="AG54" s="65" t="e">
        <f>LOOKUP(AD54,T$5:T$78,W$5:W$45)</f>
        <v>#N/A</v>
      </c>
    </row>
    <row r="55" spans="4:33">
      <c r="E55" s="12"/>
      <c r="F55" s="10"/>
      <c r="G55" s="10"/>
      <c r="H55" s="10"/>
      <c r="I55" s="10"/>
      <c r="J55" s="14"/>
      <c r="K55" s="12"/>
      <c r="L55" s="13"/>
      <c r="M55" s="10"/>
      <c r="N55" s="10"/>
      <c r="O55" s="10"/>
      <c r="P55" s="14"/>
      <c r="Q55" s="10"/>
      <c r="Z55" s="34"/>
      <c r="AA55" s="40"/>
      <c r="AB55" s="40"/>
      <c r="AC55" s="38" t="s">
        <v>159</v>
      </c>
      <c r="AD55" s="48"/>
      <c r="AE55" s="53" t="e">
        <f>LOOKUP(AD55,T$5:T$78,U$5:U$46)</f>
        <v>#N/A</v>
      </c>
      <c r="AF55" s="37" t="s">
        <v>157</v>
      </c>
      <c r="AG55" s="65" t="e">
        <f>LOOKUP(AD55,T$5:T$78,W$5:W$45)</f>
        <v>#N/A</v>
      </c>
    </row>
    <row r="56" spans="4:33" ht="13" thickBot="1">
      <c r="D56">
        <v>24</v>
      </c>
      <c r="E56" s="9"/>
      <c r="F56" s="9"/>
      <c r="G56" s="9">
        <f>E56</f>
        <v>0</v>
      </c>
      <c r="H56" s="11"/>
      <c r="I56" s="10"/>
      <c r="J56" s="14"/>
      <c r="K56" s="10"/>
      <c r="L56" s="14"/>
      <c r="M56" s="10"/>
      <c r="N56" s="10"/>
      <c r="O56" s="10"/>
      <c r="P56" s="14"/>
      <c r="Q56" s="10"/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E57" s="10"/>
      <c r="F57" s="10"/>
      <c r="G57" s="10"/>
      <c r="H57" s="13" t="s">
        <v>238</v>
      </c>
      <c r="I57" s="9" t="str">
        <f>IF(OR(H56="",H58=""),"",+IF(H56&gt;H58,E56,E58))</f>
        <v/>
      </c>
      <c r="J57" s="16"/>
      <c r="K57" s="10"/>
      <c r="L57" s="14"/>
      <c r="M57" s="10"/>
      <c r="N57" s="10"/>
      <c r="O57" s="10"/>
      <c r="P57" s="14"/>
      <c r="Q57" s="10"/>
    </row>
    <row r="58" spans="4:33" ht="13" thickBot="1">
      <c r="D58">
        <v>25</v>
      </c>
      <c r="E58" s="9"/>
      <c r="F58" s="9"/>
      <c r="G58" s="9">
        <f>E58</f>
        <v>0</v>
      </c>
      <c r="H58" s="16"/>
      <c r="I58" s="10"/>
      <c r="J58" s="10"/>
      <c r="K58" s="10"/>
      <c r="L58" s="14"/>
      <c r="M58" s="10"/>
      <c r="N58" s="10"/>
      <c r="O58" s="10"/>
      <c r="P58" s="14"/>
      <c r="Q58" s="10"/>
    </row>
    <row r="59" spans="4:33" ht="13" thickBot="1">
      <c r="E59" s="10"/>
      <c r="F59" s="10"/>
      <c r="G59" s="10"/>
      <c r="H59" s="10"/>
      <c r="I59" s="10"/>
      <c r="J59" s="10"/>
      <c r="K59" s="10"/>
      <c r="L59" s="14" t="s">
        <v>220</v>
      </c>
      <c r="M59" s="9" t="str">
        <f>IF(OR(L54="",L64=""),"",+IF(L54&gt;L64,K54,K64))</f>
        <v/>
      </c>
      <c r="N59" s="11"/>
      <c r="O59" s="10"/>
      <c r="P59" s="14"/>
      <c r="Q59" s="10"/>
    </row>
    <row r="60" spans="4:33" ht="13" thickBot="1">
      <c r="D60">
        <v>26</v>
      </c>
      <c r="E60" s="9"/>
      <c r="F60" s="9"/>
      <c r="G60" s="9">
        <f>E60</f>
        <v>0</v>
      </c>
      <c r="H60" s="11"/>
      <c r="I60" s="10"/>
      <c r="J60" s="10"/>
      <c r="K60" s="10"/>
      <c r="L60" s="14"/>
      <c r="M60" s="10"/>
      <c r="N60" s="13"/>
      <c r="O60" s="10"/>
      <c r="P60" s="14"/>
      <c r="Q60" s="10"/>
    </row>
    <row r="61" spans="4:33" ht="13" thickBot="1">
      <c r="E61" s="10"/>
      <c r="F61" s="10"/>
      <c r="G61" s="10"/>
      <c r="H61" s="13" t="s">
        <v>240</v>
      </c>
      <c r="I61" s="9" t="str">
        <f>IF(OR(H60="",H62=""),"",+IF(H60&gt;H62,E60,E62))</f>
        <v/>
      </c>
      <c r="J61" s="17"/>
      <c r="K61" s="10"/>
      <c r="L61" s="14"/>
      <c r="M61" s="10"/>
      <c r="N61" s="14"/>
      <c r="O61" s="10"/>
      <c r="P61" s="14"/>
      <c r="Q61" s="10"/>
    </row>
    <row r="62" spans="4:33" ht="13" thickBot="1">
      <c r="D62">
        <v>27</v>
      </c>
      <c r="E62" s="9"/>
      <c r="F62" s="9"/>
      <c r="G62" s="9">
        <f>E62</f>
        <v>0</v>
      </c>
      <c r="H62" s="16"/>
      <c r="I62" s="10"/>
      <c r="J62" s="13"/>
      <c r="K62" s="10"/>
      <c r="L62" s="14"/>
      <c r="M62" s="10"/>
      <c r="N62" s="14"/>
      <c r="O62" s="10"/>
      <c r="P62" s="14"/>
      <c r="Q62" s="10"/>
    </row>
    <row r="63" spans="4:33">
      <c r="E63" s="10"/>
      <c r="F63" s="10"/>
      <c r="G63" s="10"/>
      <c r="H63" s="10"/>
      <c r="I63" s="10"/>
      <c r="J63" s="14"/>
      <c r="K63" s="10"/>
      <c r="L63" s="14"/>
      <c r="M63" s="10"/>
      <c r="N63" s="14"/>
      <c r="O63" s="10"/>
      <c r="P63" s="14"/>
      <c r="Q63" s="10"/>
    </row>
    <row r="64" spans="4:33" ht="13" thickBot="1">
      <c r="D64">
        <v>28</v>
      </c>
      <c r="E64" s="10"/>
      <c r="F64" s="11"/>
      <c r="G64" s="10"/>
      <c r="H64" s="10"/>
      <c r="I64" s="10"/>
      <c r="J64" s="14" t="s">
        <v>201</v>
      </c>
      <c r="K64" s="18" t="str">
        <f>IF(OR(I61="",I66=""),"",+IF(J61&gt;J66,I61,I66))</f>
        <v/>
      </c>
      <c r="L64" s="16"/>
      <c r="M64" s="10"/>
      <c r="N64" s="14"/>
      <c r="O64" s="10"/>
      <c r="P64" s="14"/>
      <c r="Q64" s="10"/>
    </row>
    <row r="65" spans="4:17" ht="13" thickBot="1">
      <c r="E65" s="12"/>
      <c r="F65" s="13" t="s">
        <v>212</v>
      </c>
      <c r="G65" s="9" t="str">
        <f>IF(OR(F64="",F66=""),"",+IF(F64&gt;F66,E64,E66))</f>
        <v/>
      </c>
      <c r="H65" s="17"/>
      <c r="I65" s="10"/>
      <c r="J65" s="14"/>
      <c r="K65" s="10"/>
      <c r="L65" s="10"/>
      <c r="M65" s="10"/>
      <c r="N65" s="14"/>
      <c r="O65" s="10"/>
      <c r="P65" s="14"/>
      <c r="Q65" s="10"/>
    </row>
    <row r="66" spans="4:17" ht="13" thickBot="1">
      <c r="D66">
        <v>29</v>
      </c>
      <c r="E66" s="9"/>
      <c r="F66" s="16"/>
      <c r="G66" s="10"/>
      <c r="H66" s="13" t="s">
        <v>242</v>
      </c>
      <c r="I66" s="9" t="str">
        <f>IF(OR(H65="",H68=""),"",+IF(H65&gt;H68,G65,G68))</f>
        <v/>
      </c>
      <c r="J66" s="16"/>
      <c r="K66" s="10"/>
      <c r="L66" s="10"/>
      <c r="M66" s="10"/>
      <c r="N66" s="14"/>
      <c r="O66" s="10"/>
      <c r="P66" s="14"/>
      <c r="Q66" s="10"/>
    </row>
    <row r="67" spans="4:17">
      <c r="E67" s="10"/>
      <c r="F67" s="10"/>
      <c r="G67" s="10"/>
      <c r="H67" s="14"/>
      <c r="I67" s="10"/>
      <c r="J67" s="10"/>
      <c r="K67" s="10"/>
      <c r="L67" s="10"/>
      <c r="M67" s="10"/>
      <c r="N67" s="14"/>
      <c r="O67" s="10"/>
      <c r="P67" s="14"/>
      <c r="Q67" s="10"/>
    </row>
    <row r="68" spans="4:17" ht="13" thickBot="1">
      <c r="D68">
        <v>30</v>
      </c>
      <c r="E68" s="9"/>
      <c r="F68" s="9"/>
      <c r="G68" s="9">
        <f>E68</f>
        <v>0</v>
      </c>
      <c r="H68" s="16"/>
      <c r="I68" s="10"/>
      <c r="J68" s="10"/>
      <c r="K68" s="10"/>
      <c r="L68" s="10"/>
      <c r="M68" s="10"/>
      <c r="N68" s="14"/>
      <c r="O68" s="10"/>
      <c r="P68" s="14"/>
      <c r="Q68" s="10"/>
    </row>
    <row r="69" spans="4:17" ht="13" thickBot="1">
      <c r="E69" s="10"/>
      <c r="F69" s="10"/>
      <c r="G69" s="10"/>
      <c r="H69" s="10"/>
      <c r="I69" s="10"/>
      <c r="J69" s="10"/>
      <c r="K69" s="10"/>
      <c r="L69" s="10"/>
      <c r="M69" s="10"/>
      <c r="N69" s="14" t="s">
        <v>231</v>
      </c>
      <c r="O69" s="9" t="str">
        <f>IF(OR(N59="",N80=""),"",+IF(N59&gt;N80,M59,M80))</f>
        <v/>
      </c>
      <c r="P69" s="16"/>
      <c r="Q69" s="10"/>
    </row>
    <row r="70" spans="4:17" ht="13" thickBot="1">
      <c r="D70">
        <v>31</v>
      </c>
      <c r="E70" s="10"/>
      <c r="F70" s="9"/>
      <c r="G70" s="9">
        <f>E70</f>
        <v>0</v>
      </c>
      <c r="H70" s="11"/>
      <c r="I70" s="10"/>
      <c r="J70" s="10"/>
      <c r="K70" s="10"/>
      <c r="L70" s="10"/>
      <c r="M70" s="10"/>
      <c r="N70" s="14"/>
      <c r="O70" s="10"/>
      <c r="P70" s="10"/>
      <c r="Q70" s="10"/>
    </row>
    <row r="71" spans="4:17">
      <c r="E71" s="12"/>
      <c r="F71" s="10"/>
      <c r="G71" s="10"/>
      <c r="H71" s="13"/>
      <c r="I71" s="10"/>
      <c r="J71" s="10"/>
      <c r="K71" s="10"/>
      <c r="L71" s="10"/>
      <c r="M71" s="10"/>
      <c r="N71" s="14"/>
      <c r="O71" s="10"/>
      <c r="P71" s="10"/>
      <c r="Q71" s="10"/>
    </row>
    <row r="72" spans="4:17" ht="13" thickBot="1">
      <c r="E72" s="10"/>
      <c r="F72" s="10"/>
      <c r="G72" s="10"/>
      <c r="H72" s="14" t="s">
        <v>244</v>
      </c>
      <c r="I72" s="9" t="str">
        <f>IF(OR(H70="",H74=""),"",+IF(H70&gt;H74,G70,G74))</f>
        <v/>
      </c>
      <c r="J72" s="11"/>
      <c r="K72" s="10"/>
      <c r="L72" s="10"/>
      <c r="M72" s="10"/>
      <c r="N72" s="14"/>
      <c r="O72" s="10"/>
      <c r="P72" s="10"/>
      <c r="Q72" s="10"/>
    </row>
    <row r="73" spans="4:17" ht="13" thickBot="1">
      <c r="D73">
        <v>32</v>
      </c>
      <c r="E73" s="10"/>
      <c r="F73" s="11"/>
      <c r="G73" s="10"/>
      <c r="H73" s="14"/>
      <c r="I73" s="10"/>
      <c r="J73" s="13"/>
      <c r="K73" s="10"/>
      <c r="L73" s="10"/>
      <c r="M73" s="10"/>
      <c r="N73" s="14"/>
      <c r="O73" s="10"/>
      <c r="P73" s="10"/>
      <c r="Q73" s="10"/>
    </row>
    <row r="74" spans="4:17" ht="13" thickBot="1">
      <c r="E74" s="12"/>
      <c r="F74" s="13" t="s">
        <v>214</v>
      </c>
      <c r="G74" s="9" t="str">
        <f>IF(OR(F73="",F75=""),"",+IF(F73&gt;F75,E73,E75))</f>
        <v/>
      </c>
      <c r="H74" s="16"/>
      <c r="I74" s="10"/>
      <c r="J74" s="14"/>
      <c r="K74" s="10"/>
      <c r="L74" s="10"/>
      <c r="M74" s="10"/>
      <c r="N74" s="14"/>
      <c r="O74" s="10"/>
      <c r="P74" s="10"/>
      <c r="Q74" s="10"/>
    </row>
    <row r="75" spans="4:17" ht="13" thickBot="1">
      <c r="D75">
        <v>33</v>
      </c>
      <c r="E75" s="10"/>
      <c r="F75" s="16"/>
      <c r="G75" s="10"/>
      <c r="H75" s="10"/>
      <c r="I75" s="10"/>
      <c r="J75" s="14" t="s">
        <v>205</v>
      </c>
      <c r="K75" s="9" t="str">
        <f>IF(OR(J72="",J78=""),"",+IF(J72&gt;J78,I72,I78))</f>
        <v/>
      </c>
      <c r="L75" s="11"/>
      <c r="M75" s="10"/>
      <c r="N75" s="14"/>
      <c r="O75" s="10"/>
      <c r="P75" s="10"/>
      <c r="Q75" s="10"/>
    </row>
    <row r="76" spans="4:17">
      <c r="E76" s="12"/>
      <c r="F76" s="10"/>
      <c r="G76" s="10"/>
      <c r="H76" s="10"/>
      <c r="I76" s="10"/>
      <c r="J76" s="14"/>
      <c r="K76" s="12"/>
      <c r="L76" s="13"/>
      <c r="M76" s="10"/>
      <c r="N76" s="14"/>
      <c r="O76" s="10"/>
      <c r="P76" s="10"/>
      <c r="Q76" s="10"/>
    </row>
    <row r="77" spans="4:17" ht="13" thickBot="1">
      <c r="D77">
        <v>34</v>
      </c>
      <c r="E77" s="9"/>
      <c r="F77" s="9"/>
      <c r="G77" s="9">
        <f>E77</f>
        <v>0</v>
      </c>
      <c r="H77" s="11"/>
      <c r="I77" s="10"/>
      <c r="J77" s="14"/>
      <c r="K77" s="10"/>
      <c r="L77" s="14"/>
      <c r="M77" s="10"/>
      <c r="N77" s="14"/>
      <c r="O77" s="10"/>
      <c r="P77" s="10"/>
      <c r="Q77" s="10"/>
    </row>
    <row r="78" spans="4:17" ht="13" thickBot="1">
      <c r="E78" s="10"/>
      <c r="F78" s="10"/>
      <c r="G78" s="10"/>
      <c r="H78" s="13" t="s">
        <v>246</v>
      </c>
      <c r="I78" s="9" t="str">
        <f>IF(OR(H77="",H79=""),"",+IF(H77&gt;H79,E77,E79))</f>
        <v/>
      </c>
      <c r="J78" s="16"/>
      <c r="K78" s="10"/>
      <c r="L78" s="14"/>
      <c r="M78" s="10"/>
      <c r="N78" s="14"/>
      <c r="O78" s="10"/>
      <c r="P78" s="10"/>
      <c r="Q78" s="10"/>
    </row>
    <row r="79" spans="4:17" ht="13" thickBot="1">
      <c r="D79">
        <v>35</v>
      </c>
      <c r="E79" s="9"/>
      <c r="F79" s="9"/>
      <c r="G79" s="9">
        <f>E79</f>
        <v>0</v>
      </c>
      <c r="H79" s="16"/>
      <c r="I79" s="10"/>
      <c r="J79" s="10"/>
      <c r="K79" s="10"/>
      <c r="L79" s="14"/>
      <c r="M79" s="10"/>
      <c r="N79" s="14"/>
      <c r="O79" s="10"/>
      <c r="P79" s="10"/>
      <c r="Q79" s="10"/>
    </row>
    <row r="80" spans="4:17" ht="13" thickBot="1">
      <c r="E80" s="10"/>
      <c r="F80" s="10"/>
      <c r="G80" s="10"/>
      <c r="H80" s="10"/>
      <c r="I80" s="10"/>
      <c r="J80" s="10"/>
      <c r="K80" s="10"/>
      <c r="L80" s="14" t="s">
        <v>224</v>
      </c>
      <c r="M80" s="9" t="str">
        <f>IF(OR(L75="",L85=""),"",+IF(L75&gt;L85,K75,K85))</f>
        <v/>
      </c>
      <c r="N80" s="16"/>
      <c r="O80" s="10"/>
      <c r="P80" s="10"/>
      <c r="Q80" s="10"/>
    </row>
    <row r="81" spans="4:17" ht="13" thickBot="1">
      <c r="D81">
        <v>36</v>
      </c>
      <c r="E81" s="9"/>
      <c r="F81" s="9"/>
      <c r="G81" s="9">
        <f>E81</f>
        <v>0</v>
      </c>
      <c r="H81" s="11"/>
      <c r="I81" s="10"/>
      <c r="J81" s="10"/>
      <c r="K81" s="10"/>
      <c r="L81" s="14"/>
      <c r="M81" s="10"/>
      <c r="N81" s="10"/>
      <c r="O81" s="10"/>
      <c r="P81" s="10"/>
      <c r="Q81" s="10"/>
    </row>
    <row r="82" spans="4:17" ht="13" thickBot="1">
      <c r="E82" s="10"/>
      <c r="F82" s="10"/>
      <c r="G82" s="10"/>
      <c r="H82" s="13" t="s">
        <v>248</v>
      </c>
      <c r="I82" s="9" t="str">
        <f>IF(OR(H81="",H83=""),"",+IF(H81&gt;H83,E81,E83))</f>
        <v/>
      </c>
      <c r="J82" s="17"/>
      <c r="K82" s="10"/>
      <c r="L82" s="14"/>
      <c r="M82" s="10"/>
      <c r="N82" s="10"/>
      <c r="O82" s="10"/>
      <c r="P82" s="10"/>
      <c r="Q82" s="10"/>
    </row>
    <row r="83" spans="4:17" ht="13" thickBot="1">
      <c r="D83">
        <v>37</v>
      </c>
      <c r="E83" s="9"/>
      <c r="F83" s="9"/>
      <c r="G83" s="9">
        <f>E83</f>
        <v>0</v>
      </c>
      <c r="H83" s="16"/>
      <c r="I83" s="10"/>
      <c r="J83" s="13"/>
      <c r="K83" s="10"/>
      <c r="L83" s="14"/>
      <c r="M83" s="10"/>
      <c r="N83" s="10"/>
      <c r="O83" s="10"/>
      <c r="P83" s="10"/>
      <c r="Q83" s="10"/>
    </row>
    <row r="84" spans="4:17">
      <c r="E84" s="10"/>
      <c r="F84" s="10"/>
      <c r="G84" s="10"/>
      <c r="H84" s="10"/>
      <c r="I84" s="10"/>
      <c r="J84" s="14"/>
      <c r="K84" s="10"/>
      <c r="L84" s="14"/>
      <c r="M84" s="10"/>
      <c r="N84" s="10"/>
      <c r="O84" s="10"/>
      <c r="P84" s="10"/>
      <c r="Q84" s="10"/>
    </row>
    <row r="85" spans="4:17" ht="13" thickBot="1">
      <c r="D85">
        <v>38</v>
      </c>
      <c r="E85" s="10"/>
      <c r="F85" s="11"/>
      <c r="G85" s="10"/>
      <c r="H85" s="10"/>
      <c r="I85" s="10"/>
      <c r="J85" s="14" t="s">
        <v>209</v>
      </c>
      <c r="K85" s="18" t="str">
        <f>IF(OR(I82="",I87=""),"",+IF(J82&gt;J87,I82,I87))</f>
        <v/>
      </c>
      <c r="L85" s="16"/>
      <c r="M85" s="10"/>
      <c r="N85" s="10"/>
      <c r="O85" s="10"/>
      <c r="P85" s="10"/>
      <c r="Q85" s="10"/>
    </row>
    <row r="86" spans="4:17" ht="13" thickBot="1">
      <c r="E86" s="12"/>
      <c r="F86" s="13" t="s">
        <v>217</v>
      </c>
      <c r="G86" s="9" t="str">
        <f>IF(OR(F85="",F87=""),"",+IF(F85&gt;F87,E85,E87))</f>
        <v/>
      </c>
      <c r="H86" s="17"/>
      <c r="I86" s="10"/>
      <c r="J86" s="14"/>
      <c r="K86" s="10"/>
      <c r="L86" s="10"/>
      <c r="M86" s="10"/>
      <c r="N86" s="10"/>
      <c r="O86" s="10"/>
      <c r="P86" s="10"/>
      <c r="Q86" s="10"/>
    </row>
    <row r="87" spans="4:17" ht="13" thickBot="1">
      <c r="D87">
        <v>39</v>
      </c>
      <c r="E87" s="9"/>
      <c r="F87" s="16"/>
      <c r="G87" s="10"/>
      <c r="H87" s="13" t="s">
        <v>250</v>
      </c>
      <c r="I87" s="9" t="str">
        <f>IF(OR(H86="",H89=""),"",+IF(H86&gt;H89,G86,G89))</f>
        <v/>
      </c>
      <c r="J87" s="16"/>
      <c r="K87" s="10"/>
      <c r="L87" s="10"/>
      <c r="M87" s="10"/>
      <c r="N87" s="10"/>
      <c r="O87" s="10"/>
      <c r="P87" s="10"/>
      <c r="Q87" s="10"/>
    </row>
    <row r="88" spans="4:17">
      <c r="E88" s="10"/>
      <c r="F88" s="10"/>
      <c r="G88" s="10"/>
      <c r="H88" s="14"/>
      <c r="I88" s="10"/>
      <c r="J88" s="10"/>
      <c r="K88" s="10"/>
      <c r="L88" s="10"/>
      <c r="M88" s="10"/>
      <c r="N88" s="10"/>
      <c r="O88" s="10"/>
      <c r="P88" s="10"/>
      <c r="Q88" s="10"/>
    </row>
    <row r="89" spans="4:17" ht="13" thickBot="1">
      <c r="D89">
        <v>40</v>
      </c>
      <c r="E89" s="9"/>
      <c r="F89" s="9"/>
      <c r="G89" s="9">
        <f>E89</f>
        <v>0</v>
      </c>
      <c r="H89" s="16"/>
      <c r="I89" s="10"/>
      <c r="J89" s="10"/>
      <c r="K89" s="10"/>
      <c r="L89" s="10"/>
      <c r="M89" s="10"/>
      <c r="N89" s="10"/>
      <c r="O89" s="10"/>
      <c r="P89" s="10"/>
      <c r="Q89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Plan37"/>
  <dimension ref="D4:AG87"/>
  <sheetViews>
    <sheetView showGridLines="0" topLeftCell="A16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5" max="15" width="12.87890625" customWidth="1"/>
    <col min="16" max="16" width="3.64453125" customWidth="1"/>
    <col min="17" max="17" width="15.64453125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E29</f>
        <v>0</v>
      </c>
      <c r="V6" t="s">
        <v>77</v>
      </c>
      <c r="W6" s="29">
        <f>E31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E41</f>
        <v>0</v>
      </c>
      <c r="V7" t="s">
        <v>77</v>
      </c>
      <c r="W7" s="29">
        <f>E43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E50</f>
        <v>0</v>
      </c>
      <c r="V8" t="s">
        <v>77</v>
      </c>
      <c r="W8" s="29">
        <f>E52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217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E62</f>
        <v>0</v>
      </c>
      <c r="V9" t="s">
        <v>77</v>
      </c>
      <c r="W9" s="29">
        <f>E64</f>
        <v>0</v>
      </c>
      <c r="Z9" s="34"/>
      <c r="AA9" s="40"/>
      <c r="AB9" s="40"/>
      <c r="AC9" s="38" t="s">
        <v>159</v>
      </c>
      <c r="AD9" s="48"/>
      <c r="AE9" s="53" t="e">
        <f>LOOKUP(AD9,T$5:T$78,U$5:U$45)</f>
        <v>#N/A</v>
      </c>
      <c r="AF9" s="37" t="s">
        <v>157</v>
      </c>
      <c r="AG9" s="65" t="e">
        <f>LOOKUP(AD9,T$5:T$78,W$5:W$44)</f>
        <v>#N/A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E71</f>
        <v>0</v>
      </c>
      <c r="V10" t="s">
        <v>77</v>
      </c>
      <c r="W10" s="29">
        <f>E73</f>
        <v>0</v>
      </c>
      <c r="Z10" s="34"/>
      <c r="AA10" s="40"/>
      <c r="AB10" s="40"/>
      <c r="AC10" s="38" t="s">
        <v>159</v>
      </c>
      <c r="AD10" s="48"/>
      <c r="AE10" s="53" t="e">
        <f>LOOKUP(AD10,T$5:T$78,U$5:U$45)</f>
        <v>#N/A</v>
      </c>
      <c r="AF10" s="37" t="s">
        <v>157</v>
      </c>
      <c r="AG10" s="65" t="e">
        <f>LOOKUP(AD10,T$5:T$78,W$5:W$44)</f>
        <v>#N/A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E83</f>
        <v>0</v>
      </c>
      <c r="V11" t="s">
        <v>77</v>
      </c>
      <c r="W11" s="29">
        <f>E85</f>
        <v>0</v>
      </c>
      <c r="Z11" s="34"/>
      <c r="AA11" s="40"/>
      <c r="AB11" s="40"/>
      <c r="AC11" s="38" t="s">
        <v>159</v>
      </c>
      <c r="AD11" s="48"/>
      <c r="AE11" s="53" t="e">
        <f>LOOKUP(AD11,T$5:T$78,U$5:U$45)</f>
        <v>#N/A</v>
      </c>
      <c r="AF11" s="37" t="s">
        <v>157</v>
      </c>
      <c r="AG11" s="65" t="e">
        <f>LOOKUP(AD11,T$5:T$78,W$5:W$44)</f>
        <v>#N/A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250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E7</f>
        <v>0</v>
      </c>
      <c r="V12" t="s">
        <v>77</v>
      </c>
      <c r="W12" s="29" t="s">
        <v>78</v>
      </c>
      <c r="Z12" s="34"/>
      <c r="AA12" s="40"/>
      <c r="AB12" s="40"/>
      <c r="AC12" s="38" t="s">
        <v>159</v>
      </c>
      <c r="AD12" s="48"/>
      <c r="AE12" s="53" t="e">
        <f>LOOKUP(AD12,T$5:T$78,U$5:U$45)</f>
        <v>#N/A</v>
      </c>
      <c r="AF12" s="37" t="s">
        <v>157</v>
      </c>
      <c r="AG12" s="65" t="e">
        <f>LOOKUP(AD12,T$5:T$78,W$5:W$44)</f>
        <v>#N/A</v>
      </c>
    </row>
    <row r="13" spans="4:33">
      <c r="E13" s="12"/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E14</f>
        <v>0</v>
      </c>
      <c r="V13" t="s">
        <v>77</v>
      </c>
      <c r="W13" s="29">
        <f>E16</f>
        <v>0</v>
      </c>
      <c r="Z13" s="34"/>
      <c r="AA13" s="41"/>
      <c r="AB13" s="33"/>
      <c r="AC13" s="33"/>
      <c r="AD13" s="50"/>
      <c r="AE13" s="54"/>
      <c r="AF13" s="33"/>
      <c r="AG13" s="58"/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E18</f>
        <v>0</v>
      </c>
      <c r="V14" t="s">
        <v>77</v>
      </c>
      <c r="W14" s="29">
        <f>E20</f>
        <v>0</v>
      </c>
      <c r="Z14" s="34"/>
      <c r="AA14" s="40"/>
      <c r="AB14" s="40"/>
      <c r="AC14" s="38" t="s">
        <v>159</v>
      </c>
      <c r="AD14" s="48"/>
      <c r="AE14" s="53" t="e">
        <f>LOOKUP(AD14,T$5:T$78,U$5:U$45)</f>
        <v>#N/A</v>
      </c>
      <c r="AF14" s="37" t="s">
        <v>157</v>
      </c>
      <c r="AG14" s="65" t="e">
        <f>LOOKUP(AD14,T$5:T$78,W$5:W$44)</f>
        <v>#N/A</v>
      </c>
    </row>
    <row r="15" spans="4:33" ht="13" thickBot="1">
      <c r="E15" s="10"/>
      <c r="F15" s="10"/>
      <c r="G15" s="10"/>
      <c r="H15" s="13" t="s">
        <v>219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E22</f>
        <v>0</v>
      </c>
      <c r="V15" t="s">
        <v>77</v>
      </c>
      <c r="W15" s="29">
        <f>E24</f>
        <v>0</v>
      </c>
      <c r="Z15" s="34"/>
      <c r="AA15" s="40"/>
      <c r="AB15" s="40"/>
      <c r="AC15" s="38" t="s">
        <v>159</v>
      </c>
      <c r="AD15" s="48"/>
      <c r="AE15" s="53" t="e">
        <f>LOOKUP(AD15,T$5:T$78,U$5:U$45)</f>
        <v>#N/A</v>
      </c>
      <c r="AF15" s="37" t="s">
        <v>157</v>
      </c>
      <c r="AG15" s="65" t="e">
        <f>LOOKUP(AD15,T$5:T$78,W$5:W$44)</f>
        <v>#N/A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E26</f>
        <v>0</v>
      </c>
      <c r="V16" t="s">
        <v>77</v>
      </c>
      <c r="W16" s="29" t="s">
        <v>160</v>
      </c>
      <c r="Z16" s="34"/>
      <c r="AA16" s="40"/>
      <c r="AB16" s="40"/>
      <c r="AC16" s="38" t="s">
        <v>159</v>
      </c>
      <c r="AD16" s="48"/>
      <c r="AE16" s="53" t="e">
        <f>LOOKUP(AD16,T$5:T$78,U$5:U$45)</f>
        <v>#N/A</v>
      </c>
      <c r="AF16" s="37" t="s">
        <v>157</v>
      </c>
      <c r="AG16" s="65" t="e">
        <f>LOOKUP(AD16,T$5:T$78,W$5:W$44)</f>
        <v>#N/A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209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E33</f>
        <v>0</v>
      </c>
      <c r="V17" t="s">
        <v>77</v>
      </c>
      <c r="W17" s="29">
        <f>E35</f>
        <v>0</v>
      </c>
      <c r="Z17" s="34"/>
      <c r="AA17" s="40"/>
      <c r="AB17" s="40"/>
      <c r="AC17" s="38" t="s">
        <v>159</v>
      </c>
      <c r="AD17" s="48"/>
      <c r="AE17" s="53" t="e">
        <f>LOOKUP(AD17,T$5:T$78,U$5:U$45)</f>
        <v>#N/A</v>
      </c>
      <c r="AF17" s="37" t="s">
        <v>157</v>
      </c>
      <c r="AG17" s="65" t="e">
        <f>LOOKUP(AD17,T$5:T$78,W$5:W$44)</f>
        <v>#N/A</v>
      </c>
    </row>
    <row r="18" spans="4:33" ht="13" thickBot="1">
      <c r="D18">
        <v>6</v>
      </c>
      <c r="E18" s="9"/>
      <c r="F18" s="9"/>
      <c r="G18" s="9">
        <f>E18</f>
        <v>0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E37</f>
        <v>0</v>
      </c>
      <c r="V18" t="s">
        <v>77</v>
      </c>
      <c r="W18" s="29">
        <f>E39</f>
        <v>0</v>
      </c>
      <c r="Z18" s="34"/>
      <c r="AA18" s="41"/>
      <c r="AB18" s="33"/>
      <c r="AC18" s="33"/>
      <c r="AD18" s="50"/>
      <c r="AE18" s="54"/>
      <c r="AF18" s="33"/>
      <c r="AG18" s="58"/>
    </row>
    <row r="19" spans="4:33" ht="13" thickBot="1">
      <c r="E19" s="10"/>
      <c r="F19" s="10"/>
      <c r="G19" s="12"/>
      <c r="H19" s="13" t="s">
        <v>221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 t="s">
        <v>161</v>
      </c>
      <c r="V19" t="s">
        <v>77</v>
      </c>
      <c r="W19" s="29">
        <f>E45</f>
        <v>0</v>
      </c>
      <c r="Z19" s="34"/>
      <c r="AA19" s="40"/>
      <c r="AB19" s="40"/>
      <c r="AC19" s="38" t="s">
        <v>159</v>
      </c>
      <c r="AD19" s="48"/>
      <c r="AE19" s="53" t="e">
        <f>LOOKUP(AD19,T$5:T$78,U$5:U$45)</f>
        <v>#N/A</v>
      </c>
      <c r="AF19" s="37" t="s">
        <v>157</v>
      </c>
      <c r="AG19" s="65" t="e">
        <f>LOOKUP(AD19,T$5:T$78,W$5:W$44)</f>
        <v>#N/A</v>
      </c>
    </row>
    <row r="20" spans="4:33" ht="13" thickBot="1">
      <c r="D20">
        <v>7</v>
      </c>
      <c r="E20" s="9"/>
      <c r="F20" s="9"/>
      <c r="G20" s="9">
        <f>E20</f>
        <v>0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E47</f>
        <v>0</v>
      </c>
      <c r="V20" t="s">
        <v>77</v>
      </c>
      <c r="W20" s="29" t="s">
        <v>265</v>
      </c>
      <c r="Z20" s="34"/>
      <c r="AA20" s="40"/>
      <c r="AB20" s="40"/>
      <c r="AC20" s="38" t="s">
        <v>159</v>
      </c>
      <c r="AD20" s="48"/>
      <c r="AE20" s="53" t="e">
        <f>LOOKUP(AD20,T$5:T$78,U$5:U$45)</f>
        <v>#N/A</v>
      </c>
      <c r="AF20" s="37" t="s">
        <v>157</v>
      </c>
      <c r="AG20" s="65" t="e">
        <f>LOOKUP(AD20,T$5:T$78,W$5:W$44)</f>
        <v>#N/A</v>
      </c>
    </row>
    <row r="21" spans="4:33" ht="13" thickBot="1">
      <c r="E21" s="10"/>
      <c r="F21" s="10"/>
      <c r="G21" s="12"/>
      <c r="H21" s="10"/>
      <c r="I21" s="10"/>
      <c r="J21" s="14" t="s">
        <v>252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E54</f>
        <v>0</v>
      </c>
      <c r="V21" t="s">
        <v>77</v>
      </c>
      <c r="W21" s="29">
        <f>E56</f>
        <v>0</v>
      </c>
      <c r="Z21" s="34"/>
      <c r="AA21" s="40"/>
      <c r="AB21" s="40"/>
      <c r="AC21" s="38" t="s">
        <v>159</v>
      </c>
      <c r="AD21" s="48"/>
      <c r="AE21" s="53" t="e">
        <f>LOOKUP(AD21,T$5:T$78,U$5:U$45)</f>
        <v>#N/A</v>
      </c>
      <c r="AF21" s="37" t="s">
        <v>157</v>
      </c>
      <c r="AG21" s="65" t="e">
        <f>LOOKUP(AD21,T$5:T$78,W$5:W$44)</f>
        <v>#N/A</v>
      </c>
    </row>
    <row r="22" spans="4:33" ht="13" thickBot="1">
      <c r="D22">
        <v>8</v>
      </c>
      <c r="E22" s="9"/>
      <c r="F22" s="9"/>
      <c r="G22" s="9">
        <f>E22</f>
        <v>0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E58</f>
        <v>0</v>
      </c>
      <c r="V22" t="s">
        <v>77</v>
      </c>
      <c r="W22" s="29">
        <f>E60</f>
        <v>0</v>
      </c>
      <c r="Z22" s="34"/>
      <c r="AA22" s="33"/>
      <c r="AB22" s="33"/>
      <c r="AC22" s="33"/>
      <c r="AD22" s="50"/>
      <c r="AE22" s="64"/>
      <c r="AF22" s="33"/>
      <c r="AG22" s="59"/>
    </row>
    <row r="23" spans="4:33" ht="13" thickBot="1">
      <c r="E23" s="10"/>
      <c r="F23" s="10"/>
      <c r="G23" s="12"/>
      <c r="H23" s="13" t="s">
        <v>223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 t="s">
        <v>162</v>
      </c>
      <c r="V23" t="s">
        <v>77</v>
      </c>
      <c r="W23" s="29">
        <f>E66</f>
        <v>0</v>
      </c>
      <c r="Z23" s="34"/>
      <c r="AA23" s="35" t="s">
        <v>153</v>
      </c>
      <c r="AB23" s="100"/>
      <c r="AC23" s="100"/>
      <c r="AD23" s="100"/>
      <c r="AE23" s="100"/>
      <c r="AF23" s="100"/>
      <c r="AG23" s="101"/>
    </row>
    <row r="24" spans="4:33" ht="13" thickBot="1">
      <c r="D24">
        <v>9</v>
      </c>
      <c r="E24" s="9"/>
      <c r="F24" s="9"/>
      <c r="G24" s="9">
        <f>E24</f>
        <v>0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>
        <f>E68</f>
        <v>0</v>
      </c>
      <c r="V24" t="s">
        <v>77</v>
      </c>
      <c r="W24" s="29" t="s">
        <v>163</v>
      </c>
      <c r="Z24" s="34"/>
      <c r="AA24" s="102"/>
      <c r="AB24" s="103"/>
      <c r="AC24" s="103"/>
      <c r="AD24" s="103"/>
      <c r="AE24" s="103"/>
      <c r="AF24" s="103"/>
      <c r="AG24" s="104"/>
    </row>
    <row r="25" spans="4:33">
      <c r="E25" s="10"/>
      <c r="F25" s="10"/>
      <c r="G25" s="10"/>
      <c r="H25" s="10"/>
      <c r="I25" s="10"/>
      <c r="J25" s="10"/>
      <c r="K25" s="10"/>
      <c r="L25" s="10"/>
      <c r="M25" s="10"/>
      <c r="N25" s="14"/>
      <c r="O25" s="10"/>
      <c r="P25" s="10"/>
      <c r="Q25" s="10"/>
      <c r="T25">
        <v>21</v>
      </c>
      <c r="U25" s="28">
        <f>E75</f>
        <v>0</v>
      </c>
      <c r="V25" t="s">
        <v>77</v>
      </c>
      <c r="W25" s="29">
        <f>E77</f>
        <v>0</v>
      </c>
      <c r="Z25" s="34"/>
      <c r="AA25" s="37" t="s">
        <v>154</v>
      </c>
      <c r="AB25" s="37" t="s">
        <v>155</v>
      </c>
      <c r="AC25" s="105"/>
      <c r="AD25" s="106"/>
      <c r="AE25" s="55"/>
      <c r="AF25" s="39" t="s">
        <v>156</v>
      </c>
      <c r="AG25" s="57"/>
    </row>
    <row r="26" spans="4:33" ht="13" thickBot="1">
      <c r="D26">
        <v>10</v>
      </c>
      <c r="E26" s="10"/>
      <c r="F26" s="9"/>
      <c r="G26" s="9">
        <f>E26</f>
        <v>0</v>
      </c>
      <c r="H26" s="11"/>
      <c r="I26" s="10"/>
      <c r="J26" s="10"/>
      <c r="K26" s="10"/>
      <c r="L26" s="10"/>
      <c r="M26" s="10"/>
      <c r="N26" s="14" t="s">
        <v>224</v>
      </c>
      <c r="O26" s="9" t="str">
        <f>IF(OR(N17="",N36=""),"",+IF(N17&gt;N36,M17,M36))</f>
        <v/>
      </c>
      <c r="P26" s="17"/>
      <c r="Q26" s="10"/>
      <c r="T26">
        <v>22</v>
      </c>
      <c r="U26" s="28">
        <f>E79</f>
        <v>0</v>
      </c>
      <c r="V26" t="s">
        <v>77</v>
      </c>
      <c r="W26" s="29">
        <f>E81</f>
        <v>0</v>
      </c>
      <c r="Z26" s="34"/>
      <c r="AA26" s="40"/>
      <c r="AB26" s="40"/>
      <c r="AC26" s="38" t="s">
        <v>159</v>
      </c>
      <c r="AD26" s="48"/>
      <c r="AE26" s="53" t="e">
        <f t="shared" ref="AE26:AE39" si="0">LOOKUP(AD26,T$5:T$78,U$5:U$45)</f>
        <v>#N/A</v>
      </c>
      <c r="AF26" s="37" t="s">
        <v>157</v>
      </c>
      <c r="AG26" s="65" t="e">
        <f t="shared" ref="AG26:AG39" si="1">LOOKUP(AD26,T$5:T$78,W$5:W$44)</f>
        <v>#N/A</v>
      </c>
    </row>
    <row r="27" spans="4:33">
      <c r="E27" s="12"/>
      <c r="F27" s="10"/>
      <c r="G27" s="10"/>
      <c r="H27" s="13"/>
      <c r="I27" s="10"/>
      <c r="J27" s="10"/>
      <c r="K27" s="10"/>
      <c r="L27" s="10"/>
      <c r="M27" s="10"/>
      <c r="N27" s="14"/>
      <c r="O27" s="10"/>
      <c r="P27" s="14"/>
      <c r="Q27" s="10"/>
      <c r="T27">
        <v>23</v>
      </c>
      <c r="U27" s="28" t="s">
        <v>84</v>
      </c>
      <c r="V27" t="s">
        <v>77</v>
      </c>
      <c r="W27" s="29">
        <f>E87</f>
        <v>0</v>
      </c>
      <c r="Z27" s="34"/>
      <c r="AA27" s="40"/>
      <c r="AB27" s="40"/>
      <c r="AC27" s="38" t="s">
        <v>159</v>
      </c>
      <c r="AD27" s="48"/>
      <c r="AE27" s="53" t="e">
        <f t="shared" si="0"/>
        <v>#N/A</v>
      </c>
      <c r="AF27" s="37" t="s">
        <v>157</v>
      </c>
      <c r="AG27" s="65" t="e">
        <f t="shared" si="1"/>
        <v>#N/A</v>
      </c>
    </row>
    <row r="28" spans="4:33" ht="13" thickBot="1">
      <c r="E28" s="10"/>
      <c r="F28" s="10"/>
      <c r="G28" s="10"/>
      <c r="H28" s="14" t="s">
        <v>225</v>
      </c>
      <c r="I28" s="9" t="str">
        <f>IF(OR(H26="",H30=""),"",+IF(H26&gt;H30,G26,G30))</f>
        <v/>
      </c>
      <c r="J28" s="11"/>
      <c r="K28" s="10"/>
      <c r="L28" s="10"/>
      <c r="M28" s="10"/>
      <c r="N28" s="14"/>
      <c r="O28" s="10"/>
      <c r="P28" s="14"/>
      <c r="Q28" s="10"/>
      <c r="T28">
        <v>24</v>
      </c>
      <c r="U28" s="28" t="s">
        <v>164</v>
      </c>
      <c r="V28" t="s">
        <v>77</v>
      </c>
      <c r="W28" s="29" t="s">
        <v>86</v>
      </c>
      <c r="Z28" s="34"/>
      <c r="AA28" s="40"/>
      <c r="AB28" s="40"/>
      <c r="AC28" s="38" t="s">
        <v>159</v>
      </c>
      <c r="AD28" s="48"/>
      <c r="AE28" s="53" t="e">
        <f t="shared" si="0"/>
        <v>#N/A</v>
      </c>
      <c r="AF28" s="37" t="s">
        <v>157</v>
      </c>
      <c r="AG28" s="65" t="e">
        <f t="shared" si="1"/>
        <v>#N/A</v>
      </c>
    </row>
    <row r="29" spans="4:33" ht="13" thickBot="1">
      <c r="D29">
        <v>11</v>
      </c>
      <c r="E29" s="10"/>
      <c r="F29" s="11"/>
      <c r="G29" s="10"/>
      <c r="H29" s="14"/>
      <c r="I29" s="10"/>
      <c r="J29" s="13"/>
      <c r="K29" s="10"/>
      <c r="L29" s="10"/>
      <c r="M29" s="10"/>
      <c r="N29" s="14"/>
      <c r="O29" s="10"/>
      <c r="P29" s="14"/>
      <c r="Q29" s="10"/>
      <c r="T29">
        <v>25</v>
      </c>
      <c r="U29" s="28" t="s">
        <v>87</v>
      </c>
      <c r="V29" t="s">
        <v>77</v>
      </c>
      <c r="W29" s="29" t="s">
        <v>88</v>
      </c>
      <c r="Z29" s="34"/>
      <c r="AA29" s="40"/>
      <c r="AB29" s="40"/>
      <c r="AC29" s="38" t="s">
        <v>159</v>
      </c>
      <c r="AD29" s="48"/>
      <c r="AE29" s="53" t="e">
        <f t="shared" si="0"/>
        <v>#N/A</v>
      </c>
      <c r="AF29" s="37" t="s">
        <v>157</v>
      </c>
      <c r="AG29" s="65" t="e">
        <f t="shared" si="1"/>
        <v>#N/A</v>
      </c>
    </row>
    <row r="30" spans="4:33" ht="13" thickBot="1">
      <c r="E30" s="12"/>
      <c r="F30" s="13" t="s">
        <v>204</v>
      </c>
      <c r="G30" s="9" t="str">
        <f>IF(OR(F29="",F31=""),"",+IF(F29&gt;F31,E29,E31))</f>
        <v/>
      </c>
      <c r="H30" s="16"/>
      <c r="I30" s="10"/>
      <c r="J30" s="14"/>
      <c r="K30" s="10"/>
      <c r="L30" s="10"/>
      <c r="M30" s="10"/>
      <c r="N30" s="14"/>
      <c r="O30" s="10"/>
      <c r="P30" s="14"/>
      <c r="Q30" s="10"/>
      <c r="T30">
        <v>26</v>
      </c>
      <c r="U30" s="28" t="s">
        <v>89</v>
      </c>
      <c r="V30" t="s">
        <v>77</v>
      </c>
      <c r="W30" s="29" t="s">
        <v>90</v>
      </c>
      <c r="Z30" s="34"/>
      <c r="AA30" s="41"/>
      <c r="AB30" s="33"/>
      <c r="AC30" s="33"/>
      <c r="AD30" s="50"/>
      <c r="AE30" s="54" t="e">
        <f t="shared" si="0"/>
        <v>#N/A</v>
      </c>
      <c r="AF30" s="33"/>
      <c r="AG30" s="58" t="e">
        <f t="shared" si="1"/>
        <v>#N/A</v>
      </c>
    </row>
    <row r="31" spans="4:33" ht="13" thickBot="1">
      <c r="D31">
        <v>12</v>
      </c>
      <c r="E31" s="10"/>
      <c r="F31" s="16"/>
      <c r="G31" s="10"/>
      <c r="H31" s="10"/>
      <c r="I31" s="10"/>
      <c r="J31" s="14" t="s">
        <v>254</v>
      </c>
      <c r="K31" s="9" t="str">
        <f>IF(OR(J28="",J34=""),"",+IF(J28&gt;J34,I28,I34))</f>
        <v/>
      </c>
      <c r="L31" s="11"/>
      <c r="M31" s="10"/>
      <c r="N31" s="14"/>
      <c r="O31" s="10"/>
      <c r="P31" s="14"/>
      <c r="Q31" s="10"/>
      <c r="T31">
        <v>27</v>
      </c>
      <c r="U31" s="28" t="s">
        <v>91</v>
      </c>
      <c r="V31" t="s">
        <v>77</v>
      </c>
      <c r="W31" s="29" t="s">
        <v>92</v>
      </c>
      <c r="Z31" s="34"/>
      <c r="AA31" s="40"/>
      <c r="AB31" s="40"/>
      <c r="AC31" s="38" t="s">
        <v>159</v>
      </c>
      <c r="AD31" s="48"/>
      <c r="AE31" s="53" t="e">
        <f t="shared" si="0"/>
        <v>#N/A</v>
      </c>
      <c r="AF31" s="37" t="s">
        <v>157</v>
      </c>
      <c r="AG31" s="65" t="e">
        <f t="shared" si="1"/>
        <v>#N/A</v>
      </c>
    </row>
    <row r="32" spans="4:33">
      <c r="E32" s="12"/>
      <c r="F32" s="10"/>
      <c r="G32" s="10"/>
      <c r="H32" s="10"/>
      <c r="I32" s="10"/>
      <c r="J32" s="14"/>
      <c r="K32" s="12"/>
      <c r="L32" s="13"/>
      <c r="M32" s="10"/>
      <c r="N32" s="14"/>
      <c r="O32" s="10"/>
      <c r="P32" s="14"/>
      <c r="Q32" s="10"/>
      <c r="T32">
        <v>28</v>
      </c>
      <c r="U32" s="28" t="s">
        <v>165</v>
      </c>
      <c r="V32" t="s">
        <v>77</v>
      </c>
      <c r="W32" s="29" t="s">
        <v>94</v>
      </c>
      <c r="Z32" s="34"/>
      <c r="AA32" s="40"/>
      <c r="AB32" s="40"/>
      <c r="AC32" s="38" t="s">
        <v>159</v>
      </c>
      <c r="AD32" s="48"/>
      <c r="AE32" s="53" t="e">
        <f t="shared" si="0"/>
        <v>#N/A</v>
      </c>
      <c r="AF32" s="37" t="s">
        <v>157</v>
      </c>
      <c r="AG32" s="65" t="e">
        <f t="shared" si="1"/>
        <v>#N/A</v>
      </c>
    </row>
    <row r="33" spans="4:33" ht="13" thickBot="1">
      <c r="D33">
        <v>13</v>
      </c>
      <c r="E33" s="9"/>
      <c r="F33" s="9"/>
      <c r="G33" s="9">
        <f>E33</f>
        <v>0</v>
      </c>
      <c r="H33" s="11"/>
      <c r="I33" s="10"/>
      <c r="J33" s="14"/>
      <c r="K33" s="10"/>
      <c r="L33" s="14"/>
      <c r="M33" s="10"/>
      <c r="N33" s="14"/>
      <c r="O33" s="10"/>
      <c r="P33" s="14"/>
      <c r="Q33" s="10"/>
      <c r="T33">
        <v>29</v>
      </c>
      <c r="U33" s="28" t="s">
        <v>95</v>
      </c>
      <c r="V33" t="s">
        <v>77</v>
      </c>
      <c r="W33" s="29" t="s">
        <v>96</v>
      </c>
      <c r="Z33" s="34"/>
      <c r="AA33" s="40"/>
      <c r="AB33" s="40"/>
      <c r="AC33" s="38" t="s">
        <v>159</v>
      </c>
      <c r="AD33" s="48"/>
      <c r="AE33" s="53" t="e">
        <f t="shared" si="0"/>
        <v>#N/A</v>
      </c>
      <c r="AF33" s="37" t="s">
        <v>157</v>
      </c>
      <c r="AG33" s="65" t="e">
        <f t="shared" si="1"/>
        <v>#N/A</v>
      </c>
    </row>
    <row r="34" spans="4:33" ht="13" thickBot="1">
      <c r="E34" s="10"/>
      <c r="F34" s="10"/>
      <c r="G34" s="10"/>
      <c r="H34" s="13" t="s">
        <v>227</v>
      </c>
      <c r="I34" s="9" t="str">
        <f>IF(OR(H33="",H35=""),"",+IF(H33&gt;H35,E33,E35))</f>
        <v/>
      </c>
      <c r="J34" s="16"/>
      <c r="K34" s="10"/>
      <c r="L34" s="14"/>
      <c r="M34" s="10"/>
      <c r="N34" s="14"/>
      <c r="O34" s="10"/>
      <c r="P34" s="14"/>
      <c r="Q34" s="10"/>
      <c r="T34">
        <v>30</v>
      </c>
      <c r="U34" s="28" t="s">
        <v>97</v>
      </c>
      <c r="V34" t="s">
        <v>77</v>
      </c>
      <c r="W34" s="29" t="s">
        <v>98</v>
      </c>
      <c r="Z34" s="34"/>
      <c r="AA34" s="40"/>
      <c r="AB34" s="40"/>
      <c r="AC34" s="38" t="s">
        <v>159</v>
      </c>
      <c r="AD34" s="48"/>
      <c r="AE34" s="53" t="e">
        <f t="shared" si="0"/>
        <v>#N/A</v>
      </c>
      <c r="AF34" s="37" t="s">
        <v>157</v>
      </c>
      <c r="AG34" s="65" t="e">
        <f t="shared" si="1"/>
        <v>#N/A</v>
      </c>
    </row>
    <row r="35" spans="4:33" ht="13" thickBot="1">
      <c r="D35">
        <v>14</v>
      </c>
      <c r="E35" s="9"/>
      <c r="F35" s="9"/>
      <c r="G35" s="9">
        <f>E35</f>
        <v>0</v>
      </c>
      <c r="H35" s="16"/>
      <c r="I35" s="10"/>
      <c r="J35" s="10"/>
      <c r="K35" s="10"/>
      <c r="L35" s="14"/>
      <c r="M35" s="10"/>
      <c r="N35" s="14"/>
      <c r="O35" s="10"/>
      <c r="P35" s="14"/>
      <c r="Q35" s="10"/>
      <c r="T35">
        <v>31</v>
      </c>
      <c r="U35" s="28" t="s">
        <v>99</v>
      </c>
      <c r="V35" t="s">
        <v>77</v>
      </c>
      <c r="W35" s="29" t="s">
        <v>100</v>
      </c>
      <c r="Z35" s="34"/>
      <c r="AA35" s="41"/>
      <c r="AB35" s="33"/>
      <c r="AC35" s="33"/>
      <c r="AD35" s="50"/>
      <c r="AE35" s="54" t="e">
        <f t="shared" si="0"/>
        <v>#N/A</v>
      </c>
      <c r="AF35" s="33"/>
      <c r="AG35" s="58" t="e">
        <f t="shared" si="1"/>
        <v>#N/A</v>
      </c>
    </row>
    <row r="36" spans="4:33" ht="13" thickBot="1">
      <c r="E36" s="10"/>
      <c r="F36" s="10"/>
      <c r="G36" s="10"/>
      <c r="H36" s="10"/>
      <c r="I36" s="10"/>
      <c r="J36" s="10"/>
      <c r="K36" s="10"/>
      <c r="L36" s="14" t="s">
        <v>213</v>
      </c>
      <c r="M36" s="9" t="str">
        <f>IF(OR(L31="",L41=""),"",+IF(L31&gt;L41,K31,K41))</f>
        <v/>
      </c>
      <c r="N36" s="16"/>
      <c r="O36" s="10"/>
      <c r="P36" s="14"/>
      <c r="Q36" s="10"/>
      <c r="T36">
        <v>32</v>
      </c>
      <c r="U36" s="28" t="s">
        <v>101</v>
      </c>
      <c r="V36" t="s">
        <v>77</v>
      </c>
      <c r="W36" s="29" t="s">
        <v>102</v>
      </c>
      <c r="Z36" s="34"/>
      <c r="AA36" s="40"/>
      <c r="AB36" s="40"/>
      <c r="AC36" s="38" t="s">
        <v>159</v>
      </c>
      <c r="AD36" s="48"/>
      <c r="AE36" s="53" t="e">
        <f t="shared" si="0"/>
        <v>#N/A</v>
      </c>
      <c r="AF36" s="37" t="s">
        <v>157</v>
      </c>
      <c r="AG36" s="65" t="e">
        <f t="shared" si="1"/>
        <v>#N/A</v>
      </c>
    </row>
    <row r="37" spans="4:33" ht="13" thickBot="1">
      <c r="D37">
        <v>15</v>
      </c>
      <c r="E37" s="9"/>
      <c r="F37" s="9"/>
      <c r="G37" s="9">
        <f>E37</f>
        <v>0</v>
      </c>
      <c r="H37" s="11"/>
      <c r="I37" s="10"/>
      <c r="J37" s="10"/>
      <c r="K37" s="10"/>
      <c r="L37" s="14"/>
      <c r="M37" s="10"/>
      <c r="N37" s="10"/>
      <c r="O37" s="10"/>
      <c r="P37" s="14"/>
      <c r="Q37" s="10"/>
      <c r="T37">
        <v>33</v>
      </c>
      <c r="U37" s="28" t="s">
        <v>103</v>
      </c>
      <c r="V37" t="s">
        <v>77</v>
      </c>
      <c r="W37" s="29" t="s">
        <v>104</v>
      </c>
      <c r="Z37" s="34"/>
      <c r="AA37" s="40"/>
      <c r="AB37" s="40"/>
      <c r="AC37" s="38" t="s">
        <v>159</v>
      </c>
      <c r="AD37" s="48"/>
      <c r="AE37" s="53" t="e">
        <f t="shared" si="0"/>
        <v>#N/A</v>
      </c>
      <c r="AF37" s="37" t="s">
        <v>157</v>
      </c>
      <c r="AG37" s="65" t="e">
        <f t="shared" si="1"/>
        <v>#N/A</v>
      </c>
    </row>
    <row r="38" spans="4:33" ht="13" thickBot="1">
      <c r="E38" s="10"/>
      <c r="F38" s="10"/>
      <c r="G38" s="10"/>
      <c r="H38" s="13" t="s">
        <v>229</v>
      </c>
      <c r="I38" s="9" t="str">
        <f>IF(OR(H37="",H39=""),"",+IF(H37&gt;H39,E37,E39))</f>
        <v/>
      </c>
      <c r="J38" s="17"/>
      <c r="K38" s="10"/>
      <c r="L38" s="14"/>
      <c r="M38" s="10"/>
      <c r="N38" s="10"/>
      <c r="O38" s="10"/>
      <c r="P38" s="14"/>
      <c r="Q38" s="10"/>
      <c r="T38">
        <v>34</v>
      </c>
      <c r="U38" s="28" t="s">
        <v>105</v>
      </c>
      <c r="V38" t="s">
        <v>77</v>
      </c>
      <c r="W38" s="29" t="s">
        <v>106</v>
      </c>
      <c r="Z38" s="34"/>
      <c r="AA38" s="40"/>
      <c r="AB38" s="40"/>
      <c r="AC38" s="38" t="s">
        <v>159</v>
      </c>
      <c r="AD38" s="48"/>
      <c r="AE38" s="53" t="e">
        <f t="shared" si="0"/>
        <v>#N/A</v>
      </c>
      <c r="AF38" s="37" t="s">
        <v>157</v>
      </c>
      <c r="AG38" s="65" t="e">
        <f t="shared" si="1"/>
        <v>#N/A</v>
      </c>
    </row>
    <row r="39" spans="4:33" ht="13" thickBot="1">
      <c r="D39">
        <v>16</v>
      </c>
      <c r="E39" s="9"/>
      <c r="F39" s="9"/>
      <c r="G39" s="9">
        <f>E39</f>
        <v>0</v>
      </c>
      <c r="H39" s="16"/>
      <c r="I39" s="10"/>
      <c r="J39" s="13"/>
      <c r="K39" s="10"/>
      <c r="L39" s="14"/>
      <c r="M39" s="10"/>
      <c r="N39" s="10"/>
      <c r="O39" s="10"/>
      <c r="P39" s="14"/>
      <c r="Q39" s="10"/>
      <c r="T39">
        <v>35</v>
      </c>
      <c r="U39" s="28" t="s">
        <v>107</v>
      </c>
      <c r="V39" t="s">
        <v>77</v>
      </c>
      <c r="W39" s="29" t="s">
        <v>108</v>
      </c>
      <c r="Z39" s="34"/>
      <c r="AA39" s="33"/>
      <c r="AB39" s="33"/>
      <c r="AC39" s="33"/>
      <c r="AD39" s="50"/>
      <c r="AE39" s="64" t="e">
        <f t="shared" si="0"/>
        <v>#N/A</v>
      </c>
      <c r="AF39" s="33"/>
      <c r="AG39" s="59" t="e">
        <f t="shared" si="1"/>
        <v>#N/A</v>
      </c>
    </row>
    <row r="40" spans="4:33">
      <c r="E40" s="10"/>
      <c r="F40" s="10"/>
      <c r="G40" s="10"/>
      <c r="H40" s="10"/>
      <c r="I40" s="10"/>
      <c r="J40" s="14"/>
      <c r="K40" s="10"/>
      <c r="L40" s="14"/>
      <c r="M40" s="10"/>
      <c r="N40" s="10"/>
      <c r="O40" s="10"/>
      <c r="P40" s="14"/>
      <c r="Q40" s="10"/>
      <c r="T40">
        <v>36</v>
      </c>
      <c r="U40" s="28" t="s">
        <v>109</v>
      </c>
      <c r="V40" t="s">
        <v>77</v>
      </c>
      <c r="W40" s="29" t="s">
        <v>110</v>
      </c>
      <c r="Z40" s="34"/>
      <c r="AA40" s="35" t="s">
        <v>153</v>
      </c>
      <c r="AB40" s="100"/>
      <c r="AC40" s="100"/>
      <c r="AD40" s="100"/>
      <c r="AE40" s="100"/>
      <c r="AF40" s="100"/>
      <c r="AG40" s="101"/>
    </row>
    <row r="41" spans="4:33" ht="13" thickBot="1">
      <c r="D41">
        <v>17</v>
      </c>
      <c r="E41" s="10"/>
      <c r="F41" s="11"/>
      <c r="G41" s="10"/>
      <c r="H41" s="10"/>
      <c r="I41" s="10"/>
      <c r="J41" s="14" t="s">
        <v>256</v>
      </c>
      <c r="K41" s="18" t="str">
        <f>IF(OR(I38="",I43=""),"",+IF(J38&gt;J43,I38,I43))</f>
        <v/>
      </c>
      <c r="L41" s="16"/>
      <c r="M41" s="10"/>
      <c r="N41" s="10"/>
      <c r="O41" s="10"/>
      <c r="P41" s="14"/>
      <c r="Q41" s="10"/>
      <c r="T41">
        <v>37</v>
      </c>
      <c r="U41" s="28" t="s">
        <v>111</v>
      </c>
      <c r="V41" t="s">
        <v>77</v>
      </c>
      <c r="W41" s="29" t="s">
        <v>112</v>
      </c>
      <c r="Z41" s="34"/>
      <c r="AA41" s="102"/>
      <c r="AB41" s="103"/>
      <c r="AC41" s="103"/>
      <c r="AD41" s="103"/>
      <c r="AE41" s="103"/>
      <c r="AF41" s="103"/>
      <c r="AG41" s="104"/>
    </row>
    <row r="42" spans="4:33" ht="13" thickBot="1">
      <c r="E42" s="12"/>
      <c r="F42" s="13" t="s">
        <v>206</v>
      </c>
      <c r="G42" s="9" t="str">
        <f>IF(OR(F41="",F43=""),"",+IF(F41&gt;F43,E41,E43))</f>
        <v/>
      </c>
      <c r="H42" s="17"/>
      <c r="I42" s="10"/>
      <c r="J42" s="14"/>
      <c r="K42" s="10"/>
      <c r="L42" s="10"/>
      <c r="M42" s="10"/>
      <c r="N42" s="10"/>
      <c r="O42" s="10"/>
      <c r="P42" s="14"/>
      <c r="Q42" s="10"/>
      <c r="T42">
        <v>38</v>
      </c>
      <c r="U42" s="28" t="s">
        <v>113</v>
      </c>
      <c r="V42" t="s">
        <v>77</v>
      </c>
      <c r="W42" s="29" t="s">
        <v>114</v>
      </c>
      <c r="Z42" s="34"/>
      <c r="AA42" s="37" t="s">
        <v>154</v>
      </c>
      <c r="AB42" s="37" t="s">
        <v>155</v>
      </c>
      <c r="AC42" s="107"/>
      <c r="AD42" s="108"/>
      <c r="AE42" s="55"/>
      <c r="AF42" s="39" t="s">
        <v>156</v>
      </c>
      <c r="AG42" s="57"/>
    </row>
    <row r="43" spans="4:33" ht="13" thickBot="1">
      <c r="D43">
        <v>18</v>
      </c>
      <c r="E43" s="9"/>
      <c r="F43" s="16"/>
      <c r="G43" s="10"/>
      <c r="H43" s="13" t="s">
        <v>232</v>
      </c>
      <c r="I43" s="9" t="str">
        <f>IF(OR(H42="",H45=""),"",+IF(H42&gt;H45,G42,G45))</f>
        <v/>
      </c>
      <c r="J43" s="16"/>
      <c r="K43" s="10"/>
      <c r="L43" s="10"/>
      <c r="M43" s="10"/>
      <c r="N43" s="10"/>
      <c r="O43" s="10"/>
      <c r="P43" s="14"/>
      <c r="Q43" s="10"/>
      <c r="W43" s="28"/>
      <c r="Z43" s="34"/>
      <c r="AA43" s="40"/>
      <c r="AB43" s="40"/>
      <c r="AC43" s="38" t="s">
        <v>159</v>
      </c>
      <c r="AD43" s="48"/>
      <c r="AE43" s="53" t="e">
        <f>LOOKUP(AD43,T$5:T$78,U$5:U$45)</f>
        <v>#N/A</v>
      </c>
      <c r="AF43" s="37" t="s">
        <v>157</v>
      </c>
      <c r="AG43" s="65" t="e">
        <f>LOOKUP(AD43,T$5:T$78,W$5:W$44)</f>
        <v>#N/A</v>
      </c>
    </row>
    <row r="44" spans="4:33">
      <c r="E44" s="10"/>
      <c r="F44" s="10"/>
      <c r="G44" s="10"/>
      <c r="H44" s="14"/>
      <c r="I44" s="10"/>
      <c r="J44" s="10"/>
      <c r="K44" s="10"/>
      <c r="L44" s="10"/>
      <c r="M44" s="10"/>
      <c r="N44" s="10"/>
      <c r="O44" s="10"/>
      <c r="P44" s="14"/>
      <c r="Q44" s="10"/>
      <c r="U44" s="29"/>
      <c r="Z44" s="34"/>
      <c r="AA44" s="40"/>
      <c r="AB44" s="40"/>
      <c r="AC44" s="38" t="s">
        <v>159</v>
      </c>
      <c r="AD44" s="48"/>
      <c r="AE44" s="53" t="e">
        <f>LOOKUP(AD44,T$5:T$78,U$5:U$45)</f>
        <v>#N/A</v>
      </c>
      <c r="AF44" s="37" t="s">
        <v>157</v>
      </c>
      <c r="AG44" s="65" t="e">
        <f>LOOKUP(AD44,T$5:T$78,W$5:W$44)</f>
        <v>#N/A</v>
      </c>
    </row>
    <row r="45" spans="4:33" ht="13" thickBot="1">
      <c r="D45">
        <v>19</v>
      </c>
      <c r="E45" s="9"/>
      <c r="F45" s="9"/>
      <c r="G45" s="9">
        <f>E45</f>
        <v>0</v>
      </c>
      <c r="H45" s="16"/>
      <c r="I45" s="10"/>
      <c r="J45" s="10"/>
      <c r="K45" s="10"/>
      <c r="L45" s="10"/>
      <c r="M45" s="10"/>
      <c r="N45" s="10"/>
      <c r="O45" s="10"/>
      <c r="P45" s="14"/>
      <c r="Q45" s="10"/>
      <c r="Z45" s="34"/>
      <c r="AA45" s="40"/>
      <c r="AB45" s="40"/>
      <c r="AC45" s="38" t="s">
        <v>159</v>
      </c>
      <c r="AD45" s="48"/>
      <c r="AE45" s="53" t="e">
        <f>LOOKUP(AD45,T$5:T$78,U$5:U$45)</f>
        <v>#N/A</v>
      </c>
      <c r="AF45" s="37" t="s">
        <v>157</v>
      </c>
      <c r="AG45" s="65" t="e">
        <f>LOOKUP(AD45,T$5:T$78,W$5:W$44)</f>
        <v>#N/A</v>
      </c>
    </row>
    <row r="46" spans="4:33" ht="13" thickBot="1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4" t="s">
        <v>231</v>
      </c>
      <c r="Q46" s="9" t="str">
        <f>IF(OR(P26="",P67=""),"",+IF(P26&gt;P67,O26,O67))</f>
        <v/>
      </c>
      <c r="Z46" s="34"/>
      <c r="AA46" s="40"/>
      <c r="AB46" s="40"/>
      <c r="AC46" s="38" t="s">
        <v>159</v>
      </c>
      <c r="AD46" s="48"/>
      <c r="AE46" s="53" t="e">
        <f>LOOKUP(AD46,T$5:T$78,U$5:U$45)</f>
        <v>#N/A</v>
      </c>
      <c r="AF46" s="37" t="s">
        <v>157</v>
      </c>
      <c r="AG46" s="65" t="e">
        <f>LOOKUP(AD46,T$5:T$78,W$5:W$44)</f>
        <v>#N/A</v>
      </c>
    </row>
    <row r="47" spans="4:33" ht="13" thickBot="1">
      <c r="D47">
        <v>20</v>
      </c>
      <c r="E47" s="10"/>
      <c r="F47" s="9"/>
      <c r="G47" s="9">
        <f>E47</f>
        <v>0</v>
      </c>
      <c r="H47" s="11"/>
      <c r="I47" s="10"/>
      <c r="J47" s="10"/>
      <c r="K47" s="10"/>
      <c r="L47" s="10"/>
      <c r="M47" s="10"/>
      <c r="N47" s="10"/>
      <c r="O47" s="10"/>
      <c r="P47" s="14"/>
      <c r="Q47" s="10"/>
      <c r="Z47" s="34"/>
      <c r="AA47" s="41"/>
      <c r="AB47" s="33"/>
      <c r="AC47" s="33"/>
      <c r="AD47" s="50"/>
      <c r="AE47" s="54"/>
      <c r="AF47" s="33"/>
      <c r="AG47" s="58"/>
    </row>
    <row r="48" spans="4:33">
      <c r="E48" s="12"/>
      <c r="F48" s="10"/>
      <c r="G48" s="10"/>
      <c r="H48" s="13"/>
      <c r="I48" s="10"/>
      <c r="J48" s="10"/>
      <c r="K48" s="10"/>
      <c r="L48" s="10"/>
      <c r="M48" s="10"/>
      <c r="N48" s="10"/>
      <c r="O48" s="10"/>
      <c r="P48" s="14"/>
      <c r="Q48" s="10"/>
      <c r="Z48" s="34"/>
      <c r="AA48" s="40"/>
      <c r="AB48" s="40"/>
      <c r="AC48" s="38" t="s">
        <v>159</v>
      </c>
      <c r="AD48" s="48"/>
      <c r="AE48" s="53" t="e">
        <f>LOOKUP(AD48,T$5:T$78,U$5:U$45)</f>
        <v>#N/A</v>
      </c>
      <c r="AF48" s="37" t="s">
        <v>157</v>
      </c>
      <c r="AG48" s="65" t="e">
        <f>LOOKUP(AD48,T$5:T$78,W$5:W$44)</f>
        <v>#N/A</v>
      </c>
    </row>
    <row r="49" spans="4:33" ht="13" thickBot="1">
      <c r="E49" s="10"/>
      <c r="F49" s="10"/>
      <c r="G49" s="10"/>
      <c r="H49" s="14" t="s">
        <v>234</v>
      </c>
      <c r="I49" s="9" t="str">
        <f>IF(OR(H47="",H51=""),"",+IF(H47&gt;H51,G47,G51))</f>
        <v/>
      </c>
      <c r="J49" s="11"/>
      <c r="K49" s="10"/>
      <c r="L49" s="10"/>
      <c r="M49" s="10"/>
      <c r="N49" s="10"/>
      <c r="O49" s="10"/>
      <c r="P49" s="14"/>
      <c r="Q49" s="10"/>
      <c r="Z49" s="34"/>
      <c r="AA49" s="40"/>
      <c r="AB49" s="40"/>
      <c r="AC49" s="38" t="s">
        <v>159</v>
      </c>
      <c r="AD49" s="48"/>
      <c r="AE49" s="53" t="e">
        <f>LOOKUP(AD49,T$5:T$78,U$5:U$45)</f>
        <v>#N/A</v>
      </c>
      <c r="AF49" s="37" t="s">
        <v>157</v>
      </c>
      <c r="AG49" s="65" t="e">
        <f>LOOKUP(AD49,T$5:T$78,W$5:W$44)</f>
        <v>#N/A</v>
      </c>
    </row>
    <row r="50" spans="4:33" ht="13" thickBot="1">
      <c r="D50">
        <v>21</v>
      </c>
      <c r="E50" s="10"/>
      <c r="F50" s="11"/>
      <c r="G50" s="10"/>
      <c r="H50" s="14"/>
      <c r="I50" s="10"/>
      <c r="J50" s="13"/>
      <c r="K50" s="10"/>
      <c r="L50" s="10"/>
      <c r="M50" s="10"/>
      <c r="N50" s="10"/>
      <c r="O50" s="10"/>
      <c r="P50" s="14"/>
      <c r="Q50" s="10"/>
      <c r="Z50" s="34"/>
      <c r="AA50" s="40"/>
      <c r="AB50" s="40"/>
      <c r="AC50" s="38" t="s">
        <v>159</v>
      </c>
      <c r="AD50" s="48"/>
      <c r="AE50" s="53" t="e">
        <f>LOOKUP(AD50,T$5:T$78,U$5:U$45)</f>
        <v>#N/A</v>
      </c>
      <c r="AF50" s="37" t="s">
        <v>157</v>
      </c>
      <c r="AG50" s="65" t="e">
        <f>LOOKUP(AD50,T$5:T$78,W$5:W$44)</f>
        <v>#N/A</v>
      </c>
    </row>
    <row r="51" spans="4:33" ht="13" thickBot="1">
      <c r="E51" s="12"/>
      <c r="F51" s="13" t="s">
        <v>208</v>
      </c>
      <c r="G51" s="9" t="str">
        <f>IF(OR(F50="",F52=""),"",+IF(F50&gt;F52,E50,E52))</f>
        <v/>
      </c>
      <c r="H51" s="16"/>
      <c r="I51" s="10"/>
      <c r="J51" s="14"/>
      <c r="K51" s="10"/>
      <c r="L51" s="10"/>
      <c r="M51" s="10"/>
      <c r="N51" s="10"/>
      <c r="O51" s="10"/>
      <c r="P51" s="14"/>
      <c r="Q51" s="10"/>
      <c r="Z51" s="34"/>
      <c r="AA51" s="40"/>
      <c r="AB51" s="40"/>
      <c r="AC51" s="38" t="s">
        <v>159</v>
      </c>
      <c r="AD51" s="48"/>
      <c r="AE51" s="53" t="e">
        <f>LOOKUP(AD51,T$5:T$78,U$5:U$45)</f>
        <v>#N/A</v>
      </c>
      <c r="AF51" s="37" t="s">
        <v>157</v>
      </c>
      <c r="AG51" s="65" t="e">
        <f>LOOKUP(AD51,T$5:T$78,W$5:W$44)</f>
        <v>#N/A</v>
      </c>
    </row>
    <row r="52" spans="4:33" ht="13" thickBot="1">
      <c r="D52">
        <v>22</v>
      </c>
      <c r="E52" s="10"/>
      <c r="F52" s="16"/>
      <c r="G52" s="10"/>
      <c r="H52" s="10"/>
      <c r="I52" s="10"/>
      <c r="J52" s="14" t="s">
        <v>258</v>
      </c>
      <c r="K52" s="9" t="str">
        <f>IF(OR(J49="",J55=""),"",+IF(J49&gt;J55,I49,I55))</f>
        <v/>
      </c>
      <c r="L52" s="11"/>
      <c r="M52" s="10"/>
      <c r="N52" s="10"/>
      <c r="O52" s="10"/>
      <c r="P52" s="14"/>
      <c r="Q52" s="10"/>
      <c r="Z52" s="34"/>
      <c r="AA52" s="41"/>
      <c r="AB52" s="33"/>
      <c r="AC52" s="33"/>
      <c r="AD52" s="50"/>
      <c r="AE52" s="54"/>
      <c r="AF52" s="33"/>
      <c r="AG52" s="58"/>
    </row>
    <row r="53" spans="4:33">
      <c r="E53" s="12"/>
      <c r="F53" s="10"/>
      <c r="G53" s="10"/>
      <c r="H53" s="10"/>
      <c r="I53" s="10"/>
      <c r="J53" s="14"/>
      <c r="K53" s="12"/>
      <c r="L53" s="13"/>
      <c r="M53" s="10"/>
      <c r="N53" s="10"/>
      <c r="O53" s="10"/>
      <c r="P53" s="14"/>
      <c r="Q53" s="10"/>
      <c r="Z53" s="34"/>
      <c r="AA53" s="40"/>
      <c r="AB53" s="40"/>
      <c r="AC53" s="38" t="s">
        <v>159</v>
      </c>
      <c r="AD53" s="48"/>
      <c r="AE53" s="53" t="e">
        <f>LOOKUP(AD53,T$5:T$78,U$5:U$45)</f>
        <v>#N/A</v>
      </c>
      <c r="AF53" s="37" t="s">
        <v>157</v>
      </c>
      <c r="AG53" s="65" t="e">
        <f>LOOKUP(AD53,T$5:T$78,W$5:W$44)</f>
        <v>#N/A</v>
      </c>
    </row>
    <row r="54" spans="4:33" ht="13" thickBot="1">
      <c r="D54">
        <v>23</v>
      </c>
      <c r="E54" s="9"/>
      <c r="F54" s="9"/>
      <c r="G54" s="9">
        <f>E54</f>
        <v>0</v>
      </c>
      <c r="H54" s="11"/>
      <c r="I54" s="10"/>
      <c r="J54" s="14"/>
      <c r="K54" s="10"/>
      <c r="L54" s="14"/>
      <c r="M54" s="10"/>
      <c r="N54" s="10"/>
      <c r="O54" s="10"/>
      <c r="P54" s="14"/>
      <c r="Q54" s="10"/>
      <c r="Z54" s="34"/>
      <c r="AA54" s="40"/>
      <c r="AB54" s="40"/>
      <c r="AC54" s="38" t="s">
        <v>159</v>
      </c>
      <c r="AD54" s="48"/>
      <c r="AE54" s="53" t="e">
        <f>LOOKUP(AD54,T$5:T$78,U$5:U$45)</f>
        <v>#N/A</v>
      </c>
      <c r="AF54" s="37" t="s">
        <v>157</v>
      </c>
      <c r="AG54" s="65" t="e">
        <f>LOOKUP(AD54,T$5:T$78,W$5:W$44)</f>
        <v>#N/A</v>
      </c>
    </row>
    <row r="55" spans="4:33" ht="13" thickBot="1">
      <c r="E55" s="10"/>
      <c r="F55" s="10"/>
      <c r="G55" s="10"/>
      <c r="H55" s="13" t="s">
        <v>236</v>
      </c>
      <c r="I55" s="9" t="str">
        <f>IF(OR(H54="",H56=""),"",+IF(H54&gt;H56,E54,E56))</f>
        <v/>
      </c>
      <c r="J55" s="16"/>
      <c r="K55" s="10"/>
      <c r="L55" s="14"/>
      <c r="M55" s="10"/>
      <c r="N55" s="10"/>
      <c r="O55" s="10"/>
      <c r="P55" s="14"/>
      <c r="Q55" s="10"/>
      <c r="Z55" s="34"/>
      <c r="AA55" s="40"/>
      <c r="AB55" s="40"/>
      <c r="AC55" s="38" t="s">
        <v>159</v>
      </c>
      <c r="AD55" s="48"/>
      <c r="AE55" s="53" t="e">
        <f>LOOKUP(AD55,T$5:T$78,U$5:U$45)</f>
        <v>#N/A</v>
      </c>
      <c r="AF55" s="37" t="s">
        <v>157</v>
      </c>
      <c r="AG55" s="65" t="e">
        <f>LOOKUP(AD55,T$5:T$78,W$5:W$44)</f>
        <v>#N/A</v>
      </c>
    </row>
    <row r="56" spans="4:33" ht="13" thickBot="1">
      <c r="D56">
        <v>24</v>
      </c>
      <c r="E56" s="9"/>
      <c r="F56" s="9"/>
      <c r="G56" s="9">
        <f>E56</f>
        <v>0</v>
      </c>
      <c r="H56" s="16"/>
      <c r="I56" s="10"/>
      <c r="J56" s="10"/>
      <c r="K56" s="10"/>
      <c r="L56" s="14"/>
      <c r="M56" s="10"/>
      <c r="N56" s="10"/>
      <c r="O56" s="10"/>
      <c r="P56" s="14"/>
      <c r="Q56" s="10"/>
      <c r="Z56" s="42"/>
      <c r="AA56" s="43"/>
      <c r="AB56" s="43"/>
      <c r="AC56" s="43"/>
      <c r="AD56" s="61"/>
      <c r="AE56" s="62"/>
      <c r="AF56" s="63"/>
      <c r="AG56" s="60"/>
    </row>
    <row r="57" spans="4:33" ht="13" thickBot="1">
      <c r="E57" s="10"/>
      <c r="F57" s="10"/>
      <c r="G57" s="10"/>
      <c r="H57" s="10"/>
      <c r="I57" s="10"/>
      <c r="J57" s="10"/>
      <c r="K57" s="10"/>
      <c r="L57" s="14" t="s">
        <v>216</v>
      </c>
      <c r="M57" s="9" t="str">
        <f>IF(OR(L52="",L62=""),"",+IF(L52&gt;L62,K52,K62))</f>
        <v/>
      </c>
      <c r="N57" s="11"/>
      <c r="O57" s="10"/>
      <c r="P57" s="14"/>
      <c r="Q57" s="10"/>
    </row>
    <row r="58" spans="4:33" ht="13" thickBot="1">
      <c r="D58">
        <v>25</v>
      </c>
      <c r="E58" s="9"/>
      <c r="F58" s="9"/>
      <c r="G58" s="9">
        <f>E58</f>
        <v>0</v>
      </c>
      <c r="H58" s="11"/>
      <c r="I58" s="10"/>
      <c r="J58" s="10"/>
      <c r="K58" s="10"/>
      <c r="L58" s="14"/>
      <c r="M58" s="10"/>
      <c r="N58" s="13"/>
      <c r="O58" s="10"/>
      <c r="P58" s="14"/>
      <c r="Q58" s="10"/>
    </row>
    <row r="59" spans="4:33" ht="13" thickBot="1">
      <c r="E59" s="10"/>
      <c r="F59" s="10"/>
      <c r="G59" s="10"/>
      <c r="H59" s="13" t="s">
        <v>238</v>
      </c>
      <c r="I59" s="9" t="str">
        <f>IF(OR(H58="",H60=""),"",+IF(H58&gt;H60,E58,E60))</f>
        <v/>
      </c>
      <c r="J59" s="17"/>
      <c r="K59" s="10"/>
      <c r="L59" s="14"/>
      <c r="M59" s="10"/>
      <c r="N59" s="14"/>
      <c r="O59" s="10"/>
      <c r="P59" s="14"/>
      <c r="Q59" s="10"/>
    </row>
    <row r="60" spans="4:33" ht="13" thickBot="1">
      <c r="D60">
        <v>26</v>
      </c>
      <c r="E60" s="9"/>
      <c r="F60" s="9"/>
      <c r="G60" s="9">
        <f>E60</f>
        <v>0</v>
      </c>
      <c r="H60" s="16"/>
      <c r="I60" s="10"/>
      <c r="J60" s="13"/>
      <c r="K60" s="10"/>
      <c r="L60" s="14"/>
      <c r="M60" s="10"/>
      <c r="N60" s="14"/>
      <c r="O60" s="10"/>
      <c r="P60" s="14"/>
      <c r="Q60" s="10"/>
    </row>
    <row r="61" spans="4:33">
      <c r="E61" s="10"/>
      <c r="F61" s="10"/>
      <c r="G61" s="10"/>
      <c r="H61" s="10"/>
      <c r="I61" s="10"/>
      <c r="J61" s="14"/>
      <c r="K61" s="10"/>
      <c r="L61" s="14"/>
      <c r="M61" s="10"/>
      <c r="N61" s="14"/>
      <c r="O61" s="10"/>
      <c r="P61" s="14"/>
      <c r="Q61" s="10"/>
    </row>
    <row r="62" spans="4:33" ht="13" thickBot="1">
      <c r="D62">
        <v>27</v>
      </c>
      <c r="E62" s="10"/>
      <c r="F62" s="11"/>
      <c r="G62" s="10"/>
      <c r="H62" s="10"/>
      <c r="I62" s="10"/>
      <c r="J62" s="14" t="s">
        <v>260</v>
      </c>
      <c r="K62" s="18" t="str">
        <f>IF(OR(I59="",I64=""),"",+IF(J59&gt;J64,I59,I64))</f>
        <v/>
      </c>
      <c r="L62" s="16"/>
      <c r="M62" s="10"/>
      <c r="N62" s="14"/>
      <c r="O62" s="10"/>
      <c r="P62" s="14"/>
      <c r="Q62" s="10"/>
    </row>
    <row r="63" spans="4:33" ht="13" thickBot="1">
      <c r="E63" s="12"/>
      <c r="F63" s="13" t="s">
        <v>210</v>
      </c>
      <c r="G63" s="9" t="str">
        <f>IF(OR(F62="",F64=""),"",+IF(F62&gt;F64,E62,E64))</f>
        <v/>
      </c>
      <c r="H63" s="17"/>
      <c r="I63" s="10"/>
      <c r="J63" s="14"/>
      <c r="K63" s="10"/>
      <c r="L63" s="10"/>
      <c r="M63" s="10"/>
      <c r="N63" s="14"/>
      <c r="O63" s="10"/>
      <c r="P63" s="14"/>
      <c r="Q63" s="10"/>
    </row>
    <row r="64" spans="4:33" ht="13" thickBot="1">
      <c r="D64">
        <v>28</v>
      </c>
      <c r="E64" s="9"/>
      <c r="F64" s="16"/>
      <c r="G64" s="10"/>
      <c r="H64" s="13" t="s">
        <v>240</v>
      </c>
      <c r="I64" s="9" t="str">
        <f>IF(OR(H63="",H66=""),"",+IF(H63&gt;H66,G63,G66))</f>
        <v/>
      </c>
      <c r="J64" s="16"/>
      <c r="K64" s="10"/>
      <c r="L64" s="10"/>
      <c r="M64" s="10"/>
      <c r="N64" s="14"/>
      <c r="O64" s="10"/>
      <c r="P64" s="14"/>
      <c r="Q64" s="10"/>
    </row>
    <row r="65" spans="4:17">
      <c r="E65" s="10"/>
      <c r="F65" s="10"/>
      <c r="G65" s="10"/>
      <c r="H65" s="14"/>
      <c r="I65" s="10"/>
      <c r="J65" s="10"/>
      <c r="K65" s="10"/>
      <c r="L65" s="10"/>
      <c r="M65" s="10"/>
      <c r="N65" s="14"/>
      <c r="O65" s="10"/>
      <c r="P65" s="14"/>
      <c r="Q65" s="10"/>
    </row>
    <row r="66" spans="4:17" ht="13" thickBot="1">
      <c r="D66">
        <v>29</v>
      </c>
      <c r="E66" s="9"/>
      <c r="F66" s="9"/>
      <c r="G66" s="9">
        <f>E66</f>
        <v>0</v>
      </c>
      <c r="H66" s="16"/>
      <c r="I66" s="10"/>
      <c r="J66" s="10"/>
      <c r="K66" s="10"/>
      <c r="L66" s="10"/>
      <c r="M66" s="10"/>
      <c r="N66" s="14"/>
      <c r="O66" s="10"/>
      <c r="P66" s="14"/>
      <c r="Q66" s="10"/>
    </row>
    <row r="67" spans="4:17" ht="13" thickBot="1">
      <c r="E67" s="10"/>
      <c r="F67" s="10"/>
      <c r="G67" s="10"/>
      <c r="H67" s="10"/>
      <c r="I67" s="10"/>
      <c r="J67" s="10"/>
      <c r="K67" s="10"/>
      <c r="L67" s="10"/>
      <c r="M67" s="10"/>
      <c r="N67" s="14" t="s">
        <v>228</v>
      </c>
      <c r="O67" s="9" t="str">
        <f>IF(OR(N57="",N78=""),"",+IF(N57&gt;N78,M57,M78))</f>
        <v/>
      </c>
      <c r="P67" s="16"/>
      <c r="Q67" s="10"/>
    </row>
    <row r="68" spans="4:17" ht="13" thickBot="1">
      <c r="D68">
        <v>30</v>
      </c>
      <c r="E68" s="10"/>
      <c r="F68" s="9"/>
      <c r="G68" s="9">
        <f>E68</f>
        <v>0</v>
      </c>
      <c r="H68" s="11"/>
      <c r="I68" s="10"/>
      <c r="J68" s="10"/>
      <c r="K68" s="10"/>
      <c r="L68" s="10"/>
      <c r="M68" s="10"/>
      <c r="N68" s="14"/>
      <c r="O68" s="10"/>
      <c r="P68" s="10"/>
      <c r="Q68" s="10"/>
    </row>
    <row r="69" spans="4:17">
      <c r="E69" s="12"/>
      <c r="F69" s="10"/>
      <c r="G69" s="10"/>
      <c r="H69" s="13"/>
      <c r="I69" s="10"/>
      <c r="J69" s="10"/>
      <c r="K69" s="10"/>
      <c r="L69" s="10"/>
      <c r="M69" s="10"/>
      <c r="N69" s="14"/>
      <c r="O69" s="10"/>
      <c r="P69" s="10"/>
      <c r="Q69" s="10"/>
    </row>
    <row r="70" spans="4:17" ht="13" thickBot="1">
      <c r="E70" s="10"/>
      <c r="F70" s="10"/>
      <c r="G70" s="10"/>
      <c r="H70" s="14" t="s">
        <v>242</v>
      </c>
      <c r="I70" s="9" t="str">
        <f>IF(OR(H68="",H72=""),"",+IF(H68&gt;H72,G68,G72))</f>
        <v/>
      </c>
      <c r="J70" s="11"/>
      <c r="K70" s="10"/>
      <c r="L70" s="10"/>
      <c r="M70" s="10"/>
      <c r="N70" s="14"/>
      <c r="O70" s="10"/>
      <c r="P70" s="10"/>
      <c r="Q70" s="10"/>
    </row>
    <row r="71" spans="4:17" ht="13" thickBot="1">
      <c r="D71">
        <v>31</v>
      </c>
      <c r="E71" s="10"/>
      <c r="F71" s="11"/>
      <c r="G71" s="10"/>
      <c r="H71" s="14"/>
      <c r="I71" s="10"/>
      <c r="J71" s="13"/>
      <c r="K71" s="10"/>
      <c r="L71" s="10"/>
      <c r="M71" s="10"/>
      <c r="N71" s="14"/>
      <c r="O71" s="10"/>
      <c r="P71" s="10"/>
      <c r="Q71" s="10"/>
    </row>
    <row r="72" spans="4:17" ht="13" thickBot="1">
      <c r="E72" s="12"/>
      <c r="F72" s="13" t="s">
        <v>212</v>
      </c>
      <c r="G72" s="9" t="str">
        <f>IF(OR(F71="",F73=""),"",+IF(F71&gt;F73,E71,E73))</f>
        <v/>
      </c>
      <c r="H72" s="16"/>
      <c r="I72" s="10"/>
      <c r="J72" s="14"/>
      <c r="K72" s="10"/>
      <c r="L72" s="10"/>
      <c r="M72" s="10"/>
      <c r="N72" s="14"/>
      <c r="O72" s="10"/>
      <c r="P72" s="10"/>
      <c r="Q72" s="10"/>
    </row>
    <row r="73" spans="4:17" ht="13" thickBot="1">
      <c r="D73">
        <v>32</v>
      </c>
      <c r="E73" s="10"/>
      <c r="F73" s="16"/>
      <c r="G73" s="10"/>
      <c r="H73" s="10"/>
      <c r="I73" s="10"/>
      <c r="J73" s="14" t="s">
        <v>201</v>
      </c>
      <c r="K73" s="9" t="str">
        <f>IF(OR(J70="",J76=""),"",+IF(J70&gt;J76,I70,I76))</f>
        <v/>
      </c>
      <c r="L73" s="11"/>
      <c r="M73" s="10"/>
      <c r="N73" s="14"/>
      <c r="O73" s="10"/>
      <c r="P73" s="10"/>
      <c r="Q73" s="10"/>
    </row>
    <row r="74" spans="4:17">
      <c r="E74" s="12"/>
      <c r="F74" s="10"/>
      <c r="G74" s="10"/>
      <c r="H74" s="10"/>
      <c r="I74" s="10"/>
      <c r="J74" s="14"/>
      <c r="K74" s="12"/>
      <c r="L74" s="13"/>
      <c r="M74" s="10"/>
      <c r="N74" s="14"/>
      <c r="O74" s="10"/>
      <c r="P74" s="10"/>
      <c r="Q74" s="10"/>
    </row>
    <row r="75" spans="4:17" ht="13" thickBot="1">
      <c r="D75">
        <v>33</v>
      </c>
      <c r="E75" s="9"/>
      <c r="F75" s="9"/>
      <c r="G75" s="9">
        <f>E75</f>
        <v>0</v>
      </c>
      <c r="H75" s="11"/>
      <c r="I75" s="10"/>
      <c r="J75" s="14"/>
      <c r="K75" s="10"/>
      <c r="L75" s="14"/>
      <c r="M75" s="10"/>
      <c r="N75" s="14"/>
      <c r="O75" s="10"/>
      <c r="P75" s="10"/>
      <c r="Q75" s="10"/>
    </row>
    <row r="76" spans="4:17" ht="13" thickBot="1">
      <c r="E76" s="10"/>
      <c r="F76" s="10"/>
      <c r="G76" s="10"/>
      <c r="H76" s="13" t="s">
        <v>244</v>
      </c>
      <c r="I76" s="9" t="str">
        <f>IF(OR(H75="",H77=""),"",+IF(H75&gt;H77,E75,E77))</f>
        <v/>
      </c>
      <c r="J76" s="16"/>
      <c r="K76" s="10"/>
      <c r="L76" s="14"/>
      <c r="M76" s="10"/>
      <c r="N76" s="14"/>
      <c r="O76" s="10"/>
      <c r="P76" s="10"/>
      <c r="Q76" s="10"/>
    </row>
    <row r="77" spans="4:17" ht="13" thickBot="1">
      <c r="D77">
        <v>34</v>
      </c>
      <c r="E77" s="9"/>
      <c r="F77" s="9"/>
      <c r="G77" s="9">
        <f>E77</f>
        <v>0</v>
      </c>
      <c r="H77" s="16"/>
      <c r="I77" s="10"/>
      <c r="J77" s="10"/>
      <c r="K77" s="10"/>
      <c r="L77" s="14"/>
      <c r="M77" s="10"/>
      <c r="N77" s="14"/>
      <c r="O77" s="10"/>
      <c r="P77" s="10"/>
      <c r="Q77" s="10"/>
    </row>
    <row r="78" spans="4:17" ht="13" thickBot="1">
      <c r="E78" s="10"/>
      <c r="F78" s="10"/>
      <c r="G78" s="10"/>
      <c r="H78" s="10"/>
      <c r="I78" s="10"/>
      <c r="J78" s="10"/>
      <c r="K78" s="10"/>
      <c r="L78" s="14" t="s">
        <v>220</v>
      </c>
      <c r="M78" s="9" t="str">
        <f>IF(OR(L73="",L83=""),"",+IF(L73&gt;L83,K73,K83))</f>
        <v/>
      </c>
      <c r="N78" s="16"/>
      <c r="O78" s="10"/>
      <c r="P78" s="10"/>
      <c r="Q78" s="10"/>
    </row>
    <row r="79" spans="4:17" ht="13" thickBot="1">
      <c r="D79">
        <v>35</v>
      </c>
      <c r="E79" s="9"/>
      <c r="F79" s="9"/>
      <c r="G79" s="9">
        <f>E79</f>
        <v>0</v>
      </c>
      <c r="H79" s="11"/>
      <c r="I79" s="10"/>
      <c r="J79" s="10"/>
      <c r="K79" s="10"/>
      <c r="L79" s="14"/>
      <c r="M79" s="10"/>
      <c r="N79" s="10"/>
      <c r="O79" s="10"/>
      <c r="P79" s="10"/>
      <c r="Q79" s="10"/>
    </row>
    <row r="80" spans="4:17" ht="13" thickBot="1">
      <c r="E80" s="10"/>
      <c r="F80" s="10"/>
      <c r="G80" s="10"/>
      <c r="H80" s="13" t="s">
        <v>246</v>
      </c>
      <c r="I80" s="9" t="str">
        <f>IF(OR(H79="",H81=""),"",+IF(H79&gt;H81,E79,E81))</f>
        <v/>
      </c>
      <c r="J80" s="17"/>
      <c r="K80" s="10"/>
      <c r="L80" s="14"/>
      <c r="M80" s="10"/>
      <c r="N80" s="10"/>
      <c r="O80" s="10"/>
      <c r="P80" s="10"/>
      <c r="Q80" s="10"/>
    </row>
    <row r="81" spans="4:17" ht="13" thickBot="1">
      <c r="D81">
        <v>36</v>
      </c>
      <c r="E81" s="9"/>
      <c r="F81" s="9"/>
      <c r="G81" s="9">
        <f>E81</f>
        <v>0</v>
      </c>
      <c r="H81" s="16"/>
      <c r="I81" s="10"/>
      <c r="J81" s="13"/>
      <c r="K81" s="10"/>
      <c r="L81" s="14"/>
      <c r="M81" s="10"/>
      <c r="N81" s="10"/>
      <c r="O81" s="10"/>
      <c r="P81" s="10"/>
      <c r="Q81" s="10"/>
    </row>
    <row r="82" spans="4:17">
      <c r="E82" s="10"/>
      <c r="F82" s="10"/>
      <c r="G82" s="10"/>
      <c r="H82" s="10"/>
      <c r="I82" s="10"/>
      <c r="J82" s="14"/>
      <c r="K82" s="10"/>
      <c r="L82" s="14"/>
      <c r="M82" s="10"/>
      <c r="N82" s="10"/>
      <c r="O82" s="10"/>
      <c r="P82" s="10"/>
      <c r="Q82" s="10"/>
    </row>
    <row r="83" spans="4:17" ht="13" thickBot="1">
      <c r="D83">
        <v>37</v>
      </c>
      <c r="E83" s="10"/>
      <c r="F83" s="11"/>
      <c r="G83" s="10"/>
      <c r="H83" s="10"/>
      <c r="I83" s="10"/>
      <c r="J83" s="14" t="s">
        <v>205</v>
      </c>
      <c r="K83" s="18" t="str">
        <f>IF(OR(I80="",I85=""),"",+IF(J80&gt;J85,I80,I85))</f>
        <v/>
      </c>
      <c r="L83" s="16"/>
      <c r="M83" s="10"/>
      <c r="N83" s="10"/>
      <c r="O83" s="10"/>
      <c r="P83" s="10"/>
      <c r="Q83" s="10"/>
    </row>
    <row r="84" spans="4:17" ht="13" thickBot="1">
      <c r="E84" s="12"/>
      <c r="F84" s="13" t="s">
        <v>214</v>
      </c>
      <c r="G84" s="9" t="str">
        <f>IF(OR(F83="",F85=""),"",+IF(F83&gt;F85,E83,E85))</f>
        <v/>
      </c>
      <c r="H84" s="17"/>
      <c r="I84" s="10"/>
      <c r="J84" s="14"/>
      <c r="K84" s="10"/>
      <c r="L84" s="10"/>
      <c r="M84" s="10"/>
      <c r="N84" s="10"/>
      <c r="O84" s="10"/>
      <c r="P84" s="10"/>
      <c r="Q84" s="10"/>
    </row>
    <row r="85" spans="4:17" ht="13" thickBot="1">
      <c r="D85">
        <v>38</v>
      </c>
      <c r="E85" s="9"/>
      <c r="F85" s="16"/>
      <c r="G85" s="10"/>
      <c r="H85" s="13" t="s">
        <v>248</v>
      </c>
      <c r="I85" s="9" t="str">
        <f>IF(OR(H84="",H87=""),"",+IF(H84&gt;H87,G84,G87))</f>
        <v/>
      </c>
      <c r="J85" s="16"/>
      <c r="K85" s="10"/>
      <c r="L85" s="10"/>
      <c r="M85" s="10"/>
      <c r="N85" s="10"/>
      <c r="O85" s="10"/>
      <c r="P85" s="10"/>
      <c r="Q85" s="10"/>
    </row>
    <row r="86" spans="4:17">
      <c r="E86" s="10"/>
      <c r="F86" s="10"/>
      <c r="G86" s="10"/>
      <c r="H86" s="14"/>
      <c r="I86" s="10"/>
      <c r="J86" s="10"/>
      <c r="K86" s="10"/>
      <c r="L86" s="10"/>
      <c r="M86" s="10"/>
      <c r="N86" s="10"/>
      <c r="O86" s="10"/>
      <c r="P86" s="10"/>
      <c r="Q86" s="10"/>
    </row>
    <row r="87" spans="4:17" ht="13" thickBot="1">
      <c r="D87">
        <v>39</v>
      </c>
      <c r="E87" s="9"/>
      <c r="F87" s="9"/>
      <c r="G87" s="9">
        <f>E87</f>
        <v>0</v>
      </c>
      <c r="H87" s="16"/>
      <c r="I87" s="10"/>
      <c r="J87" s="10"/>
      <c r="K87" s="10"/>
      <c r="L87" s="10"/>
      <c r="M87" s="10"/>
      <c r="N87" s="10"/>
      <c r="O87" s="10"/>
      <c r="P87" s="10"/>
      <c r="Q87" s="10"/>
    </row>
  </sheetData>
  <mergeCells count="9">
    <mergeCell ref="AB6:AG6"/>
    <mergeCell ref="AA7:AG7"/>
    <mergeCell ref="AC8:AD8"/>
    <mergeCell ref="AB23:AG23"/>
    <mergeCell ref="AC42:AD42"/>
    <mergeCell ref="AA24:AG24"/>
    <mergeCell ref="AC25:AD25"/>
    <mergeCell ref="AB40:AG40"/>
    <mergeCell ref="AA41:AG41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Plan36"/>
  <dimension ref="D4:AG94"/>
  <sheetViews>
    <sheetView showGridLines="0" topLeftCell="A44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5" max="15" width="12.87890625" customWidth="1"/>
    <col min="16" max="16" width="3.64453125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E29</f>
        <v>0</v>
      </c>
      <c r="V6" t="s">
        <v>77</v>
      </c>
      <c r="W6" s="29">
        <f>E31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E41</f>
        <v>0</v>
      </c>
      <c r="V7" t="s">
        <v>77</v>
      </c>
      <c r="W7" s="29">
        <f>E43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E50</f>
        <v>0</v>
      </c>
      <c r="V8" t="s">
        <v>77</v>
      </c>
      <c r="W8" s="29">
        <f>E52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214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E69</f>
        <v>0</v>
      </c>
      <c r="V9" t="s">
        <v>77</v>
      </c>
      <c r="W9" s="29">
        <f>E71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LOOKUP(AD9,T$5:T$78,U$5:U$44)</f>
        <v>0</v>
      </c>
      <c r="AF9" s="37" t="s">
        <v>157</v>
      </c>
      <c r="AG9" s="65">
        <f t="shared" ref="AG9:AG19" ca="1" si="1">LOOKUP(AD9,T$5:T$78,W$5:W$43)</f>
        <v>0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E81</f>
        <v>0</v>
      </c>
      <c r="V10" t="s">
        <v>77</v>
      </c>
      <c r="W10" s="29">
        <f>E83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E7</f>
        <v>0</v>
      </c>
      <c r="V11" t="s">
        <v>77</v>
      </c>
      <c r="W11" s="29" t="s">
        <v>78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248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E14</f>
        <v>0</v>
      </c>
      <c r="V12" t="s">
        <v>77</v>
      </c>
      <c r="W12" s="29">
        <f>E16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</row>
    <row r="13" spans="4:33">
      <c r="E13" s="12"/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E18</f>
        <v>0</v>
      </c>
      <c r="V13" t="s">
        <v>77</v>
      </c>
      <c r="W13" s="29">
        <f>E20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E22</f>
        <v>0</v>
      </c>
      <c r="V14" t="s">
        <v>77</v>
      </c>
      <c r="W14" s="29">
        <f>E24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</row>
    <row r="15" spans="4:33" ht="13" thickBot="1">
      <c r="E15" s="10"/>
      <c r="F15" s="10"/>
      <c r="G15" s="10"/>
      <c r="H15" s="13" t="s">
        <v>217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E26</f>
        <v>0</v>
      </c>
      <c r="V15" t="s">
        <v>77</v>
      </c>
      <c r="W15" s="29" t="s">
        <v>160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 t="str">
        <f t="shared" ca="1" si="1"/>
        <v>Venc.J1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E33</f>
        <v>0</v>
      </c>
      <c r="V16" t="s">
        <v>77</v>
      </c>
      <c r="W16" s="29">
        <f>E35</f>
        <v>0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205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E37</f>
        <v>0</v>
      </c>
      <c r="V17" t="s">
        <v>77</v>
      </c>
      <c r="W17" s="29">
        <f>E39</f>
        <v>0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</row>
    <row r="18" spans="4:33" ht="13" thickBot="1">
      <c r="D18">
        <v>6</v>
      </c>
      <c r="E18" s="9"/>
      <c r="F18" s="9"/>
      <c r="G18" s="9">
        <f>E18</f>
        <v>0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 t="s">
        <v>161</v>
      </c>
      <c r="V18" t="s">
        <v>77</v>
      </c>
      <c r="W18" s="29">
        <f>E45</f>
        <v>0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>
        <f t="shared" ca="1" si="1"/>
        <v>0</v>
      </c>
    </row>
    <row r="19" spans="4:33" ht="13" thickBot="1">
      <c r="E19" s="10"/>
      <c r="F19" s="10"/>
      <c r="G19" s="12"/>
      <c r="H19" s="13" t="s">
        <v>219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E47</f>
        <v>0</v>
      </c>
      <c r="V19" t="s">
        <v>77</v>
      </c>
      <c r="W19" s="29" t="s">
        <v>265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 t="str">
        <f t="shared" ca="1" si="1"/>
        <v>Venc.J2</v>
      </c>
    </row>
    <row r="20" spans="4:33" ht="13" thickBot="1">
      <c r="D20">
        <v>7</v>
      </c>
      <c r="E20" s="9"/>
      <c r="F20" s="9"/>
      <c r="G20" s="9">
        <f>E20</f>
        <v>0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E54</f>
        <v>0</v>
      </c>
      <c r="V20" t="s">
        <v>77</v>
      </c>
      <c r="W20" s="29">
        <f>E56</f>
        <v>0</v>
      </c>
      <c r="Z20" s="34"/>
      <c r="AA20" s="40"/>
      <c r="AB20" s="40"/>
      <c r="AC20" s="38" t="s">
        <v>159</v>
      </c>
      <c r="AD20" s="48">
        <v>12</v>
      </c>
      <c r="AE20" s="53">
        <f t="shared" ref="AE20:AE30" ca="1" si="2">LOOKUP(AD20,T$5:T$78,U$5:U$44)</f>
        <v>0</v>
      </c>
      <c r="AF20" s="37" t="s">
        <v>157</v>
      </c>
      <c r="AG20" s="65">
        <f t="shared" ref="AG20:AG30" ca="1" si="3">LOOKUP(AD20,T$5:T$78,W$5:W$43)</f>
        <v>0</v>
      </c>
    </row>
    <row r="21" spans="4:33" ht="13" thickBot="1">
      <c r="E21" s="10"/>
      <c r="F21" s="10"/>
      <c r="G21" s="12"/>
      <c r="H21" s="10"/>
      <c r="I21" s="10"/>
      <c r="J21" s="14" t="s">
        <v>250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E58</f>
        <v>0</v>
      </c>
      <c r="V21" t="s">
        <v>77</v>
      </c>
      <c r="W21" s="29">
        <f>E60</f>
        <v>0</v>
      </c>
      <c r="Z21" s="34"/>
      <c r="AA21" s="40"/>
      <c r="AB21" s="40"/>
      <c r="AC21" s="38" t="s">
        <v>159</v>
      </c>
      <c r="AD21" s="48">
        <v>13</v>
      </c>
      <c r="AE21" s="53">
        <f t="shared" ca="1" si="2"/>
        <v>0</v>
      </c>
      <c r="AF21" s="37" t="s">
        <v>157</v>
      </c>
      <c r="AG21" s="65">
        <f t="shared" ca="1" si="3"/>
        <v>0</v>
      </c>
    </row>
    <row r="22" spans="4:33" ht="13" thickBot="1">
      <c r="D22">
        <v>8</v>
      </c>
      <c r="E22" s="9"/>
      <c r="F22" s="9"/>
      <c r="G22" s="9">
        <f>E22</f>
        <v>0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E62</f>
        <v>0</v>
      </c>
      <c r="V22" t="s">
        <v>77</v>
      </c>
      <c r="W22" s="29">
        <f>E64</f>
        <v>0</v>
      </c>
      <c r="Z22" s="34"/>
      <c r="AA22" s="40"/>
      <c r="AB22" s="40"/>
      <c r="AC22" s="38" t="s">
        <v>159</v>
      </c>
      <c r="AD22" s="48">
        <v>14</v>
      </c>
      <c r="AE22" s="53" t="str">
        <f t="shared" ca="1" si="2"/>
        <v>Venc.J3</v>
      </c>
      <c r="AF22" s="37" t="s">
        <v>157</v>
      </c>
      <c r="AG22" s="65">
        <f t="shared" ca="1" si="3"/>
        <v>0</v>
      </c>
    </row>
    <row r="23" spans="4:33" ht="13" thickBot="1">
      <c r="E23" s="10"/>
      <c r="F23" s="10"/>
      <c r="G23" s="12"/>
      <c r="H23" s="13" t="s">
        <v>221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E66</f>
        <v>0</v>
      </c>
      <c r="V23" t="s">
        <v>77</v>
      </c>
      <c r="W23" s="29" t="s">
        <v>162</v>
      </c>
      <c r="Z23" s="34"/>
      <c r="AA23" s="40"/>
      <c r="AB23" s="40"/>
      <c r="AC23" s="38" t="s">
        <v>159</v>
      </c>
      <c r="AD23" s="48">
        <v>15</v>
      </c>
      <c r="AE23" s="53">
        <f t="shared" ca="1" si="2"/>
        <v>0</v>
      </c>
      <c r="AF23" s="37" t="s">
        <v>157</v>
      </c>
      <c r="AG23" s="65" t="str">
        <f t="shared" ca="1" si="3"/>
        <v>VencJ4</v>
      </c>
    </row>
    <row r="24" spans="4:33" ht="13" thickBot="1">
      <c r="D24">
        <v>9</v>
      </c>
      <c r="E24" s="9"/>
      <c r="F24" s="9"/>
      <c r="G24" s="9">
        <f>E24</f>
        <v>0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>
        <f>E73</f>
        <v>0</v>
      </c>
      <c r="V24" t="s">
        <v>77</v>
      </c>
      <c r="W24" s="29">
        <f>E75</f>
        <v>0</v>
      </c>
      <c r="Z24" s="34"/>
      <c r="AA24" s="40"/>
      <c r="AB24" s="40"/>
      <c r="AC24" s="38" t="s">
        <v>159</v>
      </c>
      <c r="AD24" s="48">
        <v>16</v>
      </c>
      <c r="AE24" s="53">
        <f t="shared" ca="1" si="2"/>
        <v>0</v>
      </c>
      <c r="AF24" s="37" t="s">
        <v>157</v>
      </c>
      <c r="AG24" s="65">
        <f t="shared" ca="1" si="3"/>
        <v>0</v>
      </c>
    </row>
    <row r="25" spans="4:33">
      <c r="E25" s="10"/>
      <c r="F25" s="10"/>
      <c r="G25" s="10"/>
      <c r="H25" s="10"/>
      <c r="I25" s="10"/>
      <c r="J25" s="10"/>
      <c r="K25" s="10"/>
      <c r="L25" s="10"/>
      <c r="M25" s="10"/>
      <c r="N25" s="14"/>
      <c r="O25" s="10"/>
      <c r="P25" s="10"/>
      <c r="Q25" s="10"/>
      <c r="T25">
        <v>21</v>
      </c>
      <c r="U25" s="28">
        <f>E77</f>
        <v>0</v>
      </c>
      <c r="V25" t="s">
        <v>77</v>
      </c>
      <c r="W25" s="29">
        <f>E79</f>
        <v>0</v>
      </c>
      <c r="Z25" s="34"/>
      <c r="AA25" s="40"/>
      <c r="AB25" s="40"/>
      <c r="AC25" s="38" t="s">
        <v>159</v>
      </c>
      <c r="AD25" s="48">
        <v>17</v>
      </c>
      <c r="AE25" s="53">
        <f t="shared" ca="1" si="2"/>
        <v>0</v>
      </c>
      <c r="AF25" s="37" t="s">
        <v>157</v>
      </c>
      <c r="AG25" s="65">
        <f t="shared" ca="1" si="3"/>
        <v>0</v>
      </c>
    </row>
    <row r="26" spans="4:33" ht="13" thickBot="1">
      <c r="D26">
        <v>10</v>
      </c>
      <c r="E26" s="10"/>
      <c r="F26" s="9"/>
      <c r="G26" s="9">
        <f>E26</f>
        <v>0</v>
      </c>
      <c r="H26" s="11"/>
      <c r="I26" s="10"/>
      <c r="J26" s="10"/>
      <c r="K26" s="10"/>
      <c r="L26" s="10"/>
      <c r="M26" s="10"/>
      <c r="N26" s="14" t="s">
        <v>220</v>
      </c>
      <c r="O26" s="9" t="str">
        <f>IF(OR(N17="",N36=""),"",+IF(N17&gt;N36,M17,M36))</f>
        <v/>
      </c>
      <c r="P26" s="17"/>
      <c r="Q26" s="10"/>
      <c r="T26">
        <v>22</v>
      </c>
      <c r="U26" s="28" t="s">
        <v>163</v>
      </c>
      <c r="V26" t="s">
        <v>77</v>
      </c>
      <c r="W26" s="29">
        <f>E85</f>
        <v>0</v>
      </c>
      <c r="Z26" s="34"/>
      <c r="AA26" s="40"/>
      <c r="AB26" s="40"/>
      <c r="AC26" s="38" t="s">
        <v>159</v>
      </c>
      <c r="AD26" s="48">
        <v>18</v>
      </c>
      <c r="AE26" s="53">
        <f t="shared" ca="1" si="2"/>
        <v>0</v>
      </c>
      <c r="AF26" s="37" t="s">
        <v>157</v>
      </c>
      <c r="AG26" s="65">
        <f t="shared" ca="1" si="3"/>
        <v>0</v>
      </c>
    </row>
    <row r="27" spans="4:33">
      <c r="E27" s="12"/>
      <c r="F27" s="10"/>
      <c r="G27" s="10"/>
      <c r="H27" s="13"/>
      <c r="I27" s="10"/>
      <c r="J27" s="10"/>
      <c r="K27" s="10"/>
      <c r="L27" s="10"/>
      <c r="M27" s="10"/>
      <c r="N27" s="14"/>
      <c r="O27" s="10"/>
      <c r="P27" s="14"/>
      <c r="Q27" s="10"/>
      <c r="T27">
        <v>23</v>
      </c>
      <c r="U27" s="28" t="s">
        <v>84</v>
      </c>
      <c r="V27" t="s">
        <v>77</v>
      </c>
      <c r="W27" s="29" t="s">
        <v>164</v>
      </c>
      <c r="Z27" s="34"/>
      <c r="AA27" s="40"/>
      <c r="AB27" s="40"/>
      <c r="AC27" s="38" t="s">
        <v>159</v>
      </c>
      <c r="AD27" s="48">
        <v>19</v>
      </c>
      <c r="AE27" s="53">
        <f t="shared" ca="1" si="2"/>
        <v>0</v>
      </c>
      <c r="AF27" s="37" t="s">
        <v>157</v>
      </c>
      <c r="AG27" s="65" t="str">
        <f t="shared" ca="1" si="3"/>
        <v>Venc.J5</v>
      </c>
    </row>
    <row r="28" spans="4:33" ht="13" thickBot="1">
      <c r="E28" s="10"/>
      <c r="F28" s="10"/>
      <c r="G28" s="10"/>
      <c r="H28" s="14" t="s">
        <v>223</v>
      </c>
      <c r="I28" s="9" t="str">
        <f>IF(OR(H26="",H30=""),"",+IF(H26&gt;H30,G26,G30))</f>
        <v/>
      </c>
      <c r="J28" s="11"/>
      <c r="K28" s="10"/>
      <c r="L28" s="10"/>
      <c r="M28" s="10"/>
      <c r="N28" s="14"/>
      <c r="O28" s="10"/>
      <c r="P28" s="14"/>
      <c r="Q28" s="10"/>
      <c r="T28">
        <v>24</v>
      </c>
      <c r="U28" s="28" t="s">
        <v>86</v>
      </c>
      <c r="V28" t="s">
        <v>77</v>
      </c>
      <c r="W28" s="29" t="s">
        <v>87</v>
      </c>
      <c r="Z28" s="34"/>
      <c r="AA28" s="40"/>
      <c r="AB28" s="40"/>
      <c r="AC28" s="38" t="s">
        <v>159</v>
      </c>
      <c r="AD28" s="48">
        <v>20</v>
      </c>
      <c r="AE28" s="53">
        <f t="shared" ca="1" si="2"/>
        <v>0</v>
      </c>
      <c r="AF28" s="37" t="s">
        <v>157</v>
      </c>
      <c r="AG28" s="65">
        <f t="shared" ca="1" si="3"/>
        <v>0</v>
      </c>
    </row>
    <row r="29" spans="4:33" ht="13" thickBot="1">
      <c r="D29">
        <v>11</v>
      </c>
      <c r="E29" s="10"/>
      <c r="F29" s="11"/>
      <c r="G29" s="10"/>
      <c r="H29" s="14"/>
      <c r="I29" s="10"/>
      <c r="J29" s="13"/>
      <c r="K29" s="10"/>
      <c r="L29" s="10"/>
      <c r="M29" s="10"/>
      <c r="N29" s="14"/>
      <c r="O29" s="10"/>
      <c r="P29" s="14"/>
      <c r="Q29" s="10"/>
      <c r="T29">
        <v>25</v>
      </c>
      <c r="U29" s="28" t="s">
        <v>88</v>
      </c>
      <c r="V29" t="s">
        <v>77</v>
      </c>
      <c r="W29" s="29" t="s">
        <v>89</v>
      </c>
      <c r="Z29" s="34"/>
      <c r="AA29" s="40"/>
      <c r="AB29" s="40"/>
      <c r="AC29" s="38" t="s">
        <v>159</v>
      </c>
      <c r="AD29" s="48">
        <v>21</v>
      </c>
      <c r="AE29" s="53">
        <f t="shared" ca="1" si="2"/>
        <v>0</v>
      </c>
      <c r="AF29" s="37" t="s">
        <v>157</v>
      </c>
      <c r="AG29" s="65">
        <f t="shared" ca="1" si="3"/>
        <v>0</v>
      </c>
    </row>
    <row r="30" spans="4:33" ht="13" thickBot="1">
      <c r="E30" s="12"/>
      <c r="F30" s="13" t="s">
        <v>204</v>
      </c>
      <c r="G30" s="9" t="str">
        <f>IF(OR(F29="",F31=""),"",+IF(F29&gt;F31,E29,E31))</f>
        <v/>
      </c>
      <c r="H30" s="16"/>
      <c r="I30" s="10"/>
      <c r="J30" s="14"/>
      <c r="K30" s="10"/>
      <c r="L30" s="10"/>
      <c r="M30" s="10"/>
      <c r="N30" s="14"/>
      <c r="O30" s="10"/>
      <c r="P30" s="14"/>
      <c r="Q30" s="10"/>
      <c r="T30">
        <v>26</v>
      </c>
      <c r="U30" s="28" t="s">
        <v>90</v>
      </c>
      <c r="V30" t="s">
        <v>77</v>
      </c>
      <c r="W30" s="29" t="s">
        <v>91</v>
      </c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Venc.J6</v>
      </c>
      <c r="AF30" s="37" t="s">
        <v>157</v>
      </c>
      <c r="AG30" s="65">
        <f t="shared" ca="1" si="3"/>
        <v>0</v>
      </c>
    </row>
    <row r="31" spans="4:33" ht="13" thickBot="1">
      <c r="D31">
        <v>12</v>
      </c>
      <c r="E31" s="10"/>
      <c r="F31" s="16"/>
      <c r="G31" s="10"/>
      <c r="H31" s="10"/>
      <c r="I31" s="10"/>
      <c r="J31" s="14" t="s">
        <v>252</v>
      </c>
      <c r="K31" s="9" t="str">
        <f>IF(OR(J28="",J34=""),"",+IF(J28&gt;J34,I28,I34))</f>
        <v/>
      </c>
      <c r="L31" s="11"/>
      <c r="M31" s="10"/>
      <c r="N31" s="14"/>
      <c r="O31" s="10"/>
      <c r="P31" s="14"/>
      <c r="Q31" s="10"/>
      <c r="T31">
        <v>27</v>
      </c>
      <c r="U31" s="28" t="s">
        <v>92</v>
      </c>
      <c r="V31" t="s">
        <v>77</v>
      </c>
      <c r="W31" s="29" t="s">
        <v>165</v>
      </c>
      <c r="Z31" s="34"/>
      <c r="AA31" s="40"/>
      <c r="AB31" s="40"/>
      <c r="AC31" s="38" t="s">
        <v>159</v>
      </c>
      <c r="AD31" s="48">
        <v>23</v>
      </c>
      <c r="AE31" s="53" t="str">
        <f t="shared" ref="AE31:AE46" ca="1" si="4">LOOKUP(AD31,T$5:T$78,U$5:U$44)</f>
        <v>Venc.J7</v>
      </c>
      <c r="AF31" s="37" t="s">
        <v>157</v>
      </c>
      <c r="AG31" s="65" t="str">
        <f t="shared" ref="AG31:AG46" ca="1" si="5">LOOKUP(AD31,T$5:T$78,W$5:W$43)</f>
        <v>Venc.J8</v>
      </c>
    </row>
    <row r="32" spans="4:33">
      <c r="E32" s="12"/>
      <c r="F32" s="10"/>
      <c r="G32" s="10"/>
      <c r="H32" s="10"/>
      <c r="I32" s="10"/>
      <c r="J32" s="14"/>
      <c r="K32" s="12"/>
      <c r="L32" s="13"/>
      <c r="M32" s="10"/>
      <c r="N32" s="14"/>
      <c r="O32" s="10"/>
      <c r="P32" s="14"/>
      <c r="Q32" s="10"/>
      <c r="T32">
        <v>28</v>
      </c>
      <c r="U32" s="28" t="s">
        <v>94</v>
      </c>
      <c r="V32" t="s">
        <v>77</v>
      </c>
      <c r="W32" s="29" t="s">
        <v>95</v>
      </c>
      <c r="Z32" s="34"/>
      <c r="AA32" s="40"/>
      <c r="AB32" s="40"/>
      <c r="AC32" s="38" t="s">
        <v>159</v>
      </c>
      <c r="AD32" s="48">
        <v>24</v>
      </c>
      <c r="AE32" s="53" t="str">
        <f t="shared" ca="1" si="4"/>
        <v>Venc.J9</v>
      </c>
      <c r="AF32" s="37" t="s">
        <v>157</v>
      </c>
      <c r="AG32" s="65" t="str">
        <f t="shared" ca="1" si="5"/>
        <v>Venc.J10</v>
      </c>
    </row>
    <row r="33" spans="4:33" ht="13" thickBot="1">
      <c r="D33">
        <v>13</v>
      </c>
      <c r="E33" s="9"/>
      <c r="F33" s="9"/>
      <c r="G33" s="9">
        <f>E33</f>
        <v>0</v>
      </c>
      <c r="H33" s="11"/>
      <c r="I33" s="10"/>
      <c r="J33" s="14"/>
      <c r="K33" s="10"/>
      <c r="L33" s="14"/>
      <c r="M33" s="10"/>
      <c r="N33" s="14"/>
      <c r="O33" s="10"/>
      <c r="P33" s="14"/>
      <c r="Q33" s="10"/>
      <c r="T33">
        <v>29</v>
      </c>
      <c r="U33" s="28" t="s">
        <v>96</v>
      </c>
      <c r="V33" t="s">
        <v>77</v>
      </c>
      <c r="W33" s="29" t="s">
        <v>97</v>
      </c>
      <c r="Z33" s="34"/>
      <c r="AA33" s="40"/>
      <c r="AB33" s="40"/>
      <c r="AC33" s="38" t="s">
        <v>159</v>
      </c>
      <c r="AD33" s="48">
        <v>25</v>
      </c>
      <c r="AE33" s="53" t="str">
        <f t="shared" ca="1" si="4"/>
        <v>Venc.J11</v>
      </c>
      <c r="AF33" s="37" t="s">
        <v>157</v>
      </c>
      <c r="AG33" s="65" t="str">
        <f t="shared" ca="1" si="5"/>
        <v>Venc.J12</v>
      </c>
    </row>
    <row r="34" spans="4:33" ht="13" thickBot="1">
      <c r="E34" s="10"/>
      <c r="F34" s="10"/>
      <c r="G34" s="10"/>
      <c r="H34" s="13" t="s">
        <v>225</v>
      </c>
      <c r="I34" s="9" t="str">
        <f>IF(OR(H33="",H35=""),"",+IF(H33&gt;H35,E33,E35))</f>
        <v/>
      </c>
      <c r="J34" s="16"/>
      <c r="K34" s="10"/>
      <c r="L34" s="14"/>
      <c r="M34" s="10"/>
      <c r="N34" s="14"/>
      <c r="O34" s="10"/>
      <c r="P34" s="14"/>
      <c r="Q34" s="10"/>
      <c r="T34">
        <v>30</v>
      </c>
      <c r="U34" s="28" t="s">
        <v>98</v>
      </c>
      <c r="V34" t="s">
        <v>77</v>
      </c>
      <c r="W34" s="29" t="s">
        <v>99</v>
      </c>
      <c r="Z34" s="34"/>
      <c r="AA34" s="40"/>
      <c r="AB34" s="40"/>
      <c r="AC34" s="38" t="s">
        <v>159</v>
      </c>
      <c r="AD34" s="48">
        <v>26</v>
      </c>
      <c r="AE34" s="53" t="str">
        <f t="shared" ca="1" si="4"/>
        <v>Venc.J13</v>
      </c>
      <c r="AF34" s="37" t="s">
        <v>157</v>
      </c>
      <c r="AG34" s="65" t="str">
        <f t="shared" ca="1" si="5"/>
        <v>Venc.J14</v>
      </c>
    </row>
    <row r="35" spans="4:33" ht="13" thickBot="1">
      <c r="D35">
        <v>14</v>
      </c>
      <c r="E35" s="9"/>
      <c r="F35" s="9"/>
      <c r="G35" s="9">
        <f>E35</f>
        <v>0</v>
      </c>
      <c r="H35" s="16"/>
      <c r="I35" s="10"/>
      <c r="J35" s="10"/>
      <c r="K35" s="10"/>
      <c r="L35" s="14"/>
      <c r="M35" s="10"/>
      <c r="N35" s="14"/>
      <c r="O35" s="10"/>
      <c r="P35" s="14"/>
      <c r="Q35" s="10"/>
      <c r="T35">
        <v>31</v>
      </c>
      <c r="U35" s="28" t="s">
        <v>100</v>
      </c>
      <c r="V35" t="s">
        <v>77</v>
      </c>
      <c r="W35" s="29" t="s">
        <v>101</v>
      </c>
      <c r="Z35" s="34"/>
      <c r="AA35" s="40"/>
      <c r="AB35" s="40"/>
      <c r="AC35" s="38" t="s">
        <v>159</v>
      </c>
      <c r="AD35" s="48">
        <v>27</v>
      </c>
      <c r="AE35" s="53" t="str">
        <f t="shared" ca="1" si="4"/>
        <v>Venc.J15</v>
      </c>
      <c r="AF35" s="37" t="s">
        <v>157</v>
      </c>
      <c r="AG35" s="65" t="str">
        <f t="shared" ca="1" si="5"/>
        <v>Venc.J16</v>
      </c>
    </row>
    <row r="36" spans="4:33" ht="13" thickBot="1">
      <c r="E36" s="10"/>
      <c r="F36" s="10"/>
      <c r="G36" s="10"/>
      <c r="H36" s="10"/>
      <c r="I36" s="10"/>
      <c r="J36" s="10"/>
      <c r="K36" s="10"/>
      <c r="L36" s="14" t="s">
        <v>209</v>
      </c>
      <c r="M36" s="9" t="str">
        <f>IF(OR(L31="",L41=""),"",+IF(L31&gt;L41,K31,K41))</f>
        <v/>
      </c>
      <c r="N36" s="16"/>
      <c r="O36" s="10"/>
      <c r="P36" s="14"/>
      <c r="Q36" s="10"/>
      <c r="T36">
        <v>32</v>
      </c>
      <c r="U36" s="28" t="s">
        <v>102</v>
      </c>
      <c r="V36" t="s">
        <v>77</v>
      </c>
      <c r="W36" s="29" t="s">
        <v>103</v>
      </c>
      <c r="Z36" s="34"/>
      <c r="AA36" s="40"/>
      <c r="AB36" s="40"/>
      <c r="AC36" s="38" t="s">
        <v>159</v>
      </c>
      <c r="AD36" s="48">
        <v>28</v>
      </c>
      <c r="AE36" s="53" t="str">
        <f t="shared" ca="1" si="4"/>
        <v>Venc.J17</v>
      </c>
      <c r="AF36" s="37" t="s">
        <v>157</v>
      </c>
      <c r="AG36" s="65" t="str">
        <f t="shared" ca="1" si="5"/>
        <v>Venc.J18</v>
      </c>
    </row>
    <row r="37" spans="4:33" ht="13" thickBot="1">
      <c r="D37">
        <v>15</v>
      </c>
      <c r="E37" s="9"/>
      <c r="F37" s="9"/>
      <c r="G37" s="9">
        <f>E37</f>
        <v>0</v>
      </c>
      <c r="H37" s="11"/>
      <c r="I37" s="10"/>
      <c r="J37" s="10"/>
      <c r="K37" s="10"/>
      <c r="L37" s="14"/>
      <c r="M37" s="10"/>
      <c r="N37" s="10"/>
      <c r="O37" s="10"/>
      <c r="P37" s="14"/>
      <c r="Q37" s="10"/>
      <c r="T37">
        <v>33</v>
      </c>
      <c r="U37" s="28" t="s">
        <v>104</v>
      </c>
      <c r="V37" t="s">
        <v>77</v>
      </c>
      <c r="W37" s="29" t="s">
        <v>105</v>
      </c>
      <c r="Z37" s="34"/>
      <c r="AA37" s="40"/>
      <c r="AB37" s="40"/>
      <c r="AC37" s="38" t="s">
        <v>159</v>
      </c>
      <c r="AD37" s="48">
        <v>29</v>
      </c>
      <c r="AE37" s="53" t="str">
        <f t="shared" ca="1" si="4"/>
        <v>Venc.J19</v>
      </c>
      <c r="AF37" s="37" t="s">
        <v>157</v>
      </c>
      <c r="AG37" s="65" t="str">
        <f t="shared" ca="1" si="5"/>
        <v>Venc.J20</v>
      </c>
    </row>
    <row r="38" spans="4:33" ht="13" thickBot="1">
      <c r="E38" s="10"/>
      <c r="F38" s="10"/>
      <c r="G38" s="10"/>
      <c r="H38" s="13" t="s">
        <v>227</v>
      </c>
      <c r="I38" s="9" t="str">
        <f>IF(OR(H37="",H39=""),"",+IF(H37&gt;H39,E37,E39))</f>
        <v/>
      </c>
      <c r="J38" s="17"/>
      <c r="K38" s="10"/>
      <c r="L38" s="14"/>
      <c r="M38" s="10"/>
      <c r="N38" s="10"/>
      <c r="O38" s="10"/>
      <c r="P38" s="14"/>
      <c r="Q38" s="10"/>
      <c r="T38">
        <v>34</v>
      </c>
      <c r="U38" s="28" t="s">
        <v>106</v>
      </c>
      <c r="V38" t="s">
        <v>77</v>
      </c>
      <c r="W38" s="29" t="s">
        <v>107</v>
      </c>
      <c r="Z38" s="34"/>
      <c r="AA38" s="40"/>
      <c r="AB38" s="40"/>
      <c r="AC38" s="38" t="s">
        <v>159</v>
      </c>
      <c r="AD38" s="48">
        <v>30</v>
      </c>
      <c r="AE38" s="53" t="str">
        <f t="shared" ca="1" si="4"/>
        <v>Venc.J21</v>
      </c>
      <c r="AF38" s="37" t="s">
        <v>157</v>
      </c>
      <c r="AG38" s="65" t="str">
        <f t="shared" ca="1" si="5"/>
        <v>Venc.J22</v>
      </c>
    </row>
    <row r="39" spans="4:33" ht="13" thickBot="1">
      <c r="D39">
        <v>16</v>
      </c>
      <c r="E39" s="9"/>
      <c r="F39" s="9"/>
      <c r="G39" s="9">
        <f>E39</f>
        <v>0</v>
      </c>
      <c r="H39" s="16"/>
      <c r="I39" s="10"/>
      <c r="J39" s="13"/>
      <c r="K39" s="10"/>
      <c r="L39" s="14"/>
      <c r="M39" s="10"/>
      <c r="N39" s="10"/>
      <c r="O39" s="10"/>
      <c r="P39" s="14"/>
      <c r="Q39" s="10"/>
      <c r="T39">
        <v>35</v>
      </c>
      <c r="U39" s="28" t="s">
        <v>108</v>
      </c>
      <c r="V39" t="s">
        <v>77</v>
      </c>
      <c r="W39" s="29" t="s">
        <v>109</v>
      </c>
      <c r="Z39" s="34"/>
      <c r="AA39" s="40"/>
      <c r="AB39" s="40"/>
      <c r="AC39" s="38" t="s">
        <v>159</v>
      </c>
      <c r="AD39" s="48">
        <v>31</v>
      </c>
      <c r="AE39" s="53" t="str">
        <f t="shared" ca="1" si="4"/>
        <v>Venc.J23</v>
      </c>
      <c r="AF39" s="37" t="s">
        <v>157</v>
      </c>
      <c r="AG39" s="65" t="str">
        <f t="shared" ca="1" si="5"/>
        <v>Venc.J24</v>
      </c>
    </row>
    <row r="40" spans="4:33">
      <c r="E40" s="10"/>
      <c r="F40" s="10"/>
      <c r="G40" s="10"/>
      <c r="H40" s="10"/>
      <c r="I40" s="10"/>
      <c r="J40" s="14"/>
      <c r="K40" s="10"/>
      <c r="L40" s="14"/>
      <c r="M40" s="10"/>
      <c r="N40" s="10"/>
      <c r="O40" s="10"/>
      <c r="P40" s="14"/>
      <c r="Q40" s="10"/>
      <c r="T40">
        <v>36</v>
      </c>
      <c r="U40" s="28" t="s">
        <v>110</v>
      </c>
      <c r="V40" t="s">
        <v>77</v>
      </c>
      <c r="W40" s="29" t="s">
        <v>111</v>
      </c>
      <c r="Z40" s="34"/>
      <c r="AA40" s="40"/>
      <c r="AB40" s="40"/>
      <c r="AC40" s="38" t="s">
        <v>159</v>
      </c>
      <c r="AD40" s="48">
        <v>32</v>
      </c>
      <c r="AE40" s="53" t="str">
        <f t="shared" ca="1" si="4"/>
        <v>Venc.J25</v>
      </c>
      <c r="AF40" s="37" t="s">
        <v>157</v>
      </c>
      <c r="AG40" s="65" t="str">
        <f t="shared" ca="1" si="5"/>
        <v>Venc.J26</v>
      </c>
    </row>
    <row r="41" spans="4:33" ht="13" thickBot="1">
      <c r="D41">
        <v>17</v>
      </c>
      <c r="E41" s="10"/>
      <c r="F41" s="11"/>
      <c r="G41" s="10"/>
      <c r="H41" s="10"/>
      <c r="I41" s="10"/>
      <c r="J41" s="14" t="s">
        <v>254</v>
      </c>
      <c r="K41" s="18" t="str">
        <f>IF(OR(I38="",I43=""),"",+IF(J38&gt;J43,I38,I43))</f>
        <v/>
      </c>
      <c r="L41" s="16"/>
      <c r="M41" s="10"/>
      <c r="N41" s="10"/>
      <c r="O41" s="10"/>
      <c r="P41" s="14"/>
      <c r="Q41" s="10"/>
      <c r="T41">
        <v>37</v>
      </c>
      <c r="U41" s="28" t="s">
        <v>315</v>
      </c>
      <c r="V41" t="s">
        <v>77</v>
      </c>
      <c r="W41" s="29" t="s">
        <v>316</v>
      </c>
      <c r="Z41" s="34"/>
      <c r="AA41" s="40"/>
      <c r="AB41" s="40"/>
      <c r="AC41" s="38" t="s">
        <v>159</v>
      </c>
      <c r="AD41" s="48">
        <v>33</v>
      </c>
      <c r="AE41" s="53" t="str">
        <f t="shared" ca="1" si="4"/>
        <v>Venc.J27</v>
      </c>
      <c r="AF41" s="37" t="s">
        <v>157</v>
      </c>
      <c r="AG41" s="65" t="str">
        <f t="shared" ca="1" si="5"/>
        <v>Venc.J28</v>
      </c>
    </row>
    <row r="42" spans="4:33" ht="13" thickBot="1">
      <c r="E42" s="12"/>
      <c r="F42" s="13" t="s">
        <v>206</v>
      </c>
      <c r="G42" s="9" t="str">
        <f>IF(OR(F41="",F43=""),"",+IF(F41&gt;F43,E41,E43))</f>
        <v/>
      </c>
      <c r="H42" s="17"/>
      <c r="I42" s="10"/>
      <c r="J42" s="14"/>
      <c r="K42" s="10"/>
      <c r="L42" s="10"/>
      <c r="M42" s="10"/>
      <c r="N42" s="10"/>
      <c r="O42" s="10"/>
      <c r="P42" s="14"/>
      <c r="Q42" s="10"/>
      <c r="T42">
        <v>38</v>
      </c>
      <c r="U42" s="28" t="s">
        <v>112</v>
      </c>
      <c r="V42" t="s">
        <v>77</v>
      </c>
      <c r="W42" s="29" t="s">
        <v>113</v>
      </c>
      <c r="AA42" s="40"/>
      <c r="AB42" s="40"/>
      <c r="AC42" s="38" t="s">
        <v>159</v>
      </c>
      <c r="AD42" s="48">
        <v>34</v>
      </c>
      <c r="AE42" s="53" t="str">
        <f t="shared" ca="1" si="4"/>
        <v>Venc.J29</v>
      </c>
      <c r="AF42" s="37" t="s">
        <v>157</v>
      </c>
      <c r="AG42" s="65" t="str">
        <f t="shared" ca="1" si="5"/>
        <v>Venc.J30</v>
      </c>
    </row>
    <row r="43" spans="4:33" ht="13" thickBot="1">
      <c r="D43">
        <v>18</v>
      </c>
      <c r="E43" s="9"/>
      <c r="F43" s="16"/>
      <c r="G43" s="10"/>
      <c r="H43" s="13" t="s">
        <v>229</v>
      </c>
      <c r="I43" s="9" t="str">
        <f>IF(OR(H42="",H45=""),"",+IF(H42&gt;H45,G42,G45))</f>
        <v/>
      </c>
      <c r="J43" s="16"/>
      <c r="K43" s="10"/>
      <c r="L43" s="10"/>
      <c r="M43" s="10"/>
      <c r="N43" s="10"/>
      <c r="O43" s="10"/>
      <c r="P43" s="14"/>
      <c r="Q43" s="10"/>
      <c r="U43" s="29"/>
      <c r="AA43" s="40"/>
      <c r="AB43" s="40"/>
      <c r="AC43" s="38" t="s">
        <v>159</v>
      </c>
      <c r="AD43" s="48">
        <v>35</v>
      </c>
      <c r="AE43" s="53" t="str">
        <f t="shared" ca="1" si="4"/>
        <v>Venc.J31</v>
      </c>
      <c r="AF43" s="37" t="s">
        <v>157</v>
      </c>
      <c r="AG43" s="65" t="str">
        <f t="shared" ca="1" si="5"/>
        <v>Venc.J32</v>
      </c>
    </row>
    <row r="44" spans="4:33">
      <c r="E44" s="10"/>
      <c r="F44" s="10"/>
      <c r="G44" s="10"/>
      <c r="H44" s="14"/>
      <c r="I44" s="10"/>
      <c r="J44" s="10"/>
      <c r="K44" s="10"/>
      <c r="L44" s="10"/>
      <c r="M44" s="10"/>
      <c r="N44" s="10"/>
      <c r="O44" s="10"/>
      <c r="P44" s="14"/>
      <c r="Q44" s="10"/>
      <c r="AA44" s="40"/>
      <c r="AB44" s="40"/>
      <c r="AC44" s="38" t="s">
        <v>159</v>
      </c>
      <c r="AD44" s="48">
        <v>36</v>
      </c>
      <c r="AE44" s="53" t="str">
        <f t="shared" ca="1" si="4"/>
        <v>Venc.J33</v>
      </c>
      <c r="AF44" s="37" t="s">
        <v>157</v>
      </c>
      <c r="AG44" s="65" t="str">
        <f t="shared" ca="1" si="5"/>
        <v>Venc.J34</v>
      </c>
    </row>
    <row r="45" spans="4:33" ht="13" thickBot="1">
      <c r="D45">
        <v>19</v>
      </c>
      <c r="E45" s="9"/>
      <c r="F45" s="9"/>
      <c r="G45" s="9">
        <f>E45</f>
        <v>0</v>
      </c>
      <c r="H45" s="16"/>
      <c r="I45" s="10"/>
      <c r="J45" s="10"/>
      <c r="K45" s="10"/>
      <c r="L45" s="10"/>
      <c r="M45" s="10"/>
      <c r="N45" s="10"/>
      <c r="O45" s="10"/>
      <c r="P45" s="14"/>
      <c r="Q45" s="10"/>
      <c r="AA45" s="40"/>
      <c r="AB45" s="40"/>
      <c r="AC45" s="38" t="s">
        <v>159</v>
      </c>
      <c r="AD45" s="48">
        <v>37</v>
      </c>
      <c r="AE45" s="53" t="str">
        <f t="shared" ca="1" si="4"/>
        <v>Perd.J35</v>
      </c>
      <c r="AF45" s="37" t="s">
        <v>157</v>
      </c>
      <c r="AG45" s="65" t="str">
        <f t="shared" ca="1" si="5"/>
        <v>Perd.J36</v>
      </c>
    </row>
    <row r="46" spans="4:33" ht="13" thickBot="1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4" t="s">
        <v>231</v>
      </c>
      <c r="Q46" s="9" t="str">
        <f>IF(OR(P26="",P66=""),"",+IF(P26&gt;P66,O26,O66))</f>
        <v/>
      </c>
      <c r="AA46" s="40"/>
      <c r="AB46" s="40"/>
      <c r="AC46" s="38" t="s">
        <v>159</v>
      </c>
      <c r="AD46" s="48">
        <v>38</v>
      </c>
      <c r="AE46" s="53" t="str">
        <f t="shared" ca="1" si="4"/>
        <v>Venc.J35</v>
      </c>
      <c r="AF46" s="37" t="s">
        <v>157</v>
      </c>
      <c r="AG46" s="65" t="str">
        <f t="shared" ca="1" si="5"/>
        <v>Venc.J36</v>
      </c>
    </row>
    <row r="47" spans="4:33" ht="13" thickBot="1">
      <c r="D47">
        <v>20</v>
      </c>
      <c r="E47" s="9"/>
      <c r="F47" s="9"/>
      <c r="G47" s="9">
        <f>E47</f>
        <v>0</v>
      </c>
      <c r="H47" s="11"/>
      <c r="I47" s="10"/>
      <c r="J47" s="10"/>
      <c r="K47" s="10"/>
      <c r="L47" s="10"/>
      <c r="M47" s="10"/>
      <c r="N47" s="10"/>
      <c r="O47" s="10"/>
      <c r="P47" s="14"/>
      <c r="Q47" s="10"/>
    </row>
    <row r="48" spans="4:33">
      <c r="E48" s="12"/>
      <c r="F48" s="10"/>
      <c r="G48" s="10"/>
      <c r="H48" s="13"/>
      <c r="I48" s="10"/>
      <c r="J48" s="10"/>
      <c r="K48" s="10"/>
      <c r="L48" s="10"/>
      <c r="M48" s="10"/>
      <c r="N48" s="10"/>
      <c r="O48" s="10"/>
      <c r="P48" s="14"/>
      <c r="Q48" s="10"/>
    </row>
    <row r="49" spans="4:17" ht="13" thickBot="1">
      <c r="E49" s="10"/>
      <c r="F49" s="10"/>
      <c r="G49" s="10"/>
      <c r="H49" s="14" t="s">
        <v>232</v>
      </c>
      <c r="I49" s="9" t="str">
        <f>IF(OR(H47="",H51=""),"",+IF(H47&gt;H51,E47,G51))</f>
        <v/>
      </c>
      <c r="J49" s="11"/>
      <c r="K49" s="10"/>
      <c r="L49" s="10"/>
      <c r="M49" s="10"/>
      <c r="N49" s="10"/>
      <c r="O49" s="10"/>
      <c r="P49" s="14"/>
      <c r="Q49" s="10"/>
    </row>
    <row r="50" spans="4:17" ht="13" thickBot="1">
      <c r="D50">
        <v>21</v>
      </c>
      <c r="E50" s="10"/>
      <c r="F50" s="11"/>
      <c r="G50" s="10"/>
      <c r="H50" s="14"/>
      <c r="I50" s="10"/>
      <c r="J50" s="13"/>
      <c r="K50" s="10"/>
      <c r="L50" s="10"/>
      <c r="M50" s="10"/>
      <c r="N50" s="10"/>
      <c r="O50" s="10"/>
      <c r="P50" s="14"/>
      <c r="Q50" s="10"/>
    </row>
    <row r="51" spans="4:17" ht="13" thickBot="1">
      <c r="E51" s="12"/>
      <c r="F51" s="13" t="s">
        <v>208</v>
      </c>
      <c r="G51" s="9" t="str">
        <f>IF(OR(F50="",F52=""),"",+IF(F50&gt;F52,E50,E52))</f>
        <v/>
      </c>
      <c r="H51" s="16"/>
      <c r="I51" s="10"/>
      <c r="J51" s="14"/>
      <c r="K51" s="10"/>
      <c r="L51" s="10"/>
      <c r="M51" s="10"/>
      <c r="N51" s="10"/>
      <c r="O51" s="10"/>
      <c r="P51" s="14"/>
      <c r="Q51" s="10"/>
    </row>
    <row r="52" spans="4:17" ht="13" thickBot="1">
      <c r="D52">
        <v>22</v>
      </c>
      <c r="E52" s="10"/>
      <c r="F52" s="16"/>
      <c r="G52" s="10"/>
      <c r="H52" s="10"/>
      <c r="I52" s="10"/>
      <c r="J52" s="14" t="s">
        <v>256</v>
      </c>
      <c r="K52" s="9" t="str">
        <f>IF(OR(J49="",J55=""),"",+IF(J49&gt;J55,I49,I55))</f>
        <v/>
      </c>
      <c r="L52" s="17"/>
      <c r="M52" s="10"/>
      <c r="N52" s="10"/>
      <c r="O52" s="10"/>
      <c r="P52" s="14"/>
      <c r="Q52" s="10"/>
    </row>
    <row r="53" spans="4:17">
      <c r="E53" s="12"/>
      <c r="F53" s="10"/>
      <c r="G53" s="10"/>
      <c r="H53" s="10"/>
      <c r="I53" s="10"/>
      <c r="J53" s="14"/>
      <c r="K53" s="10"/>
      <c r="L53" s="10"/>
      <c r="M53" s="19"/>
      <c r="N53" s="10"/>
      <c r="O53" s="10"/>
      <c r="P53" s="14"/>
      <c r="Q53" s="10"/>
    </row>
    <row r="54" spans="4:17" ht="13" thickBot="1">
      <c r="D54">
        <v>23</v>
      </c>
      <c r="E54" s="9"/>
      <c r="F54" s="9"/>
      <c r="G54" s="9">
        <f>E54</f>
        <v>0</v>
      </c>
      <c r="H54" s="11"/>
      <c r="I54" s="10"/>
      <c r="J54" s="14"/>
      <c r="K54" s="10"/>
      <c r="L54" s="10"/>
      <c r="M54" s="19"/>
      <c r="N54" s="10"/>
      <c r="O54" s="10"/>
      <c r="P54" s="14"/>
      <c r="Q54" s="10"/>
    </row>
    <row r="55" spans="4:17" ht="13" thickBot="1">
      <c r="E55" s="10"/>
      <c r="F55" s="10"/>
      <c r="G55" s="10"/>
      <c r="H55" s="13" t="s">
        <v>234</v>
      </c>
      <c r="I55" s="9" t="str">
        <f>IF(OR(H54="",H56=""),"",+IF(H54&gt;H56,E54,E56))</f>
        <v/>
      </c>
      <c r="J55" s="16"/>
      <c r="K55" s="10"/>
      <c r="L55" s="10"/>
      <c r="M55" s="19"/>
      <c r="N55" s="10"/>
      <c r="O55" s="10"/>
      <c r="P55" s="14"/>
      <c r="Q55" s="10"/>
    </row>
    <row r="56" spans="4:17" ht="13" thickBot="1">
      <c r="D56">
        <v>24</v>
      </c>
      <c r="E56" s="9"/>
      <c r="F56" s="9"/>
      <c r="G56" s="9">
        <f>E56</f>
        <v>0</v>
      </c>
      <c r="H56" s="16"/>
      <c r="I56" s="10"/>
      <c r="J56" s="10"/>
      <c r="K56" s="10"/>
      <c r="L56" s="10"/>
      <c r="M56" s="19"/>
      <c r="N56" s="10"/>
      <c r="O56" s="10"/>
      <c r="P56" s="14"/>
      <c r="Q56" s="10"/>
    </row>
    <row r="57" spans="4:17" ht="13" thickBot="1">
      <c r="E57" s="10"/>
      <c r="F57" s="10"/>
      <c r="G57" s="10"/>
      <c r="H57" s="10"/>
      <c r="I57" s="10"/>
      <c r="J57" s="10"/>
      <c r="K57" s="10"/>
      <c r="L57" s="14" t="s">
        <v>213</v>
      </c>
      <c r="M57" s="9" t="str">
        <f>IF(OR(L52="",L61=""),"",+IF(L52&gt;L61,K52,K61))</f>
        <v/>
      </c>
      <c r="N57" s="17"/>
      <c r="O57" s="10"/>
      <c r="P57" s="14"/>
      <c r="Q57" s="10"/>
    </row>
    <row r="58" spans="4:17" ht="13" thickBot="1">
      <c r="D58">
        <v>25</v>
      </c>
      <c r="E58" s="9"/>
      <c r="F58" s="9"/>
      <c r="G58" s="9">
        <f>E58</f>
        <v>0</v>
      </c>
      <c r="H58" s="11"/>
      <c r="I58" s="10"/>
      <c r="J58" s="10"/>
      <c r="K58" s="10"/>
      <c r="L58" s="10"/>
      <c r="M58" s="19"/>
      <c r="N58" s="13"/>
      <c r="O58" s="10"/>
      <c r="P58" s="14"/>
      <c r="Q58" s="10"/>
    </row>
    <row r="59" spans="4:17" ht="13" thickBot="1">
      <c r="E59" s="10"/>
      <c r="F59" s="10"/>
      <c r="G59" s="12"/>
      <c r="H59" s="13" t="s">
        <v>236</v>
      </c>
      <c r="I59" s="9" t="str">
        <f>IF(OR(H58="",H60=""),"",+IF(H58&gt;H60,E58,E60))</f>
        <v/>
      </c>
      <c r="J59" s="17"/>
      <c r="K59" s="10"/>
      <c r="L59" s="10"/>
      <c r="M59" s="19"/>
      <c r="N59" s="14"/>
      <c r="O59" s="10"/>
      <c r="P59" s="14"/>
      <c r="Q59" s="10"/>
    </row>
    <row r="60" spans="4:17" ht="13" thickBot="1">
      <c r="D60">
        <v>26</v>
      </c>
      <c r="E60" s="9"/>
      <c r="F60" s="9"/>
      <c r="G60" s="9">
        <f>E60</f>
        <v>0</v>
      </c>
      <c r="H60" s="16"/>
      <c r="I60" s="10"/>
      <c r="J60" s="14"/>
      <c r="K60" s="10"/>
      <c r="L60" s="10"/>
      <c r="M60" s="19"/>
      <c r="N60" s="14"/>
      <c r="O60" s="10"/>
      <c r="P60" s="14"/>
      <c r="Q60" s="10"/>
    </row>
    <row r="61" spans="4:17" ht="13" thickBot="1">
      <c r="E61" s="10"/>
      <c r="F61" s="10"/>
      <c r="G61" s="12"/>
      <c r="H61" s="10"/>
      <c r="I61" s="10"/>
      <c r="J61" s="14" t="s">
        <v>258</v>
      </c>
      <c r="K61" s="9" t="str">
        <f>IF(OR(J59="",J63=""),"",+IF(J59&gt;J63,I59,I63))</f>
        <v/>
      </c>
      <c r="L61" s="16"/>
      <c r="M61" s="19"/>
      <c r="N61" s="14"/>
      <c r="O61" s="10"/>
      <c r="P61" s="14"/>
      <c r="Q61" s="10"/>
    </row>
    <row r="62" spans="4:17" ht="13" thickBot="1">
      <c r="D62">
        <v>27</v>
      </c>
      <c r="E62" s="9"/>
      <c r="F62" s="9"/>
      <c r="G62" s="9">
        <f>E62</f>
        <v>0</v>
      </c>
      <c r="H62" s="11"/>
      <c r="I62" s="10"/>
      <c r="J62" s="14"/>
      <c r="K62" s="10"/>
      <c r="L62" s="10"/>
      <c r="M62" s="10"/>
      <c r="N62" s="14"/>
      <c r="O62" s="10"/>
      <c r="P62" s="14"/>
      <c r="Q62" s="10"/>
    </row>
    <row r="63" spans="4:17" ht="13" thickBot="1">
      <c r="E63" s="10"/>
      <c r="F63" s="10"/>
      <c r="G63" s="12"/>
      <c r="H63" s="13" t="s">
        <v>238</v>
      </c>
      <c r="I63" s="9" t="str">
        <f>IF(OR(H62="",H64=""),"",+IF(H62&gt;H64,E62,E64))</f>
        <v/>
      </c>
      <c r="J63" s="16"/>
      <c r="K63" s="10"/>
      <c r="L63" s="10"/>
      <c r="M63" s="10"/>
      <c r="N63" s="14"/>
      <c r="O63" s="10"/>
      <c r="P63" s="14"/>
      <c r="Q63" s="10"/>
    </row>
    <row r="64" spans="4:17" ht="13" thickBot="1">
      <c r="D64">
        <v>28</v>
      </c>
      <c r="E64" s="9"/>
      <c r="F64" s="9"/>
      <c r="G64" s="9">
        <f>E64</f>
        <v>0</v>
      </c>
      <c r="H64" s="16"/>
      <c r="I64" s="10"/>
      <c r="J64" s="10"/>
      <c r="K64" s="10"/>
      <c r="L64" s="10"/>
      <c r="M64" s="10"/>
      <c r="N64" s="14"/>
      <c r="O64" s="10"/>
      <c r="P64" s="14"/>
      <c r="Q64" s="10"/>
    </row>
    <row r="65" spans="4:17">
      <c r="E65" s="10"/>
      <c r="F65" s="10"/>
      <c r="G65" s="10"/>
      <c r="H65" s="10"/>
      <c r="I65" s="10"/>
      <c r="J65" s="10"/>
      <c r="K65" s="10"/>
      <c r="L65" s="10"/>
      <c r="M65" s="10"/>
      <c r="N65" s="14"/>
      <c r="O65" s="10"/>
      <c r="P65" s="14"/>
      <c r="Q65" s="10"/>
    </row>
    <row r="66" spans="4:17" ht="13" thickBot="1">
      <c r="D66">
        <v>29</v>
      </c>
      <c r="E66" s="10"/>
      <c r="F66" s="9"/>
      <c r="G66" s="9">
        <f>E66</f>
        <v>0</v>
      </c>
      <c r="H66" s="11"/>
      <c r="I66" s="10"/>
      <c r="J66" s="10"/>
      <c r="K66" s="10"/>
      <c r="L66" s="10"/>
      <c r="M66" s="10"/>
      <c r="N66" s="14" t="s">
        <v>224</v>
      </c>
      <c r="O66" s="9" t="str">
        <f>IF(OR(N57="",N76=""),"",+IF(N57&gt;N76,M57,M76))</f>
        <v/>
      </c>
      <c r="P66" s="16"/>
      <c r="Q66" s="10"/>
    </row>
    <row r="67" spans="4:17">
      <c r="E67" s="12"/>
      <c r="F67" s="10"/>
      <c r="G67" s="10"/>
      <c r="H67" s="13"/>
      <c r="I67" s="10"/>
      <c r="J67" s="10"/>
      <c r="K67" s="10"/>
      <c r="L67" s="10"/>
      <c r="M67" s="10"/>
      <c r="N67" s="14"/>
      <c r="O67" s="10"/>
      <c r="P67" s="10"/>
      <c r="Q67" s="10"/>
    </row>
    <row r="68" spans="4:17" ht="13" thickBot="1">
      <c r="E68" s="10"/>
      <c r="F68" s="10"/>
      <c r="G68" s="10"/>
      <c r="H68" s="14" t="s">
        <v>240</v>
      </c>
      <c r="I68" s="9" t="str">
        <f>IF(OR(H66="",H70=""),"",+IF(H66&gt;H70,G66,G70))</f>
        <v/>
      </c>
      <c r="J68" s="11"/>
      <c r="K68" s="10"/>
      <c r="L68" s="10"/>
      <c r="M68" s="10"/>
      <c r="N68" s="14"/>
      <c r="O68" s="10"/>
      <c r="P68" s="10"/>
      <c r="Q68" s="10"/>
    </row>
    <row r="69" spans="4:17" ht="13" thickBot="1">
      <c r="D69">
        <v>30</v>
      </c>
      <c r="E69" s="10"/>
      <c r="F69" s="11"/>
      <c r="G69" s="10"/>
      <c r="H69" s="14"/>
      <c r="I69" s="10"/>
      <c r="J69" s="13"/>
      <c r="K69" s="10"/>
      <c r="L69" s="10"/>
      <c r="M69" s="10"/>
      <c r="N69" s="14"/>
      <c r="O69" s="10"/>
      <c r="P69" s="10"/>
      <c r="Q69" s="10"/>
    </row>
    <row r="70" spans="4:17" ht="13" thickBot="1">
      <c r="E70" s="12"/>
      <c r="F70" s="13" t="s">
        <v>210</v>
      </c>
      <c r="G70" s="9" t="str">
        <f>IF(OR(F69="",F71=""),"",+IF(F69&gt;F71,E69,E71))</f>
        <v/>
      </c>
      <c r="H70" s="16"/>
      <c r="I70" s="10"/>
      <c r="J70" s="14"/>
      <c r="K70" s="10"/>
      <c r="L70" s="10"/>
      <c r="M70" s="10"/>
      <c r="N70" s="14"/>
      <c r="O70" s="10"/>
      <c r="P70" s="10"/>
      <c r="Q70" s="10"/>
    </row>
    <row r="71" spans="4:17" ht="13" thickBot="1">
      <c r="D71">
        <v>31</v>
      </c>
      <c r="E71" s="10"/>
      <c r="F71" s="16"/>
      <c r="G71" s="10"/>
      <c r="H71" s="10"/>
      <c r="I71" s="10"/>
      <c r="J71" s="14" t="s">
        <v>260</v>
      </c>
      <c r="K71" s="9" t="str">
        <f>IF(OR(J68="",J74=""),"",+IF(J68&gt;J74,I68,I74))</f>
        <v/>
      </c>
      <c r="L71" s="11"/>
      <c r="M71" s="10"/>
      <c r="N71" s="14"/>
      <c r="O71" s="10"/>
      <c r="P71" s="10"/>
      <c r="Q71" s="10"/>
    </row>
    <row r="72" spans="4:17">
      <c r="E72" s="12"/>
      <c r="F72" s="10"/>
      <c r="G72" s="10"/>
      <c r="H72" s="10"/>
      <c r="I72" s="10"/>
      <c r="J72" s="14"/>
      <c r="K72" s="12"/>
      <c r="L72" s="13"/>
      <c r="M72" s="10"/>
      <c r="N72" s="14"/>
      <c r="O72" s="10"/>
      <c r="P72" s="10"/>
      <c r="Q72" s="10"/>
    </row>
    <row r="73" spans="4:17" ht="13" thickBot="1">
      <c r="D73">
        <v>32</v>
      </c>
      <c r="E73" s="9"/>
      <c r="F73" s="9"/>
      <c r="G73" s="9">
        <f>E73</f>
        <v>0</v>
      </c>
      <c r="H73" s="11"/>
      <c r="I73" s="10"/>
      <c r="J73" s="14"/>
      <c r="K73" s="10"/>
      <c r="L73" s="14"/>
      <c r="M73" s="10"/>
      <c r="N73" s="14"/>
      <c r="O73" s="10"/>
      <c r="P73" s="10"/>
      <c r="Q73" s="10"/>
    </row>
    <row r="74" spans="4:17" ht="13" thickBot="1">
      <c r="E74" s="10"/>
      <c r="F74" s="10"/>
      <c r="G74" s="10"/>
      <c r="H74" s="13" t="s">
        <v>242</v>
      </c>
      <c r="I74" s="9" t="str">
        <f>IF(OR(H73="",H75=""),"",+IF(H73&gt;H75,E73,E75))</f>
        <v/>
      </c>
      <c r="J74" s="16"/>
      <c r="K74" s="10"/>
      <c r="L74" s="14"/>
      <c r="M74" s="10"/>
      <c r="N74" s="14"/>
      <c r="O74" s="10"/>
      <c r="P74" s="10"/>
      <c r="Q74" s="10"/>
    </row>
    <row r="75" spans="4:17" ht="13" thickBot="1">
      <c r="D75">
        <v>33</v>
      </c>
      <c r="E75" s="9"/>
      <c r="F75" s="9"/>
      <c r="G75" s="9">
        <f>E75</f>
        <v>0</v>
      </c>
      <c r="H75" s="16"/>
      <c r="I75" s="10"/>
      <c r="J75" s="10"/>
      <c r="K75" s="10"/>
      <c r="L75" s="14"/>
      <c r="M75" s="10"/>
      <c r="N75" s="14"/>
      <c r="O75" s="10"/>
      <c r="P75" s="10"/>
      <c r="Q75" s="10"/>
    </row>
    <row r="76" spans="4:17" ht="13" thickBot="1">
      <c r="E76" s="10"/>
      <c r="F76" s="10"/>
      <c r="G76" s="10"/>
      <c r="H76" s="10"/>
      <c r="I76" s="10"/>
      <c r="J76" s="10"/>
      <c r="K76" s="10"/>
      <c r="L76" s="14" t="s">
        <v>216</v>
      </c>
      <c r="M76" s="9" t="str">
        <f>IF(OR(L71="",L81=""),"",+IF(L71&gt;L81,K71,K81))</f>
        <v/>
      </c>
      <c r="N76" s="16"/>
      <c r="O76" s="10"/>
      <c r="P76" s="10"/>
      <c r="Q76" s="10"/>
    </row>
    <row r="77" spans="4:17" ht="13" thickBot="1">
      <c r="D77">
        <v>34</v>
      </c>
      <c r="E77" s="9"/>
      <c r="F77" s="9"/>
      <c r="G77" s="9">
        <f>E77</f>
        <v>0</v>
      </c>
      <c r="H77" s="11"/>
      <c r="I77" s="10"/>
      <c r="J77" s="10"/>
      <c r="K77" s="10"/>
      <c r="L77" s="14"/>
      <c r="M77" s="10"/>
      <c r="N77" s="10"/>
      <c r="O77" s="10"/>
      <c r="P77" s="10"/>
      <c r="Q77" s="10"/>
    </row>
    <row r="78" spans="4:17" ht="13" thickBot="1">
      <c r="E78" s="10"/>
      <c r="F78" s="10"/>
      <c r="G78" s="10"/>
      <c r="H78" s="13" t="s">
        <v>244</v>
      </c>
      <c r="I78" s="9" t="str">
        <f>IF(OR(H77="",H79=""),"",+IF(H77&gt;H79,E77,E79))</f>
        <v/>
      </c>
      <c r="J78" s="17"/>
      <c r="K78" s="10"/>
      <c r="L78" s="14"/>
      <c r="M78" s="10"/>
      <c r="N78" s="10"/>
      <c r="O78" s="10"/>
      <c r="P78" s="10"/>
      <c r="Q78" s="10"/>
    </row>
    <row r="79" spans="4:17" ht="13" thickBot="1">
      <c r="D79">
        <v>35</v>
      </c>
      <c r="E79" s="9"/>
      <c r="F79" s="9"/>
      <c r="G79" s="9">
        <f>E79</f>
        <v>0</v>
      </c>
      <c r="H79" s="16"/>
      <c r="I79" s="10"/>
      <c r="J79" s="13"/>
      <c r="K79" s="10"/>
      <c r="L79" s="14"/>
      <c r="M79" s="10"/>
      <c r="N79" s="10"/>
      <c r="O79" s="10"/>
      <c r="P79" s="10"/>
      <c r="Q79" s="10"/>
    </row>
    <row r="80" spans="4:17">
      <c r="E80" s="10"/>
      <c r="F80" s="10"/>
      <c r="G80" s="10"/>
      <c r="H80" s="10"/>
      <c r="I80" s="10"/>
      <c r="J80" s="14"/>
      <c r="K80" s="10"/>
      <c r="L80" s="14"/>
      <c r="M80" s="10"/>
      <c r="N80" s="10"/>
      <c r="O80" s="10"/>
      <c r="P80" s="10"/>
      <c r="Q80" s="10"/>
    </row>
    <row r="81" spans="4:17" ht="13" thickBot="1">
      <c r="D81">
        <v>36</v>
      </c>
      <c r="E81" s="10"/>
      <c r="F81" s="11"/>
      <c r="G81" s="10"/>
      <c r="H81" s="10"/>
      <c r="I81" s="10"/>
      <c r="J81" s="14" t="s">
        <v>201</v>
      </c>
      <c r="K81" s="18" t="str">
        <f>IF(OR(I78="",I83=""),"",+IF(J78&gt;J83,I78,I83))</f>
        <v/>
      </c>
      <c r="L81" s="16"/>
      <c r="M81" s="10"/>
      <c r="N81" s="10"/>
      <c r="O81" s="10"/>
      <c r="P81" s="10"/>
      <c r="Q81" s="10"/>
    </row>
    <row r="82" spans="4:17" ht="13" thickBot="1">
      <c r="E82" s="12"/>
      <c r="F82" s="13" t="s">
        <v>212</v>
      </c>
      <c r="G82" s="9" t="str">
        <f>IF(OR(F81="",F83=""),"",+IF(F81&gt;F83,E81,E83))</f>
        <v/>
      </c>
      <c r="H82" s="17"/>
      <c r="I82" s="10"/>
      <c r="J82" s="14"/>
      <c r="K82" s="10"/>
      <c r="L82" s="10"/>
      <c r="M82" s="10"/>
      <c r="N82" s="10"/>
      <c r="O82" s="10"/>
      <c r="P82" s="10"/>
      <c r="Q82" s="10"/>
    </row>
    <row r="83" spans="4:17" ht="13" thickBot="1">
      <c r="D83">
        <v>37</v>
      </c>
      <c r="E83" s="9"/>
      <c r="F83" s="16"/>
      <c r="G83" s="10"/>
      <c r="H83" s="13" t="s">
        <v>246</v>
      </c>
      <c r="I83" s="9" t="str">
        <f>IF(OR(H82="",H85=""),"",+IF(H82&gt;H85,G82,G85))</f>
        <v/>
      </c>
      <c r="J83" s="16"/>
      <c r="K83" s="10"/>
      <c r="L83" s="10"/>
      <c r="M83" s="10"/>
      <c r="N83" s="10"/>
      <c r="O83" s="9" t="str">
        <f>IF(OR(N80="",N86=""),"",+IF(N80&gt;N86,M80,M86))</f>
        <v/>
      </c>
      <c r="P83" s="11"/>
      <c r="Q83" s="10"/>
    </row>
    <row r="84" spans="4:17">
      <c r="E84" s="10"/>
      <c r="F84" s="10"/>
      <c r="G84" s="10"/>
      <c r="H84" s="14"/>
      <c r="I84" s="10"/>
      <c r="J84" s="10"/>
      <c r="K84" s="10"/>
      <c r="L84" s="10"/>
      <c r="M84" s="10"/>
      <c r="N84" s="10"/>
      <c r="O84" s="12"/>
      <c r="P84" s="13"/>
      <c r="Q84" s="10"/>
    </row>
    <row r="85" spans="4:17" ht="13" thickBot="1">
      <c r="D85">
        <v>38</v>
      </c>
      <c r="E85" s="9"/>
      <c r="F85" s="9"/>
      <c r="G85" s="9">
        <f>E85</f>
        <v>0</v>
      </c>
      <c r="H85" s="16"/>
      <c r="I85" s="10"/>
      <c r="J85" s="10"/>
      <c r="K85" s="10"/>
      <c r="L85" s="10"/>
      <c r="M85" s="10"/>
      <c r="N85" s="10"/>
      <c r="O85" s="10"/>
      <c r="P85" s="14"/>
      <c r="Q85" s="10"/>
    </row>
    <row r="86" spans="4:17">
      <c r="O86" s="10"/>
      <c r="P86" s="14"/>
      <c r="Q86" s="10"/>
    </row>
    <row r="87" spans="4:17">
      <c r="O87" s="10"/>
      <c r="P87" s="14"/>
      <c r="Q87" s="10"/>
    </row>
    <row r="88" spans="4:17" ht="13" thickBot="1">
      <c r="O88" s="10"/>
      <c r="P88" s="14" t="s">
        <v>228</v>
      </c>
      <c r="Q88" s="9" t="str">
        <f>IF(OR(P83="",P93=""),"",+IF(P83&gt;P93,O83,O93))</f>
        <v/>
      </c>
    </row>
    <row r="89" spans="4:17">
      <c r="O89" s="10"/>
      <c r="P89" s="14"/>
      <c r="Q89" s="10"/>
    </row>
    <row r="90" spans="4:17">
      <c r="O90" s="10"/>
      <c r="P90" s="14"/>
      <c r="Q90" s="10"/>
    </row>
    <row r="91" spans="4:17">
      <c r="O91" s="10"/>
      <c r="P91" s="14"/>
      <c r="Q91" s="10"/>
    </row>
    <row r="92" spans="4:17">
      <c r="O92" s="10"/>
      <c r="P92" s="14"/>
      <c r="Q92" s="10"/>
    </row>
    <row r="93" spans="4:17" ht="13" thickBot="1">
      <c r="O93" s="9" t="str">
        <f>IF(OR(M90="",M95=""),"",+IF(N90&gt;N95,M90,M95))</f>
        <v/>
      </c>
      <c r="P93" s="16"/>
      <c r="Q93" s="10"/>
    </row>
    <row r="94" spans="4:17">
      <c r="O94" s="10"/>
      <c r="P94" s="10"/>
      <c r="Q94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Plan35"/>
  <dimension ref="D4:AG101"/>
  <sheetViews>
    <sheetView showGridLines="0" topLeftCell="A25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6" max="16" width="3.87890625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E38</f>
        <v>0</v>
      </c>
      <c r="V6" t="s">
        <v>77</v>
      </c>
      <c r="W6" s="29">
        <f>E40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E47</f>
        <v>0</v>
      </c>
      <c r="V7" t="s">
        <v>77</v>
      </c>
      <c r="W7" s="29">
        <f>E49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E66</f>
        <v>0</v>
      </c>
      <c r="V8" t="s">
        <v>77</v>
      </c>
      <c r="W8" s="29">
        <f>E68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212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E78</f>
        <v>0</v>
      </c>
      <c r="V9" t="s">
        <v>77</v>
      </c>
      <c r="W9" s="29">
        <f>E80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LOOKUP(AD9,T$5:T$78,U$5:U$43)</f>
        <v>0</v>
      </c>
      <c r="AF9" s="37" t="s">
        <v>157</v>
      </c>
      <c r="AG9" s="65">
        <f t="shared" ref="AG9:AG19" ca="1" si="1">LOOKUP(AD9,T$5:T$78,W$5:W$42)</f>
        <v>0</v>
      </c>
    </row>
    <row r="10" spans="4:33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E7</f>
        <v>0</v>
      </c>
      <c r="V10" t="s">
        <v>77</v>
      </c>
      <c r="W10" s="29" t="s">
        <v>78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E14</f>
        <v>0</v>
      </c>
      <c r="V11" t="s">
        <v>77</v>
      </c>
      <c r="W11" s="29">
        <f>E16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</row>
    <row r="12" spans="4:33" ht="13" thickBot="1">
      <c r="D12">
        <v>3</v>
      </c>
      <c r="E12" s="10"/>
      <c r="F12" s="16"/>
      <c r="G12" s="10"/>
      <c r="H12" s="10"/>
      <c r="I12" s="10"/>
      <c r="J12" s="14" t="s">
        <v>246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E18</f>
        <v>0</v>
      </c>
      <c r="V12" t="s">
        <v>77</v>
      </c>
      <c r="W12" s="29">
        <f>E20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</row>
    <row r="13" spans="4:33">
      <c r="E13" s="12"/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E22</f>
        <v>0</v>
      </c>
      <c r="V13" t="s">
        <v>77</v>
      </c>
      <c r="W13" s="29">
        <f>E24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</row>
    <row r="14" spans="4:33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E26</f>
        <v>0</v>
      </c>
      <c r="V14" t="s">
        <v>77</v>
      </c>
      <c r="W14" s="29">
        <f>E28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 t="str">
        <f t="shared" ca="1" si="1"/>
        <v>Venc.J1</v>
      </c>
    </row>
    <row r="15" spans="4:33" ht="13" thickBot="1">
      <c r="E15" s="10"/>
      <c r="F15" s="10"/>
      <c r="G15" s="10"/>
      <c r="H15" s="13" t="s">
        <v>214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E30</f>
        <v>0</v>
      </c>
      <c r="V15" t="s">
        <v>77</v>
      </c>
      <c r="W15" s="29">
        <f>E32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</row>
    <row r="16" spans="4:33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E34</f>
        <v>0</v>
      </c>
      <c r="V16" t="s">
        <v>77</v>
      </c>
      <c r="W16" s="29">
        <f>E36</f>
        <v>0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201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 t="s">
        <v>160</v>
      </c>
      <c r="V17" t="s">
        <v>77</v>
      </c>
      <c r="W17" s="29">
        <f>E42</f>
        <v>0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</row>
    <row r="18" spans="4:33" ht="13" thickBot="1">
      <c r="D18">
        <v>6</v>
      </c>
      <c r="E18" s="9"/>
      <c r="F18" s="9"/>
      <c r="G18" s="9">
        <f>E18</f>
        <v>0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E44</f>
        <v>0</v>
      </c>
      <c r="V18" t="s">
        <v>77</v>
      </c>
      <c r="W18" s="29" t="s">
        <v>266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>
        <f t="shared" ca="1" si="1"/>
        <v>0</v>
      </c>
    </row>
    <row r="19" spans="4:33" ht="13" thickBot="1">
      <c r="E19" s="10"/>
      <c r="F19" s="10"/>
      <c r="G19" s="12"/>
      <c r="H19" s="13" t="s">
        <v>217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E51</f>
        <v>0</v>
      </c>
      <c r="V19" t="s">
        <v>77</v>
      </c>
      <c r="W19" s="29">
        <f>E53</f>
        <v>0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>
        <f t="shared" ca="1" si="1"/>
        <v>0</v>
      </c>
    </row>
    <row r="20" spans="4:33" ht="13" thickBot="1">
      <c r="D20">
        <v>7</v>
      </c>
      <c r="E20" s="9"/>
      <c r="F20" s="9"/>
      <c r="G20" s="9">
        <f>E20</f>
        <v>0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E55</f>
        <v>0</v>
      </c>
      <c r="V20" t="s">
        <v>77</v>
      </c>
      <c r="W20" s="29">
        <f>E57</f>
        <v>0</v>
      </c>
      <c r="Z20" s="34"/>
      <c r="AA20" s="40"/>
      <c r="AB20" s="40"/>
      <c r="AC20" s="38" t="s">
        <v>159</v>
      </c>
      <c r="AD20" s="48">
        <v>12</v>
      </c>
      <c r="AE20" s="53">
        <f t="shared" ref="AE20:AE30" ca="1" si="2">LOOKUP(AD20,T$5:T$78,U$5:U$43)</f>
        <v>0</v>
      </c>
      <c r="AF20" s="37" t="s">
        <v>157</v>
      </c>
      <c r="AG20" s="65">
        <f t="shared" ref="AG20:AG30" ca="1" si="3">LOOKUP(AD20,T$5:T$78,W$5:W$42)</f>
        <v>0</v>
      </c>
    </row>
    <row r="21" spans="4:33" ht="13" thickBot="1">
      <c r="E21" s="10"/>
      <c r="F21" s="10"/>
      <c r="G21" s="12"/>
      <c r="H21" s="10"/>
      <c r="I21" s="10"/>
      <c r="J21" s="14" t="s">
        <v>248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E59</f>
        <v>0</v>
      </c>
      <c r="V21" t="s">
        <v>77</v>
      </c>
      <c r="W21" s="29">
        <f>E61</f>
        <v>0</v>
      </c>
      <c r="Z21" s="34"/>
      <c r="AA21" s="40"/>
      <c r="AB21" s="40"/>
      <c r="AC21" s="38" t="s">
        <v>159</v>
      </c>
      <c r="AD21" s="48">
        <v>13</v>
      </c>
      <c r="AE21" s="53" t="str">
        <f t="shared" ca="1" si="2"/>
        <v>Venc.J2</v>
      </c>
      <c r="AF21" s="37" t="s">
        <v>157</v>
      </c>
      <c r="AG21" s="65">
        <f t="shared" ca="1" si="3"/>
        <v>0</v>
      </c>
    </row>
    <row r="22" spans="4:33" ht="13" thickBot="1">
      <c r="D22">
        <v>8</v>
      </c>
      <c r="E22" s="9"/>
      <c r="F22" s="9"/>
      <c r="G22" s="9">
        <f>E22</f>
        <v>0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E63</f>
        <v>0</v>
      </c>
      <c r="V22" t="s">
        <v>77</v>
      </c>
      <c r="W22" s="29" t="s">
        <v>81</v>
      </c>
      <c r="Z22" s="34"/>
      <c r="AA22" s="40"/>
      <c r="AB22" s="40"/>
      <c r="AC22" s="38" t="s">
        <v>159</v>
      </c>
      <c r="AD22" s="48">
        <v>14</v>
      </c>
      <c r="AE22" s="53">
        <f t="shared" ca="1" si="2"/>
        <v>0</v>
      </c>
      <c r="AF22" s="37" t="s">
        <v>157</v>
      </c>
      <c r="AG22" s="65" t="str">
        <f t="shared" ca="1" si="3"/>
        <v>VencJ3</v>
      </c>
    </row>
    <row r="23" spans="4:33" ht="13" thickBot="1">
      <c r="E23" s="10"/>
      <c r="F23" s="10"/>
      <c r="G23" s="12"/>
      <c r="H23" s="13" t="s">
        <v>219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E70</f>
        <v>0</v>
      </c>
      <c r="V23" t="s">
        <v>77</v>
      </c>
      <c r="W23" s="29">
        <f>E72</f>
        <v>0</v>
      </c>
      <c r="Z23" s="34"/>
      <c r="AA23" s="40"/>
      <c r="AB23" s="40"/>
      <c r="AC23" s="38" t="s">
        <v>159</v>
      </c>
      <c r="AD23" s="48">
        <v>15</v>
      </c>
      <c r="AE23" s="53">
        <f t="shared" ca="1" si="2"/>
        <v>0</v>
      </c>
      <c r="AF23" s="37" t="s">
        <v>157</v>
      </c>
      <c r="AG23" s="65">
        <f t="shared" ca="1" si="3"/>
        <v>0</v>
      </c>
    </row>
    <row r="24" spans="4:33" ht="13" thickBot="1">
      <c r="D24">
        <v>9</v>
      </c>
      <c r="E24" s="9"/>
      <c r="F24" s="9"/>
      <c r="G24" s="9">
        <f>E24</f>
        <v>0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>
        <f>E74</f>
        <v>0</v>
      </c>
      <c r="V24" t="s">
        <v>77</v>
      </c>
      <c r="W24" s="29">
        <f>E76</f>
        <v>0</v>
      </c>
      <c r="Z24" s="34"/>
      <c r="AA24" s="40"/>
      <c r="AB24" s="40"/>
      <c r="AC24" s="38" t="s">
        <v>159</v>
      </c>
      <c r="AD24" s="48">
        <v>16</v>
      </c>
      <c r="AE24" s="53">
        <f t="shared" ca="1" si="2"/>
        <v>0</v>
      </c>
      <c r="AF24" s="37" t="s">
        <v>157</v>
      </c>
      <c r="AG24" s="65">
        <f t="shared" ca="1" si="3"/>
        <v>0</v>
      </c>
    </row>
    <row r="25" spans="4:33" ht="13" thickBot="1">
      <c r="E25" s="10"/>
      <c r="F25" s="10"/>
      <c r="G25" s="10"/>
      <c r="H25" s="10"/>
      <c r="I25" s="10"/>
      <c r="J25" s="10"/>
      <c r="K25" s="10"/>
      <c r="L25" s="10"/>
      <c r="M25" s="10"/>
      <c r="N25" s="14" t="s">
        <v>216</v>
      </c>
      <c r="O25" s="9" t="str">
        <f>IF(OR(N17="",N33=""),"",+IF(N17&gt;N33,M17,M33))</f>
        <v/>
      </c>
      <c r="P25" s="17"/>
      <c r="Q25" s="10"/>
      <c r="T25">
        <v>21</v>
      </c>
      <c r="U25" s="28" t="s">
        <v>162</v>
      </c>
      <c r="V25" t="s">
        <v>77</v>
      </c>
      <c r="W25" s="29">
        <f>E82</f>
        <v>0</v>
      </c>
      <c r="Z25" s="34"/>
      <c r="AA25" s="40"/>
      <c r="AB25" s="40"/>
      <c r="AC25" s="38" t="s">
        <v>159</v>
      </c>
      <c r="AD25" s="48">
        <v>17</v>
      </c>
      <c r="AE25" s="53">
        <f t="shared" ca="1" si="2"/>
        <v>0</v>
      </c>
      <c r="AF25" s="37" t="s">
        <v>157</v>
      </c>
      <c r="AG25" s="65">
        <f t="shared" ca="1" si="3"/>
        <v>0</v>
      </c>
    </row>
    <row r="26" spans="4:33" ht="13" thickBot="1">
      <c r="D26">
        <v>10</v>
      </c>
      <c r="E26" s="9"/>
      <c r="F26" s="9"/>
      <c r="G26" s="9">
        <f>E26</f>
        <v>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 t="s">
        <v>163</v>
      </c>
      <c r="V26" t="s">
        <v>77</v>
      </c>
      <c r="W26" s="29" t="s">
        <v>84</v>
      </c>
      <c r="Z26" s="34"/>
      <c r="AA26" s="40"/>
      <c r="AB26" s="40"/>
      <c r="AC26" s="38" t="s">
        <v>159</v>
      </c>
      <c r="AD26" s="48">
        <v>18</v>
      </c>
      <c r="AE26" s="53">
        <f t="shared" ca="1" si="2"/>
        <v>0</v>
      </c>
      <c r="AF26" s="37" t="s">
        <v>157</v>
      </c>
      <c r="AG26" s="65" t="str">
        <f t="shared" ca="1" si="3"/>
        <v>Venc.J4</v>
      </c>
    </row>
    <row r="27" spans="4:33" ht="13" thickBot="1">
      <c r="E27" s="10"/>
      <c r="F27" s="10"/>
      <c r="G27" s="12"/>
      <c r="H27" s="13" t="s">
        <v>221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 t="s">
        <v>164</v>
      </c>
      <c r="V27" t="s">
        <v>77</v>
      </c>
      <c r="W27" s="29" t="s">
        <v>86</v>
      </c>
      <c r="Z27" s="34"/>
      <c r="AA27" s="40"/>
      <c r="AB27" s="40"/>
      <c r="AC27" s="38" t="s">
        <v>159</v>
      </c>
      <c r="AD27" s="48">
        <v>19</v>
      </c>
      <c r="AE27" s="53">
        <f t="shared" ca="1" si="2"/>
        <v>0</v>
      </c>
      <c r="AF27" s="37" t="s">
        <v>157</v>
      </c>
      <c r="AG27" s="65">
        <f t="shared" ca="1" si="3"/>
        <v>0</v>
      </c>
    </row>
    <row r="28" spans="4:33" ht="13" thickBot="1">
      <c r="D28">
        <v>11</v>
      </c>
      <c r="E28" s="9"/>
      <c r="F28" s="9"/>
      <c r="G28" s="9">
        <f>E28</f>
        <v>0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 t="s">
        <v>87</v>
      </c>
      <c r="V28" t="s">
        <v>77</v>
      </c>
      <c r="W28" s="29" t="s">
        <v>88</v>
      </c>
      <c r="Z28" s="34"/>
      <c r="AA28" s="40"/>
      <c r="AB28" s="40"/>
      <c r="AC28" s="38" t="s">
        <v>159</v>
      </c>
      <c r="AD28" s="48">
        <v>20</v>
      </c>
      <c r="AE28" s="53">
        <f t="shared" ca="1" si="2"/>
        <v>0</v>
      </c>
      <c r="AF28" s="37" t="s">
        <v>157</v>
      </c>
      <c r="AG28" s="65">
        <f t="shared" ca="1" si="3"/>
        <v>0</v>
      </c>
    </row>
    <row r="29" spans="4:33" ht="13" thickBot="1">
      <c r="E29" s="10"/>
      <c r="F29" s="10"/>
      <c r="G29" s="12"/>
      <c r="H29" s="10"/>
      <c r="I29" s="10"/>
      <c r="J29" s="14" t="s">
        <v>250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 t="s">
        <v>89</v>
      </c>
      <c r="V29" t="s">
        <v>77</v>
      </c>
      <c r="W29" s="29" t="s">
        <v>90</v>
      </c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Venc.J5</v>
      </c>
      <c r="AF29" s="37" t="s">
        <v>157</v>
      </c>
      <c r="AG29" s="65">
        <f t="shared" ca="1" si="3"/>
        <v>0</v>
      </c>
    </row>
    <row r="30" spans="4:33" ht="13" thickBot="1">
      <c r="D30">
        <v>12</v>
      </c>
      <c r="E30" s="9"/>
      <c r="F30" s="9"/>
      <c r="G30" s="9">
        <f>E30</f>
        <v>0</v>
      </c>
      <c r="H30" s="11"/>
      <c r="I30" s="10"/>
      <c r="J30" s="14"/>
      <c r="K30" s="10"/>
      <c r="L30" s="14"/>
      <c r="M30" s="10"/>
      <c r="N30" s="14"/>
      <c r="O30" s="10"/>
      <c r="P30" s="14"/>
      <c r="Q30" s="10"/>
      <c r="T30">
        <v>26</v>
      </c>
      <c r="U30" s="28" t="s">
        <v>91</v>
      </c>
      <c r="V30" t="s">
        <v>77</v>
      </c>
      <c r="W30" s="29" t="s">
        <v>92</v>
      </c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Venc.J6</v>
      </c>
      <c r="AF30" s="37" t="s">
        <v>157</v>
      </c>
      <c r="AG30" s="65" t="str">
        <f t="shared" ca="1" si="3"/>
        <v>Venc.J7</v>
      </c>
    </row>
    <row r="31" spans="4:33" ht="13" thickBot="1">
      <c r="E31" s="10"/>
      <c r="F31" s="10"/>
      <c r="G31" s="12"/>
      <c r="H31" s="13" t="s">
        <v>223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 t="s">
        <v>165</v>
      </c>
      <c r="V31" t="s">
        <v>77</v>
      </c>
      <c r="W31" s="29" t="s">
        <v>94</v>
      </c>
      <c r="Z31" s="34"/>
      <c r="AA31" s="40"/>
      <c r="AB31" s="40"/>
      <c r="AC31" s="38" t="s">
        <v>159</v>
      </c>
      <c r="AD31" s="48">
        <v>23</v>
      </c>
      <c r="AE31" s="53" t="str">
        <f t="shared" ref="AE31:AE45" ca="1" si="4">LOOKUP(AD31,T$5:T$78,U$5:U$43)</f>
        <v>Venc.J8</v>
      </c>
      <c r="AF31" s="37" t="s">
        <v>157</v>
      </c>
      <c r="AG31" s="65" t="str">
        <f t="shared" ref="AG31:AG45" ca="1" si="5">LOOKUP(AD31,T$5:T$78,W$5:W$42)</f>
        <v>Venc.J9</v>
      </c>
    </row>
    <row r="32" spans="4:33" ht="13" thickBot="1">
      <c r="D32">
        <v>13</v>
      </c>
      <c r="E32" s="9"/>
      <c r="F32" s="9"/>
      <c r="G32" s="9">
        <f>E32</f>
        <v>0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 t="s">
        <v>95</v>
      </c>
      <c r="V32" t="s">
        <v>77</v>
      </c>
      <c r="W32" s="29" t="s">
        <v>96</v>
      </c>
      <c r="Z32" s="34"/>
      <c r="AA32" s="40"/>
      <c r="AB32" s="40"/>
      <c r="AC32" s="38" t="s">
        <v>159</v>
      </c>
      <c r="AD32" s="48">
        <v>24</v>
      </c>
      <c r="AE32" s="53" t="str">
        <f t="shared" ca="1" si="4"/>
        <v>Venc.J10</v>
      </c>
      <c r="AF32" s="37" t="s">
        <v>157</v>
      </c>
      <c r="AG32" s="65" t="str">
        <f t="shared" ca="1" si="5"/>
        <v>Venc.J11</v>
      </c>
    </row>
    <row r="33" spans="4:33" ht="13" thickBot="1">
      <c r="E33" s="10"/>
      <c r="F33" s="10"/>
      <c r="G33" s="10"/>
      <c r="H33" s="10"/>
      <c r="I33" s="10"/>
      <c r="J33" s="10"/>
      <c r="K33" s="10"/>
      <c r="L33" s="14" t="s">
        <v>205</v>
      </c>
      <c r="M33" s="9" t="str">
        <f>IF(OR(L29="",L38=""),"",+IF(L29&gt;L38,K29,K38))</f>
        <v/>
      </c>
      <c r="N33" s="16"/>
      <c r="O33" s="10"/>
      <c r="P33" s="14"/>
      <c r="Q33" s="10"/>
      <c r="T33">
        <v>29</v>
      </c>
      <c r="U33" s="28" t="s">
        <v>97</v>
      </c>
      <c r="V33" t="s">
        <v>77</v>
      </c>
      <c r="W33" s="29" t="s">
        <v>98</v>
      </c>
      <c r="Z33" s="34"/>
      <c r="AA33" s="40"/>
      <c r="AB33" s="40"/>
      <c r="AC33" s="38" t="s">
        <v>159</v>
      </c>
      <c r="AD33" s="48">
        <v>25</v>
      </c>
      <c r="AE33" s="53" t="str">
        <f t="shared" ca="1" si="4"/>
        <v>Venc.J12</v>
      </c>
      <c r="AF33" s="37" t="s">
        <v>157</v>
      </c>
      <c r="AG33" s="65" t="str">
        <f t="shared" ca="1" si="5"/>
        <v>Venc.J13</v>
      </c>
    </row>
    <row r="34" spans="4:33" ht="13" thickBot="1">
      <c r="D34">
        <v>14</v>
      </c>
      <c r="E34" s="9"/>
      <c r="F34" s="9"/>
      <c r="G34" s="9">
        <f>E34</f>
        <v>0</v>
      </c>
      <c r="H34" s="11"/>
      <c r="I34" s="10"/>
      <c r="J34" s="10"/>
      <c r="K34" s="10"/>
      <c r="L34" s="14"/>
      <c r="M34" s="10"/>
      <c r="N34" s="10"/>
      <c r="O34" s="10"/>
      <c r="P34" s="14"/>
      <c r="Q34" s="10"/>
      <c r="T34">
        <v>30</v>
      </c>
      <c r="U34" s="28" t="s">
        <v>99</v>
      </c>
      <c r="V34" t="s">
        <v>77</v>
      </c>
      <c r="W34" s="29" t="s">
        <v>100</v>
      </c>
      <c r="Z34" s="34"/>
      <c r="AA34" s="40"/>
      <c r="AB34" s="40"/>
      <c r="AC34" s="38" t="s">
        <v>159</v>
      </c>
      <c r="AD34" s="48">
        <v>26</v>
      </c>
      <c r="AE34" s="53" t="str">
        <f t="shared" ca="1" si="4"/>
        <v>Venc.J14</v>
      </c>
      <c r="AF34" s="37" t="s">
        <v>157</v>
      </c>
      <c r="AG34" s="65" t="str">
        <f t="shared" ca="1" si="5"/>
        <v>Venc.J15</v>
      </c>
    </row>
    <row r="35" spans="4:33" ht="13" thickBot="1">
      <c r="E35" s="10"/>
      <c r="F35" s="10"/>
      <c r="G35" s="12"/>
      <c r="H35" s="13" t="s">
        <v>225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 t="s">
        <v>101</v>
      </c>
      <c r="V35" t="s">
        <v>77</v>
      </c>
      <c r="W35" s="29" t="s">
        <v>102</v>
      </c>
      <c r="Z35" s="34"/>
      <c r="AA35" s="40"/>
      <c r="AB35" s="40"/>
      <c r="AC35" s="38" t="s">
        <v>159</v>
      </c>
      <c r="AD35" s="48">
        <v>27</v>
      </c>
      <c r="AE35" s="53" t="str">
        <f t="shared" ca="1" si="4"/>
        <v>Venc.J16</v>
      </c>
      <c r="AF35" s="37" t="s">
        <v>157</v>
      </c>
      <c r="AG35" s="65" t="str">
        <f t="shared" ca="1" si="5"/>
        <v>Venc.J17</v>
      </c>
    </row>
    <row r="36" spans="4:33" ht="13" thickBot="1">
      <c r="D36">
        <v>15</v>
      </c>
      <c r="E36" s="9"/>
      <c r="F36" s="9"/>
      <c r="G36" s="9">
        <f>E36</f>
        <v>0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 t="s">
        <v>103</v>
      </c>
      <c r="V36" t="s">
        <v>77</v>
      </c>
      <c r="W36" s="29" t="s">
        <v>104</v>
      </c>
      <c r="Z36" s="34"/>
      <c r="AA36" s="40"/>
      <c r="AB36" s="40"/>
      <c r="AC36" s="38" t="s">
        <v>159</v>
      </c>
      <c r="AD36" s="48">
        <v>28</v>
      </c>
      <c r="AE36" s="53" t="str">
        <f t="shared" ca="1" si="4"/>
        <v>Venc.J18</v>
      </c>
      <c r="AF36" s="37" t="s">
        <v>157</v>
      </c>
      <c r="AG36" s="65" t="str">
        <f t="shared" ca="1" si="5"/>
        <v>Venc.J19</v>
      </c>
    </row>
    <row r="37" spans="4:33">
      <c r="E37" s="10"/>
      <c r="F37" s="10"/>
      <c r="G37" s="10"/>
      <c r="H37" s="10"/>
      <c r="I37" s="10"/>
      <c r="J37" s="14"/>
      <c r="K37" s="10"/>
      <c r="L37" s="14"/>
      <c r="M37" s="10"/>
      <c r="N37" s="10"/>
      <c r="O37" s="10"/>
      <c r="P37" s="14"/>
      <c r="Q37" s="10"/>
      <c r="T37">
        <v>33</v>
      </c>
      <c r="U37" s="28" t="s">
        <v>105</v>
      </c>
      <c r="V37" t="s">
        <v>77</v>
      </c>
      <c r="W37" s="29" t="s">
        <v>106</v>
      </c>
      <c r="Z37" s="34"/>
      <c r="AA37" s="40"/>
      <c r="AB37" s="40"/>
      <c r="AC37" s="38" t="s">
        <v>159</v>
      </c>
      <c r="AD37" s="48">
        <v>29</v>
      </c>
      <c r="AE37" s="53" t="str">
        <f t="shared" ca="1" si="4"/>
        <v>Venc.J20</v>
      </c>
      <c r="AF37" s="37" t="s">
        <v>157</v>
      </c>
      <c r="AG37" s="65" t="str">
        <f t="shared" ca="1" si="5"/>
        <v>Venc.J21</v>
      </c>
    </row>
    <row r="38" spans="4:33" ht="13" thickBot="1">
      <c r="D38">
        <v>16</v>
      </c>
      <c r="E38" s="10"/>
      <c r="F38" s="11"/>
      <c r="G38" s="10"/>
      <c r="H38" s="10"/>
      <c r="I38" s="10"/>
      <c r="J38" s="14" t="s">
        <v>252</v>
      </c>
      <c r="K38" s="9" t="str">
        <f>IF(OR(J35="",J41=""),"",+IF(J35&gt;J41,I35,I41))</f>
        <v/>
      </c>
      <c r="L38" s="16"/>
      <c r="M38" s="10"/>
      <c r="N38" s="10"/>
      <c r="O38" s="10"/>
      <c r="P38" s="14"/>
      <c r="Q38" s="10"/>
      <c r="T38">
        <v>34</v>
      </c>
      <c r="U38" s="28" t="s">
        <v>107</v>
      </c>
      <c r="V38" t="s">
        <v>77</v>
      </c>
      <c r="W38" s="29" t="s">
        <v>108</v>
      </c>
      <c r="Z38" s="34"/>
      <c r="AA38" s="40"/>
      <c r="AB38" s="40"/>
      <c r="AC38" s="38" t="s">
        <v>159</v>
      </c>
      <c r="AD38" s="48">
        <v>30</v>
      </c>
      <c r="AE38" s="53" t="str">
        <f t="shared" ca="1" si="4"/>
        <v>Venc.J22</v>
      </c>
      <c r="AF38" s="37" t="s">
        <v>157</v>
      </c>
      <c r="AG38" s="65" t="str">
        <f t="shared" ca="1" si="5"/>
        <v>Venc.J23</v>
      </c>
    </row>
    <row r="39" spans="4:33" ht="13" thickBot="1">
      <c r="E39" s="12"/>
      <c r="F39" s="13" t="s">
        <v>204</v>
      </c>
      <c r="G39" s="9" t="str">
        <f>IF(OR(F38="",F40=""),"",+IF(F38&gt;F40,E38,E40))</f>
        <v/>
      </c>
      <c r="H39" s="11"/>
      <c r="I39" s="10"/>
      <c r="J39" s="14"/>
      <c r="K39" s="10"/>
      <c r="L39" s="10"/>
      <c r="M39" s="10"/>
      <c r="N39" s="10"/>
      <c r="O39" s="10"/>
      <c r="P39" s="14"/>
      <c r="Q39" s="10"/>
      <c r="T39">
        <v>35</v>
      </c>
      <c r="U39" s="28" t="s">
        <v>109</v>
      </c>
      <c r="V39" t="s">
        <v>77</v>
      </c>
      <c r="W39" s="29" t="s">
        <v>110</v>
      </c>
      <c r="Z39" s="34"/>
      <c r="AA39" s="40"/>
      <c r="AB39" s="40"/>
      <c r="AC39" s="38" t="s">
        <v>159</v>
      </c>
      <c r="AD39" s="48">
        <v>31</v>
      </c>
      <c r="AE39" s="53" t="str">
        <f t="shared" ca="1" si="4"/>
        <v>Venc.J24</v>
      </c>
      <c r="AF39" s="37" t="s">
        <v>157</v>
      </c>
      <c r="AG39" s="65" t="str">
        <f t="shared" ca="1" si="5"/>
        <v>Venc.J25</v>
      </c>
    </row>
    <row r="40" spans="4:33" ht="13" thickBot="1">
      <c r="D40">
        <v>17</v>
      </c>
      <c r="E40" s="9"/>
      <c r="F40" s="16"/>
      <c r="G40" s="10"/>
      <c r="H40" s="13"/>
      <c r="I40" s="10"/>
      <c r="J40" s="14"/>
      <c r="K40" s="10"/>
      <c r="L40" s="10"/>
      <c r="M40" s="10"/>
      <c r="N40" s="10"/>
      <c r="O40" s="10"/>
      <c r="P40" s="14"/>
      <c r="Q40" s="10"/>
      <c r="T40">
        <v>36</v>
      </c>
      <c r="U40" s="28" t="s">
        <v>314</v>
      </c>
      <c r="V40" t="s">
        <v>77</v>
      </c>
      <c r="W40" s="29" t="s">
        <v>315</v>
      </c>
      <c r="Z40" s="34"/>
      <c r="AA40" s="40"/>
      <c r="AB40" s="40"/>
      <c r="AC40" s="38" t="s">
        <v>159</v>
      </c>
      <c r="AD40" s="48">
        <v>32</v>
      </c>
      <c r="AE40" s="53" t="str">
        <f t="shared" ca="1" si="4"/>
        <v>Venc.J26</v>
      </c>
      <c r="AF40" s="37" t="s">
        <v>157</v>
      </c>
      <c r="AG40" s="65" t="str">
        <f t="shared" ca="1" si="5"/>
        <v>Venc.J27</v>
      </c>
    </row>
    <row r="41" spans="4:33" ht="13" thickBot="1">
      <c r="E41" s="10"/>
      <c r="F41" s="10"/>
      <c r="G41" s="10"/>
      <c r="H41" s="14" t="s">
        <v>227</v>
      </c>
      <c r="I41" s="9" t="str">
        <f>IF(OR(H39="",H42=""),"",+IF(H39&gt;H42,G39,E42))</f>
        <v/>
      </c>
      <c r="J41" s="16"/>
      <c r="K41" s="10"/>
      <c r="L41" s="10"/>
      <c r="M41" s="10"/>
      <c r="N41" s="10"/>
      <c r="O41" s="10"/>
      <c r="P41" s="14"/>
      <c r="Q41" s="10"/>
      <c r="T41">
        <v>37</v>
      </c>
      <c r="U41" s="28" t="s">
        <v>111</v>
      </c>
      <c r="V41" t="s">
        <v>77</v>
      </c>
      <c r="W41" s="29" t="s">
        <v>112</v>
      </c>
      <c r="Z41" s="34"/>
      <c r="AA41" s="40"/>
      <c r="AB41" s="40"/>
      <c r="AC41" s="38" t="s">
        <v>159</v>
      </c>
      <c r="AD41" s="48">
        <v>33</v>
      </c>
      <c r="AE41" s="53" t="str">
        <f t="shared" ca="1" si="4"/>
        <v>Venc.J28</v>
      </c>
      <c r="AF41" s="37" t="s">
        <v>157</v>
      </c>
      <c r="AG41" s="65" t="str">
        <f t="shared" ca="1" si="5"/>
        <v>Venc.J29</v>
      </c>
    </row>
    <row r="42" spans="4:33" ht="13" thickBot="1">
      <c r="D42">
        <v>18</v>
      </c>
      <c r="E42" s="9"/>
      <c r="F42" s="9"/>
      <c r="G42" s="9">
        <f>E42</f>
        <v>0</v>
      </c>
      <c r="H42" s="16"/>
      <c r="I42" s="10"/>
      <c r="J42" s="10"/>
      <c r="K42" s="10"/>
      <c r="L42" s="10"/>
      <c r="M42" s="10"/>
      <c r="N42" s="10"/>
      <c r="O42" s="10"/>
      <c r="P42" s="14"/>
      <c r="Q42" s="10"/>
      <c r="U42" s="29"/>
      <c r="AA42" s="40"/>
      <c r="AB42" s="40"/>
      <c r="AC42" s="38" t="s">
        <v>159</v>
      </c>
      <c r="AD42" s="48">
        <v>34</v>
      </c>
      <c r="AE42" s="53" t="str">
        <f t="shared" ca="1" si="4"/>
        <v>Venc.J30</v>
      </c>
      <c r="AF42" s="37" t="s">
        <v>157</v>
      </c>
      <c r="AG42" s="65" t="str">
        <f t="shared" ca="1" si="5"/>
        <v>Venc.J31</v>
      </c>
    </row>
    <row r="43" spans="4:33" ht="13" thickBot="1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4" t="s">
        <v>228</v>
      </c>
      <c r="Q43" s="9" t="str">
        <f>IF(OR(P25="",P63=""),"",+IF(P25&gt;P63,O25,O63))</f>
        <v/>
      </c>
      <c r="AA43" s="40"/>
      <c r="AB43" s="40"/>
      <c r="AC43" s="38" t="s">
        <v>159</v>
      </c>
      <c r="AD43" s="48">
        <v>35</v>
      </c>
      <c r="AE43" s="53" t="str">
        <f t="shared" ca="1" si="4"/>
        <v>Venc.J32</v>
      </c>
      <c r="AF43" s="37" t="s">
        <v>157</v>
      </c>
      <c r="AG43" s="65" t="str">
        <f t="shared" ca="1" si="5"/>
        <v>Venc.J33</v>
      </c>
    </row>
    <row r="44" spans="4:33" ht="13" thickBot="1">
      <c r="D44">
        <v>19</v>
      </c>
      <c r="E44" s="9"/>
      <c r="F44" s="9"/>
      <c r="G44" s="9">
        <f>E44</f>
        <v>0</v>
      </c>
      <c r="H44" s="11"/>
      <c r="I44" s="10"/>
      <c r="J44" s="10"/>
      <c r="K44" s="10"/>
      <c r="L44" s="10"/>
      <c r="M44" s="10"/>
      <c r="N44" s="10"/>
      <c r="O44" s="10"/>
      <c r="P44" s="14"/>
      <c r="Q44" s="10"/>
      <c r="AA44" s="40"/>
      <c r="AB44" s="40"/>
      <c r="AC44" s="38" t="s">
        <v>159</v>
      </c>
      <c r="AD44" s="48">
        <v>36</v>
      </c>
      <c r="AE44" s="53" t="str">
        <f t="shared" ca="1" si="4"/>
        <v>Perd.J34</v>
      </c>
      <c r="AF44" s="37" t="s">
        <v>157</v>
      </c>
      <c r="AG44" s="65" t="str">
        <f t="shared" ca="1" si="5"/>
        <v>Perd.J35</v>
      </c>
    </row>
    <row r="45" spans="4:33">
      <c r="E45" s="12"/>
      <c r="F45" s="10"/>
      <c r="G45" s="10"/>
      <c r="H45" s="13"/>
      <c r="I45" s="10"/>
      <c r="J45" s="10"/>
      <c r="K45" s="10"/>
      <c r="L45" s="10"/>
      <c r="M45" s="10"/>
      <c r="N45" s="10"/>
      <c r="O45" s="10"/>
      <c r="P45" s="14"/>
      <c r="Q45" s="10"/>
      <c r="AA45" s="40"/>
      <c r="AB45" s="40"/>
      <c r="AC45" s="38" t="s">
        <v>159</v>
      </c>
      <c r="AD45" s="48">
        <v>37</v>
      </c>
      <c r="AE45" s="53" t="str">
        <f t="shared" ca="1" si="4"/>
        <v>Venc.J34</v>
      </c>
      <c r="AF45" s="37" t="s">
        <v>157</v>
      </c>
      <c r="AG45" s="65" t="str">
        <f t="shared" ca="1" si="5"/>
        <v>Venc.J35</v>
      </c>
    </row>
    <row r="46" spans="4:33" ht="13" thickBot="1">
      <c r="E46" s="10"/>
      <c r="F46" s="10"/>
      <c r="G46" s="10"/>
      <c r="H46" s="14" t="s">
        <v>229</v>
      </c>
      <c r="I46" s="9" t="str">
        <f>IF(OR(H44="",H48=""),"",+IF(H44&gt;H48,E44,G48))</f>
        <v/>
      </c>
      <c r="J46" s="11"/>
      <c r="K46" s="10"/>
      <c r="L46" s="10"/>
      <c r="M46" s="10"/>
      <c r="N46" s="10"/>
      <c r="O46" s="10"/>
      <c r="P46" s="14"/>
      <c r="Q46" s="10"/>
    </row>
    <row r="47" spans="4:33" ht="13" thickBot="1">
      <c r="D47">
        <v>20</v>
      </c>
      <c r="E47" s="10"/>
      <c r="F47" s="11"/>
      <c r="G47" s="10"/>
      <c r="H47" s="14"/>
      <c r="I47" s="10"/>
      <c r="J47" s="13"/>
      <c r="K47" s="10"/>
      <c r="L47" s="10"/>
      <c r="M47" s="10"/>
      <c r="N47" s="10"/>
      <c r="O47" s="10"/>
      <c r="P47" s="14"/>
      <c r="Q47" s="10"/>
    </row>
    <row r="48" spans="4:33" ht="13" thickBot="1">
      <c r="E48" s="12"/>
      <c r="F48" s="13" t="s">
        <v>206</v>
      </c>
      <c r="G48" s="9" t="str">
        <f>IF(OR(F47="",F49=""),"",+IF(F47&gt;F49,E47,E49))</f>
        <v/>
      </c>
      <c r="H48" s="16"/>
      <c r="I48" s="10"/>
      <c r="J48" s="14"/>
      <c r="K48" s="10"/>
      <c r="L48" s="10"/>
      <c r="M48" s="10"/>
      <c r="N48" s="10"/>
      <c r="O48" s="10"/>
      <c r="P48" s="14"/>
      <c r="Q48" s="10"/>
    </row>
    <row r="49" spans="4:17" ht="13" thickBot="1">
      <c r="D49">
        <v>21</v>
      </c>
      <c r="E49" s="10"/>
      <c r="F49" s="16"/>
      <c r="G49" s="10"/>
      <c r="H49" s="10"/>
      <c r="I49" s="10"/>
      <c r="J49" s="14" t="s">
        <v>254</v>
      </c>
      <c r="K49" s="9" t="str">
        <f>IF(OR(J46="",J52=""),"",+IF(J46&gt;J52,I46,I52))</f>
        <v/>
      </c>
      <c r="L49" s="17"/>
      <c r="M49" s="10"/>
      <c r="N49" s="10"/>
      <c r="O49" s="10"/>
      <c r="P49" s="14"/>
      <c r="Q49" s="10"/>
    </row>
    <row r="50" spans="4:17">
      <c r="E50" s="12"/>
      <c r="F50" s="10"/>
      <c r="G50" s="10"/>
      <c r="H50" s="10"/>
      <c r="I50" s="10"/>
      <c r="J50" s="14"/>
      <c r="K50" s="10"/>
      <c r="L50" s="10"/>
      <c r="M50" s="19"/>
      <c r="N50" s="10"/>
      <c r="O50" s="10"/>
      <c r="P50" s="14"/>
      <c r="Q50" s="10"/>
    </row>
    <row r="51" spans="4:17" ht="13" thickBot="1">
      <c r="D51">
        <v>22</v>
      </c>
      <c r="E51" s="9"/>
      <c r="F51" s="9"/>
      <c r="G51" s="9">
        <f>E51</f>
        <v>0</v>
      </c>
      <c r="H51" s="11"/>
      <c r="I51" s="10"/>
      <c r="J51" s="14"/>
      <c r="K51" s="10"/>
      <c r="L51" s="10"/>
      <c r="M51" s="19"/>
      <c r="N51" s="10"/>
      <c r="O51" s="10"/>
      <c r="P51" s="14"/>
      <c r="Q51" s="10"/>
    </row>
    <row r="52" spans="4:17" ht="13" thickBot="1">
      <c r="E52" s="10"/>
      <c r="F52" s="10"/>
      <c r="G52" s="10"/>
      <c r="H52" s="13" t="s">
        <v>232</v>
      </c>
      <c r="I52" s="9" t="str">
        <f>IF(OR(H51="",H53=""),"",+IF(H51&gt;H53,E51,E53))</f>
        <v/>
      </c>
      <c r="J52" s="16"/>
      <c r="K52" s="10"/>
      <c r="L52" s="10"/>
      <c r="M52" s="19"/>
      <c r="N52" s="10"/>
      <c r="O52" s="10"/>
      <c r="P52" s="14"/>
      <c r="Q52" s="10"/>
    </row>
    <row r="53" spans="4:17" ht="13" thickBot="1">
      <c r="D53">
        <v>23</v>
      </c>
      <c r="E53" s="9"/>
      <c r="F53" s="9"/>
      <c r="G53" s="9">
        <f>E53</f>
        <v>0</v>
      </c>
      <c r="H53" s="11"/>
      <c r="I53" s="10"/>
      <c r="J53" s="10"/>
      <c r="K53" s="10"/>
      <c r="L53" s="10"/>
      <c r="M53" s="19"/>
      <c r="N53" s="10"/>
      <c r="O53" s="10"/>
      <c r="P53" s="14"/>
      <c r="Q53" s="10"/>
    </row>
    <row r="54" spans="4:17" ht="13" thickBot="1">
      <c r="E54" s="10"/>
      <c r="F54" s="10"/>
      <c r="G54" s="10"/>
      <c r="H54" s="10"/>
      <c r="I54" s="10"/>
      <c r="J54" s="10"/>
      <c r="K54" s="10"/>
      <c r="L54" s="14" t="s">
        <v>209</v>
      </c>
      <c r="M54" s="9" t="str">
        <f>IF(OR(L49="",L58=""),"",+IF(L49&gt;L58,K49,K58))</f>
        <v/>
      </c>
      <c r="N54" s="17"/>
      <c r="O54" s="10"/>
      <c r="P54" s="14"/>
      <c r="Q54" s="10"/>
    </row>
    <row r="55" spans="4:17" ht="13" thickBot="1">
      <c r="D55">
        <v>24</v>
      </c>
      <c r="E55" s="9"/>
      <c r="F55" s="9"/>
      <c r="G55" s="9">
        <f>E55</f>
        <v>0</v>
      </c>
      <c r="H55" s="11"/>
      <c r="I55" s="10"/>
      <c r="J55" s="10"/>
      <c r="K55" s="10"/>
      <c r="L55" s="10"/>
      <c r="M55" s="19"/>
      <c r="N55" s="13"/>
      <c r="O55" s="10"/>
      <c r="P55" s="14"/>
      <c r="Q55" s="10"/>
    </row>
    <row r="56" spans="4:17" ht="13" thickBot="1">
      <c r="E56" s="10"/>
      <c r="F56" s="10"/>
      <c r="G56" s="12"/>
      <c r="H56" s="13" t="s">
        <v>234</v>
      </c>
      <c r="I56" s="9" t="str">
        <f>IF(OR(H55="",H57=""),"",+IF(H55&gt;H57,E55,E57))</f>
        <v/>
      </c>
      <c r="J56" s="17"/>
      <c r="K56" s="10"/>
      <c r="L56" s="10"/>
      <c r="M56" s="19"/>
      <c r="N56" s="14"/>
      <c r="O56" s="10"/>
      <c r="P56" s="14"/>
      <c r="Q56" s="10"/>
    </row>
    <row r="57" spans="4:17" ht="13" thickBot="1">
      <c r="D57">
        <v>25</v>
      </c>
      <c r="E57" s="9"/>
      <c r="F57" s="9"/>
      <c r="G57" s="9">
        <f>E57</f>
        <v>0</v>
      </c>
      <c r="H57" s="16"/>
      <c r="I57" s="10"/>
      <c r="J57" s="14"/>
      <c r="K57" s="10"/>
      <c r="L57" s="10"/>
      <c r="M57" s="19"/>
      <c r="N57" s="14"/>
      <c r="O57" s="10"/>
      <c r="P57" s="14"/>
      <c r="Q57" s="10"/>
    </row>
    <row r="58" spans="4:17" ht="13" thickBot="1">
      <c r="E58" s="10"/>
      <c r="F58" s="10"/>
      <c r="G58" s="12"/>
      <c r="H58" s="10"/>
      <c r="I58" s="10"/>
      <c r="J58" s="14" t="s">
        <v>256</v>
      </c>
      <c r="K58" s="9" t="str">
        <f>IF(OR(J56="",J60=""),"",+IF(J56&gt;J60,I56,I60))</f>
        <v/>
      </c>
      <c r="L58" s="16"/>
      <c r="M58" s="19"/>
      <c r="N58" s="14"/>
      <c r="O58" s="10"/>
      <c r="P58" s="14"/>
      <c r="Q58" s="10"/>
    </row>
    <row r="59" spans="4:17" ht="13" thickBot="1">
      <c r="D59">
        <v>26</v>
      </c>
      <c r="E59" s="9"/>
      <c r="F59" s="9"/>
      <c r="G59" s="9">
        <f>E59</f>
        <v>0</v>
      </c>
      <c r="H59" s="11"/>
      <c r="I59" s="10"/>
      <c r="J59" s="14"/>
      <c r="K59" s="10"/>
      <c r="L59" s="10"/>
      <c r="M59" s="10"/>
      <c r="N59" s="14"/>
      <c r="O59" s="10"/>
      <c r="P59" s="14"/>
      <c r="Q59" s="10"/>
    </row>
    <row r="60" spans="4:17" ht="13" thickBot="1">
      <c r="E60" s="10"/>
      <c r="F60" s="10"/>
      <c r="G60" s="12"/>
      <c r="H60" s="13" t="s">
        <v>236</v>
      </c>
      <c r="I60" s="9" t="str">
        <f>IF(OR(H59="",H61=""),"",+IF(H59&gt;H61,E59,E61))</f>
        <v/>
      </c>
      <c r="J60" s="16"/>
      <c r="K60" s="10"/>
      <c r="L60" s="10"/>
      <c r="M60" s="10"/>
      <c r="N60" s="14"/>
      <c r="O60" s="10"/>
      <c r="P60" s="14"/>
      <c r="Q60" s="10"/>
    </row>
    <row r="61" spans="4:17" ht="13" thickBot="1">
      <c r="D61">
        <v>27</v>
      </c>
      <c r="E61" s="9"/>
      <c r="F61" s="9"/>
      <c r="G61" s="9">
        <f>E61</f>
        <v>0</v>
      </c>
      <c r="H61" s="16"/>
      <c r="I61" s="10"/>
      <c r="J61" s="10"/>
      <c r="K61" s="10"/>
      <c r="L61" s="10"/>
      <c r="M61" s="10"/>
      <c r="N61" s="14"/>
      <c r="O61" s="10"/>
      <c r="P61" s="14"/>
      <c r="Q61" s="10"/>
    </row>
    <row r="62" spans="4:17">
      <c r="E62" s="10"/>
      <c r="F62" s="10"/>
      <c r="G62" s="10"/>
      <c r="H62" s="10"/>
      <c r="I62" s="10"/>
      <c r="J62" s="10"/>
      <c r="K62" s="10"/>
      <c r="L62" s="10"/>
      <c r="M62" s="10"/>
      <c r="N62" s="14"/>
      <c r="O62" s="10"/>
      <c r="P62" s="14"/>
      <c r="Q62" s="10"/>
    </row>
    <row r="63" spans="4:17" ht="13" thickBot="1">
      <c r="D63">
        <v>28</v>
      </c>
      <c r="E63" s="10"/>
      <c r="F63" s="9"/>
      <c r="G63" s="9">
        <f>E63</f>
        <v>0</v>
      </c>
      <c r="H63" s="11"/>
      <c r="I63" s="10"/>
      <c r="J63" s="10"/>
      <c r="K63" s="10"/>
      <c r="L63" s="10"/>
      <c r="M63" s="10"/>
      <c r="N63" s="14" t="s">
        <v>220</v>
      </c>
      <c r="O63" s="9" t="str">
        <f>IF(OR(N54="",N73=""),"",+IF(N54&gt;N73,M54,M73))</f>
        <v/>
      </c>
      <c r="P63" s="16"/>
      <c r="Q63" s="10"/>
    </row>
    <row r="64" spans="4:17">
      <c r="E64" s="12"/>
      <c r="F64" s="10"/>
      <c r="G64" s="10"/>
      <c r="H64" s="13"/>
      <c r="I64" s="10"/>
      <c r="J64" s="10"/>
      <c r="K64" s="10"/>
      <c r="L64" s="10"/>
      <c r="M64" s="10"/>
      <c r="N64" s="14"/>
      <c r="O64" s="10"/>
      <c r="P64" s="10"/>
      <c r="Q64" s="10"/>
    </row>
    <row r="65" spans="4:17" ht="13" thickBot="1">
      <c r="E65" s="10"/>
      <c r="F65" s="10"/>
      <c r="G65" s="10"/>
      <c r="H65" s="14" t="s">
        <v>238</v>
      </c>
      <c r="I65" s="9" t="str">
        <f>IF(OR(H63="",H67=""),"",+IF(H63&gt;H67,G63,G67))</f>
        <v/>
      </c>
      <c r="J65" s="11"/>
      <c r="K65" s="10"/>
      <c r="L65" s="10"/>
      <c r="M65" s="10"/>
      <c r="N65" s="14"/>
      <c r="O65" s="10"/>
      <c r="P65" s="10"/>
      <c r="Q65" s="10"/>
    </row>
    <row r="66" spans="4:17" ht="13" thickBot="1">
      <c r="D66">
        <v>29</v>
      </c>
      <c r="E66" s="10"/>
      <c r="F66" s="11"/>
      <c r="G66" s="10"/>
      <c r="H66" s="14"/>
      <c r="I66" s="10"/>
      <c r="J66" s="13"/>
      <c r="K66" s="10"/>
      <c r="L66" s="10"/>
      <c r="M66" s="10"/>
      <c r="N66" s="14"/>
      <c r="O66" s="10"/>
      <c r="P66" s="10"/>
      <c r="Q66" s="10"/>
    </row>
    <row r="67" spans="4:17" ht="13" thickBot="1">
      <c r="E67" s="12"/>
      <c r="F67" s="13" t="s">
        <v>208</v>
      </c>
      <c r="G67" s="9" t="str">
        <f>IF(OR(F66="",F68=""),"",+IF(F66&gt;F68,E66,E68))</f>
        <v/>
      </c>
      <c r="H67" s="16"/>
      <c r="I67" s="10"/>
      <c r="J67" s="14"/>
      <c r="K67" s="10"/>
      <c r="L67" s="10"/>
      <c r="M67" s="10"/>
      <c r="N67" s="14"/>
      <c r="O67" s="10"/>
      <c r="P67" s="10"/>
      <c r="Q67" s="10"/>
    </row>
    <row r="68" spans="4:17" ht="13" thickBot="1">
      <c r="D68">
        <v>30</v>
      </c>
      <c r="E68" s="10"/>
      <c r="F68" s="16"/>
      <c r="G68" s="10"/>
      <c r="H68" s="10"/>
      <c r="I68" s="10"/>
      <c r="J68" s="14" t="s">
        <v>258</v>
      </c>
      <c r="K68" s="9" t="str">
        <f>IF(OR(J65="",J71=""),"",+IF(J65&gt;J71,I65,I71))</f>
        <v/>
      </c>
      <c r="L68" s="11"/>
      <c r="M68" s="10"/>
      <c r="N68" s="14"/>
      <c r="O68" s="10"/>
      <c r="P68" s="10"/>
      <c r="Q68" s="10"/>
    </row>
    <row r="69" spans="4:17">
      <c r="E69" s="12"/>
      <c r="F69" s="10"/>
      <c r="G69" s="10"/>
      <c r="H69" s="10"/>
      <c r="I69" s="10"/>
      <c r="J69" s="14"/>
      <c r="K69" s="12"/>
      <c r="L69" s="13"/>
      <c r="M69" s="10"/>
      <c r="N69" s="14"/>
      <c r="O69" s="10"/>
      <c r="P69" s="10"/>
      <c r="Q69" s="10"/>
    </row>
    <row r="70" spans="4:17" ht="13" thickBot="1">
      <c r="D70">
        <v>31</v>
      </c>
      <c r="E70" s="9"/>
      <c r="F70" s="9"/>
      <c r="G70" s="9">
        <f>E70</f>
        <v>0</v>
      </c>
      <c r="H70" s="11"/>
      <c r="I70" s="10"/>
      <c r="J70" s="14"/>
      <c r="K70" s="10"/>
      <c r="L70" s="14"/>
      <c r="M70" s="10"/>
      <c r="N70" s="14"/>
      <c r="O70" s="10"/>
      <c r="P70" s="10"/>
      <c r="Q70" s="10"/>
    </row>
    <row r="71" spans="4:17" ht="13" thickBot="1">
      <c r="E71" s="10"/>
      <c r="F71" s="10"/>
      <c r="G71" s="10"/>
      <c r="H71" s="13" t="s">
        <v>240</v>
      </c>
      <c r="I71" s="9" t="str">
        <f>IF(OR(H70="",H72=""),"",+IF(H70&gt;H72,E70,E72))</f>
        <v/>
      </c>
      <c r="J71" s="16"/>
      <c r="K71" s="10"/>
      <c r="L71" s="14"/>
      <c r="M71" s="10"/>
      <c r="N71" s="14"/>
      <c r="O71" s="10"/>
      <c r="P71" s="10"/>
      <c r="Q71" s="10"/>
    </row>
    <row r="72" spans="4:17" ht="13" thickBot="1">
      <c r="D72">
        <v>32</v>
      </c>
      <c r="E72" s="9"/>
      <c r="F72" s="9"/>
      <c r="G72" s="9">
        <f>E72</f>
        <v>0</v>
      </c>
      <c r="H72" s="16"/>
      <c r="I72" s="10"/>
      <c r="J72" s="10"/>
      <c r="K72" s="10"/>
      <c r="L72" s="14"/>
      <c r="M72" s="10"/>
      <c r="N72" s="14"/>
      <c r="O72" s="10"/>
      <c r="P72" s="10"/>
      <c r="Q72" s="10"/>
    </row>
    <row r="73" spans="4:17" ht="13" thickBot="1">
      <c r="E73" s="10"/>
      <c r="F73" s="10"/>
      <c r="G73" s="10"/>
      <c r="H73" s="10"/>
      <c r="I73" s="10"/>
      <c r="J73" s="10"/>
      <c r="K73" s="10"/>
      <c r="L73" s="14" t="s">
        <v>213</v>
      </c>
      <c r="M73" s="9" t="str">
        <f>IF(OR(L68="",L78=""),"",+IF(L68&gt;L78,K68,K78))</f>
        <v/>
      </c>
      <c r="N73" s="16"/>
      <c r="O73" s="10"/>
      <c r="P73" s="10"/>
      <c r="Q73" s="10"/>
    </row>
    <row r="74" spans="4:17" ht="13" thickBot="1">
      <c r="D74">
        <v>33</v>
      </c>
      <c r="E74" s="9"/>
      <c r="F74" s="9"/>
      <c r="G74" s="9">
        <f>E74</f>
        <v>0</v>
      </c>
      <c r="H74" s="11"/>
      <c r="I74" s="10"/>
      <c r="J74" s="10"/>
      <c r="K74" s="10"/>
      <c r="L74" s="14"/>
      <c r="M74" s="10"/>
      <c r="N74" s="10"/>
      <c r="O74" s="10"/>
      <c r="P74" s="10"/>
      <c r="Q74" s="10"/>
    </row>
    <row r="75" spans="4:17" ht="13" thickBot="1">
      <c r="E75" s="10"/>
      <c r="F75" s="10"/>
      <c r="G75" s="10"/>
      <c r="H75" s="13" t="s">
        <v>242</v>
      </c>
      <c r="I75" s="9" t="str">
        <f>IF(OR(H74="",H76=""),"",+IF(H74&gt;H76,E74,E76))</f>
        <v/>
      </c>
      <c r="J75" s="17"/>
      <c r="K75" s="10"/>
      <c r="L75" s="14"/>
      <c r="M75" s="10"/>
      <c r="N75" s="10"/>
      <c r="O75" s="10"/>
      <c r="P75" s="10"/>
      <c r="Q75" s="10"/>
    </row>
    <row r="76" spans="4:17" ht="13" thickBot="1">
      <c r="D76">
        <v>34</v>
      </c>
      <c r="E76" s="9"/>
      <c r="F76" s="9"/>
      <c r="G76" s="9">
        <f>E76</f>
        <v>0</v>
      </c>
      <c r="H76" s="16"/>
      <c r="I76" s="10"/>
      <c r="J76" s="13"/>
      <c r="K76" s="10"/>
      <c r="L76" s="14"/>
      <c r="M76" s="10"/>
      <c r="N76" s="10"/>
      <c r="O76" s="10"/>
      <c r="P76" s="10"/>
      <c r="Q76" s="10"/>
    </row>
    <row r="77" spans="4:17">
      <c r="E77" s="10"/>
      <c r="F77" s="10"/>
      <c r="G77" s="10"/>
      <c r="H77" s="10"/>
      <c r="I77" s="10"/>
      <c r="J77" s="14"/>
      <c r="K77" s="10"/>
      <c r="L77" s="14"/>
      <c r="M77" s="10"/>
      <c r="N77" s="10"/>
      <c r="O77" s="10"/>
      <c r="P77" s="10"/>
      <c r="Q77" s="10"/>
    </row>
    <row r="78" spans="4:17" ht="13" thickBot="1">
      <c r="D78">
        <v>35</v>
      </c>
      <c r="E78" s="10"/>
      <c r="F78" s="11"/>
      <c r="G78" s="10"/>
      <c r="H78" s="10"/>
      <c r="I78" s="10"/>
      <c r="J78" s="14" t="s">
        <v>260</v>
      </c>
      <c r="K78" s="18" t="str">
        <f>IF(OR(I75="",I80=""),"",+IF(J75&gt;J80,I75,I80))</f>
        <v/>
      </c>
      <c r="L78" s="16"/>
      <c r="M78" s="10"/>
      <c r="N78" s="10"/>
      <c r="O78" s="10"/>
      <c r="P78" s="10"/>
      <c r="Q78" s="10"/>
    </row>
    <row r="79" spans="4:17" ht="13" thickBot="1">
      <c r="E79" s="12"/>
      <c r="F79" s="13" t="s">
        <v>210</v>
      </c>
      <c r="G79" s="9" t="str">
        <f>IF(OR(F78="",F80=""),"",+IF(F78&gt;F80,E78,E80))</f>
        <v/>
      </c>
      <c r="H79" s="17"/>
      <c r="I79" s="10"/>
      <c r="J79" s="14"/>
      <c r="K79" s="10"/>
      <c r="L79" s="10"/>
      <c r="M79" s="10"/>
      <c r="N79" s="10"/>
      <c r="O79" s="10"/>
      <c r="P79" s="10"/>
      <c r="Q79" s="10"/>
    </row>
    <row r="80" spans="4:17" ht="13" thickBot="1">
      <c r="D80">
        <v>36</v>
      </c>
      <c r="E80" s="9"/>
      <c r="F80" s="16"/>
      <c r="G80" s="10"/>
      <c r="H80" s="13" t="s">
        <v>244</v>
      </c>
      <c r="I80" s="9" t="str">
        <f>IF(OR(H79="",H82=""),"",+IF(H79&gt;H82,G79,G82))</f>
        <v/>
      </c>
      <c r="J80" s="16"/>
      <c r="K80" s="10"/>
      <c r="L80" s="10"/>
      <c r="M80" s="10"/>
      <c r="N80" s="10"/>
      <c r="O80" s="10"/>
      <c r="P80" s="10"/>
      <c r="Q80" s="10"/>
    </row>
    <row r="81" spans="4:17" ht="13" thickBot="1">
      <c r="E81" s="10"/>
      <c r="F81" s="10"/>
      <c r="G81" s="10"/>
      <c r="H81" s="14"/>
      <c r="I81" s="10"/>
      <c r="J81" s="10"/>
      <c r="K81" s="10"/>
      <c r="L81" s="10"/>
      <c r="M81" s="9" t="str">
        <f>IF(OR(L76="",L85=""),"",+IF(L76&gt;L85,K76,K85))</f>
        <v/>
      </c>
      <c r="N81" s="17"/>
      <c r="O81" s="10"/>
      <c r="P81" s="10"/>
      <c r="Q81" s="10"/>
    </row>
    <row r="82" spans="4:17" ht="13" thickBot="1">
      <c r="D82">
        <v>37</v>
      </c>
      <c r="E82" s="9"/>
      <c r="F82" s="9"/>
      <c r="G82" s="9">
        <f>E82</f>
        <v>0</v>
      </c>
      <c r="H82" s="16"/>
      <c r="I82" s="10"/>
      <c r="J82" s="10"/>
      <c r="K82" s="10"/>
      <c r="L82" s="10"/>
      <c r="M82" s="10"/>
      <c r="N82" s="13"/>
      <c r="O82" s="10"/>
      <c r="P82" s="10"/>
      <c r="Q82" s="10"/>
    </row>
    <row r="83" spans="4:17">
      <c r="E83" s="23"/>
      <c r="M83" s="10"/>
      <c r="N83" s="14"/>
      <c r="O83" s="10"/>
      <c r="P83" s="10"/>
    </row>
    <row r="84" spans="4:17">
      <c r="M84" s="10"/>
      <c r="N84" s="14"/>
      <c r="O84" s="10"/>
      <c r="P84" s="10"/>
    </row>
    <row r="85" spans="4:17">
      <c r="M85" s="10"/>
      <c r="N85" s="14"/>
      <c r="O85" s="10"/>
      <c r="P85" s="10"/>
    </row>
    <row r="86" spans="4:17">
      <c r="M86" s="10"/>
      <c r="N86" s="14"/>
      <c r="O86" s="10"/>
      <c r="P86" s="10"/>
    </row>
    <row r="87" spans="4:17">
      <c r="M87" s="10"/>
      <c r="N87" s="14"/>
      <c r="O87" s="10"/>
      <c r="P87" s="10"/>
    </row>
    <row r="88" spans="4:17">
      <c r="M88" s="10"/>
      <c r="N88" s="14"/>
      <c r="O88" s="10"/>
      <c r="P88" s="10"/>
    </row>
    <row r="89" spans="4:17">
      <c r="M89" s="10"/>
      <c r="N89" s="14"/>
      <c r="O89" s="10"/>
      <c r="P89" s="10"/>
    </row>
    <row r="90" spans="4:17" ht="13" thickBot="1">
      <c r="M90" s="10"/>
      <c r="N90" s="14" t="s">
        <v>224</v>
      </c>
      <c r="O90" s="9" t="str">
        <f>IF(OR(N81="",N100=""),"",+IF(N81&gt;N100,M81,M100))</f>
        <v/>
      </c>
      <c r="P90" s="17"/>
    </row>
    <row r="91" spans="4:17">
      <c r="M91" s="10"/>
      <c r="N91" s="14"/>
      <c r="O91" s="10"/>
      <c r="P91" s="10"/>
    </row>
    <row r="92" spans="4:17">
      <c r="M92" s="10"/>
      <c r="N92" s="14"/>
      <c r="O92" s="10"/>
      <c r="P92" s="10"/>
    </row>
    <row r="93" spans="4:17">
      <c r="M93" s="10"/>
      <c r="N93" s="14"/>
      <c r="O93" s="10"/>
      <c r="P93" s="10"/>
    </row>
    <row r="94" spans="4:17">
      <c r="M94" s="10"/>
      <c r="N94" s="14"/>
      <c r="O94" s="10"/>
      <c r="P94" s="10"/>
    </row>
    <row r="95" spans="4:17">
      <c r="M95" s="10"/>
      <c r="N95" s="14"/>
      <c r="O95" s="10"/>
      <c r="P95" s="10"/>
    </row>
    <row r="96" spans="4:17">
      <c r="M96" s="10"/>
      <c r="N96" s="14"/>
      <c r="O96" s="10"/>
      <c r="P96" s="10"/>
    </row>
    <row r="97" spans="13:16">
      <c r="M97" s="10"/>
      <c r="N97" s="14"/>
      <c r="O97" s="10"/>
      <c r="P97" s="10"/>
    </row>
    <row r="98" spans="13:16">
      <c r="M98" s="10"/>
      <c r="N98" s="14"/>
      <c r="O98" s="10"/>
      <c r="P98" s="10"/>
    </row>
    <row r="99" spans="13:16">
      <c r="M99" s="10"/>
      <c r="N99" s="14"/>
      <c r="O99" s="10"/>
      <c r="P99" s="10"/>
    </row>
    <row r="100" spans="13:16" ht="13" thickBot="1">
      <c r="M100" s="9" t="str">
        <f>IF(OR(L95="",L105=""),"",+IF(L95&gt;L105,K95,K105))</f>
        <v/>
      </c>
      <c r="N100" s="16"/>
      <c r="O100" s="10"/>
      <c r="P100" s="10"/>
    </row>
    <row r="101" spans="13:16">
      <c r="M101" s="10"/>
      <c r="N101" s="10"/>
      <c r="O101" s="10"/>
      <c r="P101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Plan34"/>
  <dimension ref="D4:AG87"/>
  <sheetViews>
    <sheetView showGridLines="0" topLeftCell="A48" zoomScale="75" workbookViewId="0">
      <selection activeCell="I14" sqref="I14"/>
    </sheetView>
  </sheetViews>
  <sheetFormatPr defaultColWidth="9.1171875" defaultRowHeight="12.7"/>
  <cols>
    <col min="5" max="5" width="21.41015625" bestFit="1" customWidth="1"/>
    <col min="6" max="6" width="3.64453125" customWidth="1"/>
    <col min="7" max="7" width="21.41015625" bestFit="1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6" max="16" width="3.64453125" customWidth="1"/>
    <col min="17" max="17" width="19.64453125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E38</f>
        <v>0</v>
      </c>
      <c r="V6" t="s">
        <v>77</v>
      </c>
      <c r="W6" s="29">
        <f>E40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>
        <v>0</v>
      </c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E47</f>
        <v>0</v>
      </c>
      <c r="V7" t="s">
        <v>77</v>
      </c>
      <c r="W7" s="29">
        <f>E49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E75</f>
        <v>0</v>
      </c>
      <c r="V8" t="s">
        <v>77</v>
      </c>
      <c r="W8" s="29">
        <f>E77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210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E7</f>
        <v>0</v>
      </c>
      <c r="V9" t="s">
        <v>77</v>
      </c>
      <c r="W9" s="29" t="s">
        <v>78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LOOKUP(AD9,T$5:T$78,U$5:U$42)</f>
        <v>0</v>
      </c>
      <c r="AF9" s="37" t="s">
        <v>157</v>
      </c>
      <c r="AG9" s="65">
        <f t="shared" ref="AG9:AG19" ca="1" si="1">LOOKUP(AD9,T$5:T$78,W$5:W$41)</f>
        <v>0</v>
      </c>
    </row>
    <row r="10" spans="4:33" ht="13" thickBot="1">
      <c r="D10">
        <v>2</v>
      </c>
      <c r="E10" s="9">
        <v>0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E14</f>
        <v>0</v>
      </c>
      <c r="V10" t="s">
        <v>77</v>
      </c>
      <c r="W10" s="29">
        <f>E16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E18</f>
        <v>0</v>
      </c>
      <c r="V11" t="s">
        <v>77</v>
      </c>
      <c r="W11" s="29">
        <f>E20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</row>
    <row r="12" spans="4:33" ht="13" thickBot="1">
      <c r="D12">
        <v>3</v>
      </c>
      <c r="E12" s="9">
        <v>0</v>
      </c>
      <c r="F12" s="16"/>
      <c r="G12" s="10"/>
      <c r="H12" s="10"/>
      <c r="I12" s="10"/>
      <c r="J12" s="14" t="s">
        <v>244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E22</f>
        <v>0</v>
      </c>
      <c r="V12" t="s">
        <v>77</v>
      </c>
      <c r="W12" s="29">
        <f>E24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</row>
    <row r="13" spans="4:33">
      <c r="E13" s="10"/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E26</f>
        <v>0</v>
      </c>
      <c r="V13" t="s">
        <v>77</v>
      </c>
      <c r="W13" s="29">
        <f>E28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 t="str">
        <f t="shared" ca="1" si="1"/>
        <v>Venc.J1</v>
      </c>
    </row>
    <row r="14" spans="4:33" ht="13" thickBot="1">
      <c r="D14">
        <v>4</v>
      </c>
      <c r="E14" s="9">
        <v>0</v>
      </c>
      <c r="F14" s="9"/>
      <c r="G14" s="9">
        <f>E14</f>
        <v>0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E30</f>
        <v>0</v>
      </c>
      <c r="V14" t="s">
        <v>77</v>
      </c>
      <c r="W14" s="29">
        <f>E32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</row>
    <row r="15" spans="4:33" ht="13" thickBot="1">
      <c r="E15" s="12"/>
      <c r="F15" s="12"/>
      <c r="G15" s="10"/>
      <c r="H15" s="13" t="s">
        <v>212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E34</f>
        <v>0</v>
      </c>
      <c r="V15" t="s">
        <v>77</v>
      </c>
      <c r="W15" s="29">
        <f>E36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</row>
    <row r="16" spans="4:33" ht="13" thickBot="1">
      <c r="D16">
        <v>5</v>
      </c>
      <c r="E16" s="9">
        <v>0</v>
      </c>
      <c r="F16" s="9"/>
      <c r="G16" s="9">
        <f>E16</f>
        <v>0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 t="s">
        <v>160</v>
      </c>
      <c r="V16" t="s">
        <v>77</v>
      </c>
      <c r="W16" s="29">
        <f>E42</f>
        <v>0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260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E44</f>
        <v>0</v>
      </c>
      <c r="V17" t="s">
        <v>77</v>
      </c>
      <c r="W17" s="29" t="s">
        <v>266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</row>
    <row r="18" spans="4:33" ht="13" thickBot="1">
      <c r="D18">
        <v>6</v>
      </c>
      <c r="E18" s="9">
        <v>0</v>
      </c>
      <c r="F18" s="9"/>
      <c r="G18" s="9">
        <f>E18</f>
        <v>0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E51</f>
        <v>0</v>
      </c>
      <c r="V18" t="s">
        <v>77</v>
      </c>
      <c r="W18" s="29">
        <f>E53</f>
        <v>0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>
        <f t="shared" ca="1" si="1"/>
        <v>0</v>
      </c>
    </row>
    <row r="19" spans="4:33" ht="13" thickBot="1">
      <c r="E19" s="10"/>
      <c r="F19" s="10"/>
      <c r="G19" s="12"/>
      <c r="H19" s="13" t="s">
        <v>214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E55</f>
        <v>0</v>
      </c>
      <c r="V19" t="s">
        <v>77</v>
      </c>
      <c r="W19" s="29">
        <f>E57</f>
        <v>0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>
        <f t="shared" ca="1" si="1"/>
        <v>0</v>
      </c>
    </row>
    <row r="20" spans="4:33" ht="13" thickBot="1">
      <c r="D20">
        <v>7</v>
      </c>
      <c r="E20" s="9">
        <v>0</v>
      </c>
      <c r="F20" s="9"/>
      <c r="G20" s="9">
        <f>E20</f>
        <v>0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E59</f>
        <v>0</v>
      </c>
      <c r="V20" t="s">
        <v>77</v>
      </c>
      <c r="W20" s="29">
        <f>E61</f>
        <v>0</v>
      </c>
      <c r="Z20" s="34"/>
      <c r="AA20" s="40"/>
      <c r="AB20" s="40"/>
      <c r="AC20" s="38" t="s">
        <v>159</v>
      </c>
      <c r="AD20" s="48">
        <v>12</v>
      </c>
      <c r="AE20" s="53" t="str">
        <f t="shared" ref="AE20:AE30" ca="1" si="2">LOOKUP(AD20,T$5:T$78,U$5:U$42)</f>
        <v>Venc.J2</v>
      </c>
      <c r="AF20" s="37" t="s">
        <v>157</v>
      </c>
      <c r="AG20" s="65">
        <f t="shared" ref="AG20:AG30" ca="1" si="3">LOOKUP(AD20,T$5:T$78,W$5:W$41)</f>
        <v>0</v>
      </c>
    </row>
    <row r="21" spans="4:33" ht="13" thickBot="1">
      <c r="E21" s="10"/>
      <c r="F21" s="10"/>
      <c r="G21" s="12"/>
      <c r="H21" s="10"/>
      <c r="I21" s="10"/>
      <c r="J21" s="14" t="s">
        <v>246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E63</f>
        <v>0</v>
      </c>
      <c r="V21" t="s">
        <v>77</v>
      </c>
      <c r="W21" s="29">
        <f>E65</f>
        <v>0</v>
      </c>
      <c r="Z21" s="34"/>
      <c r="AA21" s="40"/>
      <c r="AB21" s="40"/>
      <c r="AC21" s="38" t="s">
        <v>159</v>
      </c>
      <c r="AD21" s="48">
        <v>13</v>
      </c>
      <c r="AE21" s="53">
        <f t="shared" ca="1" si="2"/>
        <v>0</v>
      </c>
      <c r="AF21" s="37" t="s">
        <v>157</v>
      </c>
      <c r="AG21" s="65" t="str">
        <f t="shared" ca="1" si="3"/>
        <v>VencJ3</v>
      </c>
    </row>
    <row r="22" spans="4:33" ht="13" thickBot="1">
      <c r="D22">
        <v>8</v>
      </c>
      <c r="E22" s="9">
        <v>0</v>
      </c>
      <c r="F22" s="9"/>
      <c r="G22" s="9">
        <f>E22</f>
        <v>0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E67</f>
        <v>0</v>
      </c>
      <c r="V22" t="s">
        <v>77</v>
      </c>
      <c r="W22" s="29">
        <f>E69</f>
        <v>0</v>
      </c>
      <c r="Z22" s="34"/>
      <c r="AA22" s="40"/>
      <c r="AB22" s="40"/>
      <c r="AC22" s="38" t="s">
        <v>159</v>
      </c>
      <c r="AD22" s="48">
        <v>14</v>
      </c>
      <c r="AE22" s="53">
        <f t="shared" ca="1" si="2"/>
        <v>0</v>
      </c>
      <c r="AF22" s="37" t="s">
        <v>157</v>
      </c>
      <c r="AG22" s="65">
        <f t="shared" ca="1" si="3"/>
        <v>0</v>
      </c>
    </row>
    <row r="23" spans="4:33" ht="13" thickBot="1">
      <c r="E23" s="10"/>
      <c r="F23" s="10"/>
      <c r="G23" s="12"/>
      <c r="H23" s="13" t="s">
        <v>217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>
        <f>G71</f>
        <v>0</v>
      </c>
      <c r="V23" t="s">
        <v>77</v>
      </c>
      <c r="W23" s="29">
        <f>G73</f>
        <v>0</v>
      </c>
      <c r="Z23" s="34"/>
      <c r="AA23" s="40"/>
      <c r="AB23" s="40"/>
      <c r="AC23" s="38" t="s">
        <v>159</v>
      </c>
      <c r="AD23" s="48">
        <v>15</v>
      </c>
      <c r="AE23" s="53">
        <f t="shared" ca="1" si="2"/>
        <v>0</v>
      </c>
      <c r="AF23" s="37" t="s">
        <v>157</v>
      </c>
      <c r="AG23" s="65">
        <f t="shared" ca="1" si="3"/>
        <v>0</v>
      </c>
    </row>
    <row r="24" spans="4:33" ht="13" thickBot="1">
      <c r="D24">
        <v>9</v>
      </c>
      <c r="E24" s="9">
        <v>0</v>
      </c>
      <c r="F24" s="9"/>
      <c r="G24" s="9">
        <f>E24</f>
        <v>0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 t="s">
        <v>81</v>
      </c>
      <c r="V24" t="s">
        <v>77</v>
      </c>
      <c r="W24" s="29">
        <f>E79</f>
        <v>0</v>
      </c>
      <c r="Z24" s="34"/>
      <c r="AA24" s="40"/>
      <c r="AB24" s="40"/>
      <c r="AC24" s="38" t="s">
        <v>159</v>
      </c>
      <c r="AD24" s="48">
        <v>16</v>
      </c>
      <c r="AE24" s="53">
        <f t="shared" ca="1" si="2"/>
        <v>0</v>
      </c>
      <c r="AF24" s="37" t="s">
        <v>157</v>
      </c>
      <c r="AG24" s="65">
        <f t="shared" ca="1" si="3"/>
        <v>0</v>
      </c>
    </row>
    <row r="25" spans="4:33" ht="13" thickBot="1">
      <c r="E25" s="10"/>
      <c r="F25" s="10"/>
      <c r="G25" s="10"/>
      <c r="H25" s="10"/>
      <c r="I25" s="10"/>
      <c r="J25" s="10"/>
      <c r="K25" s="10"/>
      <c r="L25" s="10"/>
      <c r="M25" s="10"/>
      <c r="N25" s="14" t="s">
        <v>213</v>
      </c>
      <c r="O25" s="9" t="str">
        <f>IF(OR(N17="",N33=""),"",+IF(N17&gt;N33,M17,M33))</f>
        <v/>
      </c>
      <c r="P25" s="17"/>
      <c r="Q25" s="10"/>
      <c r="T25">
        <v>21</v>
      </c>
      <c r="U25" s="28" t="s">
        <v>162</v>
      </c>
      <c r="V25" t="s">
        <v>77</v>
      </c>
      <c r="W25" s="29" t="s">
        <v>163</v>
      </c>
      <c r="Z25" s="34"/>
      <c r="AA25" s="40"/>
      <c r="AB25" s="40"/>
      <c r="AC25" s="38" t="s">
        <v>159</v>
      </c>
      <c r="AD25" s="48">
        <v>17</v>
      </c>
      <c r="AE25" s="53">
        <f t="shared" ca="1" si="2"/>
        <v>0</v>
      </c>
      <c r="AF25" s="37" t="s">
        <v>157</v>
      </c>
      <c r="AG25" s="65">
        <f t="shared" ca="1" si="3"/>
        <v>0</v>
      </c>
    </row>
    <row r="26" spans="4:33" ht="13" thickBot="1">
      <c r="D26">
        <v>10</v>
      </c>
      <c r="E26" s="9">
        <v>0</v>
      </c>
      <c r="F26" s="9"/>
      <c r="G26" s="9">
        <f>E26</f>
        <v>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 t="s">
        <v>84</v>
      </c>
      <c r="V26" t="s">
        <v>77</v>
      </c>
      <c r="W26" s="29" t="s">
        <v>164</v>
      </c>
      <c r="Z26" s="34"/>
      <c r="AA26" s="40"/>
      <c r="AB26" s="40"/>
      <c r="AC26" s="38" t="s">
        <v>159</v>
      </c>
      <c r="AD26" s="48">
        <v>18</v>
      </c>
      <c r="AE26" s="53">
        <f t="shared" ca="1" si="2"/>
        <v>0</v>
      </c>
      <c r="AF26" s="37" t="s">
        <v>157</v>
      </c>
      <c r="AG26" s="65">
        <f t="shared" ca="1" si="3"/>
        <v>0</v>
      </c>
    </row>
    <row r="27" spans="4:33" ht="13" thickBot="1">
      <c r="E27" s="10"/>
      <c r="F27" s="10"/>
      <c r="G27" s="12"/>
      <c r="H27" s="13" t="s">
        <v>219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 t="s">
        <v>86</v>
      </c>
      <c r="V27" t="s">
        <v>77</v>
      </c>
      <c r="W27" s="29" t="s">
        <v>87</v>
      </c>
      <c r="Z27" s="34"/>
      <c r="AA27" s="40"/>
      <c r="AB27" s="40"/>
      <c r="AC27" s="38" t="s">
        <v>159</v>
      </c>
      <c r="AD27" s="48">
        <v>19</v>
      </c>
      <c r="AE27" s="53">
        <f t="shared" ca="1" si="2"/>
        <v>0</v>
      </c>
      <c r="AF27" s="37" t="s">
        <v>157</v>
      </c>
      <c r="AG27" s="65">
        <f t="shared" ca="1" si="3"/>
        <v>0</v>
      </c>
    </row>
    <row r="28" spans="4:33" ht="13" thickBot="1">
      <c r="D28">
        <v>11</v>
      </c>
      <c r="E28" s="9">
        <v>0</v>
      </c>
      <c r="F28" s="9"/>
      <c r="G28" s="9">
        <f>E28</f>
        <v>0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 t="s">
        <v>88</v>
      </c>
      <c r="V28" t="s">
        <v>77</v>
      </c>
      <c r="W28" s="29" t="s">
        <v>89</v>
      </c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Venc.J4</v>
      </c>
      <c r="AF28" s="37" t="s">
        <v>157</v>
      </c>
      <c r="AG28" s="65">
        <f t="shared" ca="1" si="3"/>
        <v>0</v>
      </c>
    </row>
    <row r="29" spans="4:33" ht="13" thickBot="1">
      <c r="E29" s="10"/>
      <c r="F29" s="10"/>
      <c r="G29" s="12"/>
      <c r="H29" s="10"/>
      <c r="I29" s="10"/>
      <c r="J29" s="14" t="s">
        <v>248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 t="s">
        <v>90</v>
      </c>
      <c r="V29" t="s">
        <v>77</v>
      </c>
      <c r="W29" s="29" t="s">
        <v>91</v>
      </c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Venc.J5</v>
      </c>
      <c r="AF29" s="37" t="s">
        <v>157</v>
      </c>
      <c r="AG29" s="65" t="str">
        <f t="shared" ca="1" si="3"/>
        <v>Venc.J6</v>
      </c>
    </row>
    <row r="30" spans="4:33" ht="13" thickBot="1">
      <c r="D30">
        <v>12</v>
      </c>
      <c r="E30" s="9">
        <v>0</v>
      </c>
      <c r="F30" s="9"/>
      <c r="G30" s="9">
        <f>E30</f>
        <v>0</v>
      </c>
      <c r="H30" s="11"/>
      <c r="I30" s="10"/>
      <c r="J30" s="14"/>
      <c r="K30" s="10"/>
      <c r="L30" s="14"/>
      <c r="M30" s="10"/>
      <c r="N30" s="14"/>
      <c r="O30" s="10"/>
      <c r="P30" s="14"/>
      <c r="Q30" s="10"/>
      <c r="T30">
        <v>26</v>
      </c>
      <c r="U30" s="28" t="s">
        <v>92</v>
      </c>
      <c r="V30" t="s">
        <v>77</v>
      </c>
      <c r="W30" s="29" t="s">
        <v>165</v>
      </c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Venc.J7</v>
      </c>
      <c r="AF30" s="37" t="s">
        <v>157</v>
      </c>
      <c r="AG30" s="65" t="str">
        <f t="shared" ca="1" si="3"/>
        <v>Venc.J8</v>
      </c>
    </row>
    <row r="31" spans="4:33" ht="13" thickBot="1">
      <c r="E31" s="10"/>
      <c r="F31" s="10"/>
      <c r="G31" s="12"/>
      <c r="H31" s="13" t="s">
        <v>221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 t="s">
        <v>94</v>
      </c>
      <c r="V31" t="s">
        <v>77</v>
      </c>
      <c r="W31" s="29" t="s">
        <v>95</v>
      </c>
      <c r="Z31" s="34"/>
      <c r="AA31" s="40"/>
      <c r="AB31" s="40"/>
      <c r="AC31" s="38" t="s">
        <v>159</v>
      </c>
      <c r="AD31" s="48">
        <v>23</v>
      </c>
      <c r="AE31" s="53" t="str">
        <f t="shared" ref="AE31:AE39" ca="1" si="4">LOOKUP(AD31,T$5:T$78,U$5:U$42)</f>
        <v>Venc.J9</v>
      </c>
      <c r="AF31" s="37" t="s">
        <v>157</v>
      </c>
      <c r="AG31" s="65" t="str">
        <f t="shared" ref="AG31:AG39" ca="1" si="5">LOOKUP(AD31,T$5:T$78,W$5:W$41)</f>
        <v>Venc.J10</v>
      </c>
    </row>
    <row r="32" spans="4:33" ht="13" thickBot="1">
      <c r="D32">
        <v>13</v>
      </c>
      <c r="E32" s="9">
        <v>0</v>
      </c>
      <c r="F32" s="9"/>
      <c r="G32" s="9">
        <f>E32</f>
        <v>0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 t="s">
        <v>96</v>
      </c>
      <c r="V32" t="s">
        <v>77</v>
      </c>
      <c r="W32" s="29" t="s">
        <v>97</v>
      </c>
      <c r="Z32" s="34"/>
      <c r="AA32" s="40"/>
      <c r="AB32" s="40"/>
      <c r="AC32" s="38" t="s">
        <v>159</v>
      </c>
      <c r="AD32" s="48">
        <v>24</v>
      </c>
      <c r="AE32" s="53" t="str">
        <f t="shared" ca="1" si="4"/>
        <v>Venc.J11</v>
      </c>
      <c r="AF32" s="37" t="s">
        <v>157</v>
      </c>
      <c r="AG32" s="65" t="str">
        <f t="shared" ca="1" si="5"/>
        <v>Venc.J12</v>
      </c>
    </row>
    <row r="33" spans="4:33" ht="13" thickBot="1">
      <c r="E33" s="10"/>
      <c r="F33" s="10"/>
      <c r="G33" s="10"/>
      <c r="H33" s="10"/>
      <c r="I33" s="10"/>
      <c r="J33" s="10"/>
      <c r="K33" s="10"/>
      <c r="L33" s="14" t="s">
        <v>201</v>
      </c>
      <c r="M33" s="9" t="str">
        <f>IF(OR(L29="",L38=""),"",+IF(L29&gt;L38,K29,K38))</f>
        <v/>
      </c>
      <c r="N33" s="16"/>
      <c r="O33" s="10"/>
      <c r="P33" s="14"/>
      <c r="Q33" s="10"/>
      <c r="T33">
        <v>29</v>
      </c>
      <c r="U33" s="28" t="s">
        <v>98</v>
      </c>
      <c r="V33" t="s">
        <v>77</v>
      </c>
      <c r="W33" s="29" t="s">
        <v>99</v>
      </c>
      <c r="Z33" s="34"/>
      <c r="AA33" s="40"/>
      <c r="AB33" s="40"/>
      <c r="AC33" s="38" t="s">
        <v>159</v>
      </c>
      <c r="AD33" s="48">
        <v>25</v>
      </c>
      <c r="AE33" s="53" t="str">
        <f t="shared" ca="1" si="4"/>
        <v>Venc.J13</v>
      </c>
      <c r="AF33" s="37" t="s">
        <v>157</v>
      </c>
      <c r="AG33" s="65" t="str">
        <f t="shared" ca="1" si="5"/>
        <v>Venc.J14</v>
      </c>
    </row>
    <row r="34" spans="4:33" ht="13" thickBot="1">
      <c r="D34">
        <v>14</v>
      </c>
      <c r="E34" s="9">
        <v>0</v>
      </c>
      <c r="F34" s="9"/>
      <c r="G34" s="9">
        <f>E34</f>
        <v>0</v>
      </c>
      <c r="H34" s="11"/>
      <c r="I34" s="10"/>
      <c r="J34" s="10"/>
      <c r="K34" s="10"/>
      <c r="L34" s="14"/>
      <c r="M34" s="10"/>
      <c r="N34" s="10"/>
      <c r="O34" s="10"/>
      <c r="P34" s="14"/>
      <c r="Q34" s="10"/>
      <c r="T34">
        <v>30</v>
      </c>
      <c r="U34" s="28" t="s">
        <v>100</v>
      </c>
      <c r="V34" t="s">
        <v>77</v>
      </c>
      <c r="W34" s="29" t="s">
        <v>101</v>
      </c>
      <c r="Z34" s="34"/>
      <c r="AA34" s="40"/>
      <c r="AB34" s="40"/>
      <c r="AC34" s="38" t="s">
        <v>159</v>
      </c>
      <c r="AD34" s="48">
        <v>26</v>
      </c>
      <c r="AE34" s="53" t="str">
        <f t="shared" ca="1" si="4"/>
        <v>Venc.J15</v>
      </c>
      <c r="AF34" s="37" t="s">
        <v>157</v>
      </c>
      <c r="AG34" s="65" t="str">
        <f t="shared" ca="1" si="5"/>
        <v>Venc.J16</v>
      </c>
    </row>
    <row r="35" spans="4:33" ht="13" thickBot="1">
      <c r="E35" s="10"/>
      <c r="F35" s="10"/>
      <c r="G35" s="12"/>
      <c r="H35" s="13" t="s">
        <v>223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 t="s">
        <v>102</v>
      </c>
      <c r="V35" t="s">
        <v>77</v>
      </c>
      <c r="W35" s="29" t="s">
        <v>103</v>
      </c>
      <c r="Z35" s="34"/>
      <c r="AA35" s="40"/>
      <c r="AB35" s="40"/>
      <c r="AC35" s="38" t="s">
        <v>159</v>
      </c>
      <c r="AD35" s="48">
        <v>27</v>
      </c>
      <c r="AE35" s="53" t="str">
        <f t="shared" ca="1" si="4"/>
        <v>Venc.J17</v>
      </c>
      <c r="AF35" s="37" t="s">
        <v>157</v>
      </c>
      <c r="AG35" s="65" t="str">
        <f t="shared" ca="1" si="5"/>
        <v>Venc.J18</v>
      </c>
    </row>
    <row r="36" spans="4:33" ht="13" thickBot="1">
      <c r="D36">
        <v>15</v>
      </c>
      <c r="E36" s="9">
        <v>0</v>
      </c>
      <c r="F36" s="9"/>
      <c r="G36" s="9">
        <f>E36</f>
        <v>0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 t="s">
        <v>104</v>
      </c>
      <c r="V36" t="s">
        <v>77</v>
      </c>
      <c r="W36" s="29" t="s">
        <v>105</v>
      </c>
      <c r="Z36" s="34"/>
      <c r="AA36" s="40"/>
      <c r="AB36" s="40"/>
      <c r="AC36" s="38" t="s">
        <v>159</v>
      </c>
      <c r="AD36" s="48">
        <v>28</v>
      </c>
      <c r="AE36" s="53" t="str">
        <f t="shared" ca="1" si="4"/>
        <v>Venc.J19</v>
      </c>
      <c r="AF36" s="37" t="s">
        <v>157</v>
      </c>
      <c r="AG36" s="65" t="str">
        <f t="shared" ca="1" si="5"/>
        <v>Venc.J20</v>
      </c>
    </row>
    <row r="37" spans="4:33">
      <c r="E37" s="10"/>
      <c r="F37" s="10"/>
      <c r="G37" s="10"/>
      <c r="H37" s="10"/>
      <c r="I37" s="10"/>
      <c r="J37" s="14"/>
      <c r="K37" s="10"/>
      <c r="L37" s="14"/>
      <c r="M37" s="10"/>
      <c r="N37" s="10"/>
      <c r="O37" s="10"/>
      <c r="P37" s="14"/>
      <c r="Q37" s="10"/>
      <c r="T37">
        <v>33</v>
      </c>
      <c r="U37" s="28" t="s">
        <v>106</v>
      </c>
      <c r="V37" t="s">
        <v>77</v>
      </c>
      <c r="W37" s="29" t="s">
        <v>107</v>
      </c>
      <c r="Z37" s="34"/>
      <c r="AA37" s="40"/>
      <c r="AB37" s="40"/>
      <c r="AC37" s="38" t="s">
        <v>159</v>
      </c>
      <c r="AD37" s="48">
        <v>29</v>
      </c>
      <c r="AE37" s="53" t="str">
        <f t="shared" ca="1" si="4"/>
        <v>Venc.J21</v>
      </c>
      <c r="AF37" s="37" t="s">
        <v>157</v>
      </c>
      <c r="AG37" s="65" t="str">
        <f t="shared" ca="1" si="5"/>
        <v>Venc.J22</v>
      </c>
    </row>
    <row r="38" spans="4:33" ht="13" thickBot="1">
      <c r="D38">
        <v>16</v>
      </c>
      <c r="E38" s="9">
        <v>0</v>
      </c>
      <c r="F38" s="11"/>
      <c r="G38" s="10"/>
      <c r="H38" s="10"/>
      <c r="I38" s="10"/>
      <c r="J38" s="14" t="s">
        <v>250</v>
      </c>
      <c r="K38" s="9" t="str">
        <f>IF(OR(J35="",J41=""),"",+IF(J35&gt;J41,I35,I41))</f>
        <v/>
      </c>
      <c r="L38" s="16"/>
      <c r="M38" s="10"/>
      <c r="N38" s="10"/>
      <c r="O38" s="10"/>
      <c r="P38" s="14"/>
      <c r="Q38" s="10"/>
      <c r="T38">
        <v>34</v>
      </c>
      <c r="U38" s="28" t="s">
        <v>108</v>
      </c>
      <c r="V38" t="s">
        <v>77</v>
      </c>
      <c r="W38" s="29" t="s">
        <v>109</v>
      </c>
      <c r="Z38" s="34"/>
      <c r="AA38" s="40"/>
      <c r="AB38" s="40"/>
      <c r="AC38" s="38" t="s">
        <v>159</v>
      </c>
      <c r="AD38" s="48">
        <v>30</v>
      </c>
      <c r="AE38" s="53" t="str">
        <f t="shared" ca="1" si="4"/>
        <v>Venc.J23</v>
      </c>
      <c r="AF38" s="37" t="s">
        <v>157</v>
      </c>
      <c r="AG38" s="65" t="str">
        <f t="shared" ca="1" si="5"/>
        <v>Venc.J24</v>
      </c>
    </row>
    <row r="39" spans="4:33" ht="13" thickBot="1">
      <c r="E39" s="10"/>
      <c r="F39" s="13" t="s">
        <v>204</v>
      </c>
      <c r="G39" s="9" t="str">
        <f>IF(OR(F38="",F40=""),"",+IF(F38&gt;F40,E38,E40))</f>
        <v/>
      </c>
      <c r="H39" s="11"/>
      <c r="I39" s="10"/>
      <c r="J39" s="14"/>
      <c r="K39" s="10"/>
      <c r="L39" s="10"/>
      <c r="M39" s="10"/>
      <c r="N39" s="10"/>
      <c r="O39" s="10"/>
      <c r="P39" s="14"/>
      <c r="Q39" s="10"/>
      <c r="T39">
        <v>35</v>
      </c>
      <c r="U39" s="28" t="s">
        <v>313</v>
      </c>
      <c r="V39" t="s">
        <v>77</v>
      </c>
      <c r="W39" s="29" t="s">
        <v>314</v>
      </c>
      <c r="Z39" s="34"/>
      <c r="AA39" s="40"/>
      <c r="AB39" s="40"/>
      <c r="AC39" s="38" t="s">
        <v>159</v>
      </c>
      <c r="AD39" s="48">
        <v>31</v>
      </c>
      <c r="AE39" s="53" t="str">
        <f t="shared" ca="1" si="4"/>
        <v>Venc.J25</v>
      </c>
      <c r="AF39" s="37" t="s">
        <v>157</v>
      </c>
      <c r="AG39" s="65" t="str">
        <f t="shared" ca="1" si="5"/>
        <v>Venc.J26</v>
      </c>
    </row>
    <row r="40" spans="4:33" ht="13" thickBot="1">
      <c r="D40">
        <v>17</v>
      </c>
      <c r="E40" s="9">
        <v>0</v>
      </c>
      <c r="F40" s="16"/>
      <c r="G40" s="10"/>
      <c r="H40" s="13"/>
      <c r="I40" s="10"/>
      <c r="J40" s="14"/>
      <c r="K40" s="10"/>
      <c r="L40" s="10"/>
      <c r="M40" s="10"/>
      <c r="N40" s="10"/>
      <c r="O40" s="10"/>
      <c r="P40" s="14"/>
      <c r="Q40" s="10"/>
      <c r="T40">
        <v>36</v>
      </c>
      <c r="U40" s="28" t="s">
        <v>110</v>
      </c>
      <c r="V40" t="s">
        <v>77</v>
      </c>
      <c r="W40" s="29" t="s">
        <v>111</v>
      </c>
      <c r="Z40" s="34"/>
      <c r="AA40" s="40"/>
      <c r="AB40" s="40"/>
      <c r="AC40" s="38" t="s">
        <v>159</v>
      </c>
      <c r="AD40" s="48">
        <v>32</v>
      </c>
      <c r="AE40" s="53" t="str">
        <f t="shared" ref="AE40:AE44" ca="1" si="6">LOOKUP(AD40,T$5:T$78,U$5:U$42)</f>
        <v>Venc.J27</v>
      </c>
      <c r="AF40" s="37" t="s">
        <v>157</v>
      </c>
      <c r="AG40" s="65" t="str">
        <f t="shared" ref="AG40:AG44" ca="1" si="7">LOOKUP(AD40,T$5:T$78,W$5:W$41)</f>
        <v>Venc.J28</v>
      </c>
    </row>
    <row r="41" spans="4:33" ht="13" thickBot="1">
      <c r="E41" s="10"/>
      <c r="F41" s="10"/>
      <c r="G41" s="10"/>
      <c r="H41" s="14" t="s">
        <v>225</v>
      </c>
      <c r="I41" s="9" t="str">
        <f>IF(OR(H39="",H42=""),"",+IF(H39&gt;H42,G39,E42))</f>
        <v/>
      </c>
      <c r="J41" s="16"/>
      <c r="K41" s="10"/>
      <c r="L41" s="10"/>
      <c r="M41" s="10"/>
      <c r="N41" s="10"/>
      <c r="O41" s="10"/>
      <c r="P41" s="14"/>
      <c r="Q41" s="10"/>
      <c r="U41" s="29"/>
      <c r="Z41" s="34"/>
      <c r="AA41" s="40"/>
      <c r="AB41" s="40"/>
      <c r="AC41" s="38" t="s">
        <v>159</v>
      </c>
      <c r="AD41" s="48">
        <v>33</v>
      </c>
      <c r="AE41" s="53" t="str">
        <f t="shared" ca="1" si="6"/>
        <v>Venc.J29</v>
      </c>
      <c r="AF41" s="37" t="s">
        <v>157</v>
      </c>
      <c r="AG41" s="65" t="str">
        <f t="shared" ca="1" si="7"/>
        <v>Venc.J30</v>
      </c>
    </row>
    <row r="42" spans="4:33" ht="13" thickBot="1">
      <c r="D42">
        <v>18</v>
      </c>
      <c r="E42" s="9">
        <v>0</v>
      </c>
      <c r="F42" s="9"/>
      <c r="G42" s="9">
        <f>E42</f>
        <v>0</v>
      </c>
      <c r="H42" s="16"/>
      <c r="I42" s="10"/>
      <c r="J42" s="10"/>
      <c r="K42" s="10"/>
      <c r="L42" s="10"/>
      <c r="M42" s="10"/>
      <c r="N42" s="10"/>
      <c r="O42" s="10"/>
      <c r="P42" s="14"/>
      <c r="Q42" s="10"/>
      <c r="Z42" s="34"/>
      <c r="AA42" s="40"/>
      <c r="AB42" s="40"/>
      <c r="AC42" s="38" t="s">
        <v>159</v>
      </c>
      <c r="AD42" s="48">
        <v>34</v>
      </c>
      <c r="AE42" s="53" t="str">
        <f t="shared" ca="1" si="6"/>
        <v>Venc.J31</v>
      </c>
      <c r="AF42" s="37" t="s">
        <v>157</v>
      </c>
      <c r="AG42" s="65" t="str">
        <f t="shared" ca="1" si="7"/>
        <v>Venc.J32</v>
      </c>
    </row>
    <row r="43" spans="4:33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4"/>
      <c r="Q43" s="10"/>
      <c r="AA43" s="40"/>
      <c r="AB43" s="40"/>
      <c r="AC43" s="38" t="s">
        <v>159</v>
      </c>
      <c r="AD43" s="48">
        <v>35</v>
      </c>
      <c r="AE43" s="53" t="str">
        <f t="shared" ca="1" si="6"/>
        <v>Perd.J.33</v>
      </c>
      <c r="AF43" s="37" t="s">
        <v>157</v>
      </c>
      <c r="AG43" s="65" t="str">
        <f t="shared" ca="1" si="7"/>
        <v>Perd.J34</v>
      </c>
    </row>
    <row r="44" spans="4:33" ht="13" thickBot="1">
      <c r="D44">
        <v>19</v>
      </c>
      <c r="E44" s="9">
        <v>0</v>
      </c>
      <c r="F44" s="9"/>
      <c r="G44" s="9">
        <f>E44</f>
        <v>0</v>
      </c>
      <c r="H44" s="11"/>
      <c r="I44" s="10"/>
      <c r="J44" s="10"/>
      <c r="K44" s="10"/>
      <c r="L44" s="10"/>
      <c r="M44" s="10"/>
      <c r="N44" s="10"/>
      <c r="O44" s="10"/>
      <c r="P44" s="14"/>
      <c r="Q44" s="10"/>
      <c r="AA44" s="40"/>
      <c r="AB44" s="40"/>
      <c r="AC44" s="38" t="s">
        <v>159</v>
      </c>
      <c r="AD44" s="48">
        <v>36</v>
      </c>
      <c r="AE44" s="53" t="str">
        <f t="shared" ca="1" si="6"/>
        <v>Venc.J33</v>
      </c>
      <c r="AF44" s="37" t="s">
        <v>157</v>
      </c>
      <c r="AG44" s="65" t="str">
        <f t="shared" ca="1" si="7"/>
        <v>Venc.J34</v>
      </c>
    </row>
    <row r="45" spans="4:33" ht="13" thickBot="1">
      <c r="E45" s="12"/>
      <c r="F45" s="10"/>
      <c r="G45" s="10"/>
      <c r="H45" s="13"/>
      <c r="I45" s="10"/>
      <c r="J45" s="10"/>
      <c r="K45" s="10"/>
      <c r="L45" s="10"/>
      <c r="M45" s="10"/>
      <c r="N45" s="10"/>
      <c r="O45" s="10"/>
      <c r="P45" s="14" t="s">
        <v>224</v>
      </c>
      <c r="Q45" s="9" t="str">
        <f>IF(OR(P25="",P62=""),"",+IF(P25&gt;P62,O25,O62))</f>
        <v/>
      </c>
      <c r="AA45" s="33"/>
      <c r="AB45" s="33"/>
      <c r="AC45" s="33"/>
      <c r="AD45" s="87"/>
      <c r="AE45" s="88"/>
      <c r="AF45" s="89"/>
      <c r="AG45" s="59"/>
    </row>
    <row r="46" spans="4:33" ht="13" thickBot="1">
      <c r="E46" s="10"/>
      <c r="F46" s="10"/>
      <c r="G46" s="10"/>
      <c r="H46" s="14" t="s">
        <v>227</v>
      </c>
      <c r="I46" s="9" t="str">
        <f>IF(OR(H44="",H48=""),"",+IF(H44&gt;H48,E44,G48))</f>
        <v/>
      </c>
      <c r="J46" s="11"/>
      <c r="K46" s="10"/>
      <c r="L46" s="10"/>
      <c r="M46" s="10"/>
      <c r="N46" s="10"/>
      <c r="O46" s="10"/>
      <c r="P46" s="14"/>
      <c r="Q46" s="10"/>
    </row>
    <row r="47" spans="4:33" ht="13" thickBot="1">
      <c r="D47">
        <v>20</v>
      </c>
      <c r="E47" s="9">
        <v>0</v>
      </c>
      <c r="F47" s="11"/>
      <c r="G47" s="10"/>
      <c r="H47" s="14"/>
      <c r="I47" s="10"/>
      <c r="J47" s="13"/>
      <c r="K47" s="10"/>
      <c r="L47" s="10"/>
      <c r="M47" s="10"/>
      <c r="N47" s="10"/>
      <c r="O47" s="10"/>
      <c r="P47" s="14"/>
      <c r="Q47" s="10"/>
    </row>
    <row r="48" spans="4:33" ht="13" thickBot="1">
      <c r="E48" s="10"/>
      <c r="F48" s="13" t="s">
        <v>206</v>
      </c>
      <c r="G48" s="9" t="str">
        <f>IF(OR(F47="",F49=""),"",+IF(F47&gt;F49,E47,E49))</f>
        <v/>
      </c>
      <c r="H48" s="16"/>
      <c r="I48" s="10"/>
      <c r="J48" s="14"/>
      <c r="K48" s="10"/>
      <c r="L48" s="10"/>
      <c r="M48" s="10"/>
      <c r="N48" s="10"/>
      <c r="O48" s="10"/>
      <c r="P48" s="14"/>
      <c r="Q48" s="10"/>
    </row>
    <row r="49" spans="4:17" ht="13" thickBot="1">
      <c r="D49">
        <v>21</v>
      </c>
      <c r="E49" s="9">
        <v>0</v>
      </c>
      <c r="F49" s="16"/>
      <c r="G49" s="10"/>
      <c r="H49" s="10"/>
      <c r="I49" s="10"/>
      <c r="J49" s="14" t="s">
        <v>252</v>
      </c>
      <c r="K49" s="9" t="str">
        <f>IF(OR(J46="",J52=""),"",+IF(J46&gt;J52,I46,I52))</f>
        <v/>
      </c>
      <c r="L49" s="17"/>
      <c r="M49" s="10"/>
      <c r="N49" s="10"/>
      <c r="O49" s="10"/>
      <c r="P49" s="14"/>
      <c r="Q49" s="10"/>
    </row>
    <row r="50" spans="4:17">
      <c r="E50" s="10"/>
      <c r="F50" s="10"/>
      <c r="G50" s="10"/>
      <c r="H50" s="10"/>
      <c r="I50" s="10"/>
      <c r="J50" s="14"/>
      <c r="K50" s="10"/>
      <c r="L50" s="10"/>
      <c r="M50" s="19"/>
      <c r="N50" s="10"/>
      <c r="O50" s="10"/>
      <c r="P50" s="14"/>
      <c r="Q50" s="10"/>
    </row>
    <row r="51" spans="4:17" ht="13" thickBot="1">
      <c r="D51">
        <v>22</v>
      </c>
      <c r="E51" s="9">
        <v>0</v>
      </c>
      <c r="F51" s="9"/>
      <c r="G51" s="9">
        <f>E51</f>
        <v>0</v>
      </c>
      <c r="H51" s="11"/>
      <c r="I51" s="10"/>
      <c r="J51" s="14"/>
      <c r="K51" s="10"/>
      <c r="L51" s="10"/>
      <c r="M51" s="19"/>
      <c r="N51" s="10"/>
      <c r="O51" s="10"/>
      <c r="P51" s="14"/>
      <c r="Q51" s="10"/>
    </row>
    <row r="52" spans="4:17" ht="13" thickBot="1">
      <c r="E52" s="10"/>
      <c r="F52" s="10"/>
      <c r="G52" s="10"/>
      <c r="H52" s="13" t="s">
        <v>229</v>
      </c>
      <c r="I52" s="9" t="str">
        <f>IF(OR(H51="",H53=""),"",+IF(H51&gt;H53,E51,E53))</f>
        <v/>
      </c>
      <c r="J52" s="16"/>
      <c r="K52" s="10"/>
      <c r="L52" s="10"/>
      <c r="M52" s="19"/>
      <c r="N52" s="10"/>
      <c r="O52" s="10"/>
      <c r="P52" s="14"/>
      <c r="Q52" s="10"/>
    </row>
    <row r="53" spans="4:17" ht="13" thickBot="1">
      <c r="D53">
        <v>23</v>
      </c>
      <c r="E53" s="9">
        <v>0</v>
      </c>
      <c r="F53" s="9"/>
      <c r="G53" s="9">
        <f>E53</f>
        <v>0</v>
      </c>
      <c r="H53" s="16"/>
      <c r="I53" s="10"/>
      <c r="J53" s="10"/>
      <c r="K53" s="10"/>
      <c r="L53" s="10"/>
      <c r="M53" s="19"/>
      <c r="N53" s="10"/>
      <c r="O53" s="10"/>
      <c r="P53" s="14"/>
      <c r="Q53" s="10"/>
    </row>
    <row r="54" spans="4:17" ht="13" thickBot="1">
      <c r="E54" s="10"/>
      <c r="F54" s="10"/>
      <c r="G54" s="10"/>
      <c r="H54" s="10"/>
      <c r="I54" s="10"/>
      <c r="J54" s="10"/>
      <c r="K54" s="10"/>
      <c r="L54" s="14" t="s">
        <v>205</v>
      </c>
      <c r="M54" s="9" t="str">
        <f>IF(OR(L49="",L58=""),"",+IF(L49&gt;L58,K49,K58))</f>
        <v/>
      </c>
      <c r="N54" s="17"/>
      <c r="O54" s="10"/>
      <c r="P54" s="14"/>
      <c r="Q54" s="10"/>
    </row>
    <row r="55" spans="4:17" ht="13" thickBot="1">
      <c r="D55">
        <v>24</v>
      </c>
      <c r="E55" s="9">
        <v>0</v>
      </c>
      <c r="F55" s="9"/>
      <c r="G55" s="9">
        <f>E55</f>
        <v>0</v>
      </c>
      <c r="H55" s="11"/>
      <c r="I55" s="10"/>
      <c r="J55" s="10"/>
      <c r="K55" s="10"/>
      <c r="L55" s="10"/>
      <c r="M55" s="19"/>
      <c r="N55" s="13"/>
      <c r="O55" s="10"/>
      <c r="P55" s="14"/>
      <c r="Q55" s="10"/>
    </row>
    <row r="56" spans="4:17" ht="13" thickBot="1">
      <c r="E56" s="10"/>
      <c r="F56" s="10"/>
      <c r="G56" s="12"/>
      <c r="H56" s="13" t="s">
        <v>232</v>
      </c>
      <c r="I56" s="9" t="str">
        <f>IF(OR(H55="",H57=""),"",+IF(H55&gt;H57,E55,E57))</f>
        <v/>
      </c>
      <c r="J56" s="17"/>
      <c r="K56" s="10"/>
      <c r="L56" s="10"/>
      <c r="M56" s="19"/>
      <c r="N56" s="14"/>
      <c r="O56" s="10"/>
      <c r="P56" s="14"/>
      <c r="Q56" s="10"/>
    </row>
    <row r="57" spans="4:17" ht="13" thickBot="1">
      <c r="D57">
        <v>25</v>
      </c>
      <c r="E57" s="9">
        <v>0</v>
      </c>
      <c r="F57" s="9"/>
      <c r="G57" s="9">
        <f>E57</f>
        <v>0</v>
      </c>
      <c r="H57" s="16"/>
      <c r="I57" s="10"/>
      <c r="J57" s="14"/>
      <c r="K57" s="10"/>
      <c r="L57" s="10"/>
      <c r="M57" s="19"/>
      <c r="N57" s="14"/>
      <c r="O57" s="10"/>
      <c r="P57" s="14"/>
      <c r="Q57" s="10"/>
    </row>
    <row r="58" spans="4:17" ht="13" thickBot="1">
      <c r="E58" s="10"/>
      <c r="F58" s="10"/>
      <c r="G58" s="12"/>
      <c r="H58" s="10"/>
      <c r="I58" s="10"/>
      <c r="J58" s="14" t="s">
        <v>254</v>
      </c>
      <c r="K58" s="9" t="str">
        <f>IF(OR(J56="",J60=""),"",+IF(J56&gt;J60,I56,I60))</f>
        <v/>
      </c>
      <c r="L58" s="16"/>
      <c r="M58" s="19"/>
      <c r="N58" s="14"/>
      <c r="O58" s="10"/>
      <c r="P58" s="14"/>
      <c r="Q58" s="10"/>
    </row>
    <row r="59" spans="4:17" ht="13" thickBot="1">
      <c r="D59">
        <v>26</v>
      </c>
      <c r="E59" s="9">
        <v>0</v>
      </c>
      <c r="F59" s="9"/>
      <c r="G59" s="9">
        <f>E59</f>
        <v>0</v>
      </c>
      <c r="H59" s="11"/>
      <c r="I59" s="10"/>
      <c r="J59" s="14"/>
      <c r="K59" s="10"/>
      <c r="L59" s="10"/>
      <c r="M59" s="10"/>
      <c r="N59" s="14"/>
      <c r="O59" s="10"/>
      <c r="P59" s="14"/>
      <c r="Q59" s="10"/>
    </row>
    <row r="60" spans="4:17" ht="13" thickBot="1">
      <c r="E60" s="10"/>
      <c r="F60" s="10"/>
      <c r="G60" s="12"/>
      <c r="H60" s="13" t="s">
        <v>234</v>
      </c>
      <c r="I60" s="9" t="str">
        <f>IF(OR(H59="",H61=""),"",+IF(H59&gt;H61,E59,E61))</f>
        <v/>
      </c>
      <c r="J60" s="16"/>
      <c r="K60" s="10"/>
      <c r="L60" s="10"/>
      <c r="M60" s="10"/>
      <c r="N60" s="14"/>
      <c r="O60" s="10"/>
      <c r="P60" s="14"/>
      <c r="Q60" s="10"/>
    </row>
    <row r="61" spans="4:17" ht="13" thickBot="1">
      <c r="D61">
        <v>27</v>
      </c>
      <c r="E61" s="9">
        <v>0</v>
      </c>
      <c r="F61" s="9"/>
      <c r="G61" s="9">
        <f>E61</f>
        <v>0</v>
      </c>
      <c r="H61" s="16"/>
      <c r="I61" s="10"/>
      <c r="J61" s="10"/>
      <c r="K61" s="10"/>
      <c r="L61" s="10"/>
      <c r="M61" s="10"/>
      <c r="N61" s="14"/>
      <c r="O61" s="10"/>
      <c r="P61" s="14"/>
      <c r="Q61" s="10"/>
    </row>
    <row r="62" spans="4:17" ht="13" thickBot="1">
      <c r="E62" s="10"/>
      <c r="F62" s="10"/>
      <c r="G62" s="10"/>
      <c r="H62" s="10"/>
      <c r="I62" s="10"/>
      <c r="J62" s="10"/>
      <c r="K62" s="10"/>
      <c r="L62" s="10"/>
      <c r="M62" s="10"/>
      <c r="N62" s="14" t="s">
        <v>216</v>
      </c>
      <c r="O62" s="9" t="str">
        <f>IF(OR(N54="",N70=""),"",+IF(N54&gt;N70,M54,M70))</f>
        <v/>
      </c>
      <c r="P62" s="16"/>
      <c r="Q62" s="10"/>
    </row>
    <row r="63" spans="4:17" ht="13" thickBot="1">
      <c r="D63">
        <v>28</v>
      </c>
      <c r="E63" s="9">
        <v>0</v>
      </c>
      <c r="F63" s="9"/>
      <c r="G63" s="9">
        <f>E63</f>
        <v>0</v>
      </c>
      <c r="H63" s="11"/>
      <c r="I63" s="10"/>
      <c r="J63" s="10"/>
      <c r="K63" s="10"/>
      <c r="L63" s="10"/>
      <c r="M63" s="10"/>
      <c r="N63" s="14"/>
      <c r="O63" s="10"/>
      <c r="P63" s="10"/>
      <c r="Q63" s="10"/>
    </row>
    <row r="64" spans="4:17" ht="13" thickBot="1">
      <c r="E64" s="10"/>
      <c r="F64" s="10"/>
      <c r="G64" s="12"/>
      <c r="H64" s="13" t="s">
        <v>236</v>
      </c>
      <c r="I64" s="9" t="str">
        <f>IF(OR(H63="",H65=""),"",+IF(H63&gt;H65,E63,E65))</f>
        <v/>
      </c>
      <c r="J64" s="17"/>
      <c r="K64" s="10"/>
      <c r="L64" s="10"/>
      <c r="M64" s="10"/>
      <c r="N64" s="14"/>
      <c r="O64" s="10"/>
      <c r="P64" s="10"/>
      <c r="Q64" s="10"/>
    </row>
    <row r="65" spans="4:17" ht="13" thickBot="1">
      <c r="D65">
        <v>29</v>
      </c>
      <c r="E65" s="9">
        <v>0</v>
      </c>
      <c r="F65" s="9"/>
      <c r="G65" s="9">
        <f>E65</f>
        <v>0</v>
      </c>
      <c r="H65" s="16"/>
      <c r="I65" s="10"/>
      <c r="J65" s="14"/>
      <c r="K65" s="10"/>
      <c r="L65" s="10"/>
      <c r="M65" s="10"/>
      <c r="N65" s="14"/>
      <c r="O65" s="10"/>
      <c r="P65" s="10"/>
      <c r="Q65" s="10"/>
    </row>
    <row r="66" spans="4:17" ht="13" thickBot="1">
      <c r="E66" s="10"/>
      <c r="F66" s="10"/>
      <c r="G66" s="12"/>
      <c r="H66" s="10"/>
      <c r="I66" s="10"/>
      <c r="J66" s="14" t="s">
        <v>256</v>
      </c>
      <c r="K66" s="9" t="str">
        <f>IF(OR(J64="",J68=""),"",+IF(J64&gt;J68,I64,I68))</f>
        <v/>
      </c>
      <c r="L66" s="17"/>
      <c r="M66" s="10"/>
      <c r="N66" s="14"/>
      <c r="O66" s="10"/>
      <c r="P66" s="10"/>
      <c r="Q66" s="10"/>
    </row>
    <row r="67" spans="4:17" ht="13" thickBot="1">
      <c r="D67">
        <v>30</v>
      </c>
      <c r="E67" s="9">
        <v>0</v>
      </c>
      <c r="F67" s="9"/>
      <c r="G67" s="9">
        <f>E67</f>
        <v>0</v>
      </c>
      <c r="H67" s="11"/>
      <c r="I67" s="10"/>
      <c r="J67" s="14"/>
      <c r="K67" s="10"/>
      <c r="L67" s="14"/>
      <c r="M67" s="10"/>
      <c r="N67" s="14"/>
      <c r="O67" s="10"/>
      <c r="P67" s="10"/>
      <c r="Q67" s="10"/>
    </row>
    <row r="68" spans="4:17" ht="13" thickBot="1">
      <c r="E68" s="10"/>
      <c r="F68" s="10"/>
      <c r="G68" s="12"/>
      <c r="H68" s="13" t="s">
        <v>238</v>
      </c>
      <c r="I68" s="9" t="str">
        <f>IF(OR(H67="",H69=""),"",+IF(H67&gt;H69,E67,E69))</f>
        <v/>
      </c>
      <c r="J68" s="16"/>
      <c r="K68" s="10"/>
      <c r="L68" s="14"/>
      <c r="M68" s="10"/>
      <c r="N68" s="14"/>
      <c r="O68" s="10"/>
      <c r="P68" s="10"/>
      <c r="Q68" s="10"/>
    </row>
    <row r="69" spans="4:17" ht="13" thickBot="1">
      <c r="D69">
        <v>31</v>
      </c>
      <c r="E69" s="9">
        <v>0</v>
      </c>
      <c r="F69" s="9"/>
      <c r="G69" s="9">
        <f>E69</f>
        <v>0</v>
      </c>
      <c r="H69" s="16"/>
      <c r="I69" s="10"/>
      <c r="J69" s="10"/>
      <c r="K69" s="10"/>
      <c r="L69" s="14"/>
      <c r="M69" s="10"/>
      <c r="N69" s="14"/>
      <c r="O69" s="10"/>
      <c r="P69" s="10"/>
      <c r="Q69" s="10"/>
    </row>
    <row r="70" spans="4:17" ht="13" thickBot="1">
      <c r="E70" s="10"/>
      <c r="F70" s="10"/>
      <c r="G70" s="10"/>
      <c r="H70" s="10"/>
      <c r="I70" s="10"/>
      <c r="J70" s="10"/>
      <c r="K70" s="10"/>
      <c r="L70" s="14" t="s">
        <v>209</v>
      </c>
      <c r="M70" s="9" t="str">
        <f>IF(OR(L66="",L75=""),"",+IF(L66&gt;L75,K66,K75))</f>
        <v/>
      </c>
      <c r="N70" s="16"/>
      <c r="O70" s="10"/>
      <c r="P70" s="10"/>
      <c r="Q70" s="10"/>
    </row>
    <row r="71" spans="4:17" ht="13" thickBot="1">
      <c r="D71">
        <v>32</v>
      </c>
      <c r="E71" s="9">
        <v>0</v>
      </c>
      <c r="F71" s="9"/>
      <c r="G71" s="9">
        <f>E71</f>
        <v>0</v>
      </c>
      <c r="H71" s="11"/>
      <c r="I71" s="10"/>
      <c r="J71" s="10"/>
      <c r="K71" s="10"/>
      <c r="L71" s="14"/>
      <c r="M71" s="10"/>
      <c r="N71" s="10"/>
      <c r="O71" s="10"/>
      <c r="P71" s="10"/>
      <c r="Q71" s="10"/>
    </row>
    <row r="72" spans="4:17" ht="13" thickBot="1">
      <c r="E72" s="10"/>
      <c r="F72" s="10"/>
      <c r="G72" s="12"/>
      <c r="H72" s="13" t="s">
        <v>240</v>
      </c>
      <c r="I72" s="9" t="str">
        <f>IF(OR(H71="",H73=""),"",+IF(H71&gt;H73,E71,E73))</f>
        <v/>
      </c>
      <c r="J72" s="17"/>
      <c r="K72" s="10"/>
      <c r="L72" s="14"/>
      <c r="M72" s="10"/>
      <c r="N72" s="10"/>
      <c r="O72" s="10"/>
      <c r="P72" s="10"/>
      <c r="Q72" s="10"/>
    </row>
    <row r="73" spans="4:17" ht="13" thickBot="1">
      <c r="D73">
        <v>33</v>
      </c>
      <c r="E73" s="9">
        <v>0</v>
      </c>
      <c r="F73" s="9"/>
      <c r="G73" s="9">
        <f>E73</f>
        <v>0</v>
      </c>
      <c r="H73" s="16"/>
      <c r="I73" s="10"/>
      <c r="J73" s="14"/>
      <c r="K73" s="10"/>
      <c r="L73" s="14"/>
      <c r="M73" s="10"/>
      <c r="N73" s="10"/>
      <c r="O73" s="10"/>
      <c r="P73" s="10"/>
      <c r="Q73" s="10"/>
    </row>
    <row r="74" spans="4:17">
      <c r="E74" s="10"/>
      <c r="F74" s="10"/>
      <c r="G74" s="10"/>
      <c r="H74" s="10"/>
      <c r="I74" s="10"/>
      <c r="J74" s="14"/>
      <c r="K74" s="10"/>
      <c r="L74" s="14"/>
      <c r="M74" s="10"/>
      <c r="N74" s="10"/>
      <c r="O74" s="10"/>
      <c r="P74" s="10"/>
      <c r="Q74" s="10"/>
    </row>
    <row r="75" spans="4:17" ht="13" thickBot="1">
      <c r="D75">
        <v>34</v>
      </c>
      <c r="E75" s="9">
        <v>0</v>
      </c>
      <c r="F75" s="11"/>
      <c r="G75" s="10"/>
      <c r="H75" s="10"/>
      <c r="I75" s="10"/>
      <c r="J75" s="14" t="s">
        <v>258</v>
      </c>
      <c r="K75" s="9" t="str">
        <f>IF(OR(J72="",J78=""),"",+IF(J72&gt;J78,I72,I78))</f>
        <v/>
      </c>
      <c r="L75" s="16"/>
      <c r="M75" s="10"/>
      <c r="N75" s="10"/>
      <c r="O75" s="10"/>
      <c r="P75" s="10"/>
      <c r="Q75" s="10"/>
    </row>
    <row r="76" spans="4:17" ht="13" thickBot="1">
      <c r="E76" s="10"/>
      <c r="F76" s="13" t="s">
        <v>208</v>
      </c>
      <c r="G76" s="9" t="str">
        <f>IF(OR(F75="",F77=""),"",+IF(F75&gt;F77,E75,E77))</f>
        <v/>
      </c>
      <c r="H76" s="11"/>
      <c r="I76" s="10"/>
      <c r="J76" s="14"/>
      <c r="K76" s="10"/>
      <c r="L76" s="10"/>
      <c r="M76" s="10"/>
      <c r="N76" s="10"/>
      <c r="O76" s="10"/>
      <c r="P76" s="10"/>
      <c r="Q76" s="10"/>
    </row>
    <row r="77" spans="4:17" ht="13" thickBot="1">
      <c r="D77">
        <v>35</v>
      </c>
      <c r="E77" s="9">
        <v>0</v>
      </c>
      <c r="F77" s="16"/>
      <c r="G77" s="10"/>
      <c r="H77" s="13" t="s">
        <v>242</v>
      </c>
      <c r="I77" s="10"/>
      <c r="J77" s="14"/>
      <c r="K77" s="10"/>
      <c r="L77" s="10"/>
      <c r="M77" s="10"/>
      <c r="N77" s="10"/>
      <c r="O77" s="9" t="str">
        <f>IF(OR(N75="",N79=""),"",+IF(N75&gt;N79,M75,M79))</f>
        <v/>
      </c>
      <c r="P77" s="17"/>
      <c r="Q77" s="10"/>
    </row>
    <row r="78" spans="4:17" ht="13" thickBot="1">
      <c r="E78" s="10"/>
      <c r="F78" s="10"/>
      <c r="G78" s="10"/>
      <c r="H78" s="14"/>
      <c r="I78" s="9" t="str">
        <f>IF(OR(H76="",H79=""),"",+IF(H76&gt;H79,G76,E79))</f>
        <v/>
      </c>
      <c r="J78" s="16"/>
      <c r="K78" s="10"/>
      <c r="L78" s="10"/>
      <c r="M78" s="10"/>
      <c r="N78" s="10"/>
      <c r="O78" s="10"/>
      <c r="P78" s="14"/>
      <c r="Q78" s="10"/>
    </row>
    <row r="79" spans="4:17" ht="13" thickBot="1">
      <c r="D79">
        <v>36</v>
      </c>
      <c r="E79" s="9">
        <v>0</v>
      </c>
      <c r="F79" s="9"/>
      <c r="G79" s="9">
        <f>E79</f>
        <v>0</v>
      </c>
      <c r="H79" s="16"/>
      <c r="I79" s="10"/>
      <c r="J79" s="10"/>
      <c r="K79" s="10"/>
      <c r="L79" s="10"/>
      <c r="M79" s="10"/>
      <c r="N79" s="10"/>
      <c r="O79" s="10"/>
      <c r="P79" s="14"/>
      <c r="Q79" s="10"/>
    </row>
    <row r="80" spans="4:17">
      <c r="O80" s="10"/>
      <c r="P80" s="14"/>
      <c r="Q80" s="10"/>
    </row>
    <row r="81" spans="15:17" ht="13" thickBot="1">
      <c r="O81" s="10"/>
      <c r="P81" s="14" t="s">
        <v>220</v>
      </c>
      <c r="Q81" s="9" t="str">
        <f>IF(OR(P77="",P86=""),"",+IF(P77&gt;P86,O77,O86))</f>
        <v/>
      </c>
    </row>
    <row r="82" spans="15:17">
      <c r="O82" s="10"/>
      <c r="P82" s="14"/>
      <c r="Q82" s="10"/>
    </row>
    <row r="83" spans="15:17">
      <c r="O83" s="10"/>
      <c r="P83" s="14"/>
      <c r="Q83" s="10"/>
    </row>
    <row r="84" spans="15:17">
      <c r="O84" s="10"/>
      <c r="P84" s="14"/>
      <c r="Q84" s="10"/>
    </row>
    <row r="85" spans="15:17">
      <c r="O85" s="10"/>
      <c r="P85" s="14"/>
      <c r="Q85" s="10"/>
    </row>
    <row r="86" spans="15:17" ht="13" thickBot="1">
      <c r="O86" s="9" t="str">
        <f>IF(OR(N83="",N89=""),"",+IF(N83&gt;N89,M83,M89))</f>
        <v/>
      </c>
      <c r="P86" s="16"/>
      <c r="Q86" s="10"/>
    </row>
    <row r="87" spans="15:17">
      <c r="O87" s="10"/>
      <c r="P87" s="10"/>
      <c r="Q87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verticalDpi="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Plan33"/>
  <dimension ref="D4:AG93"/>
  <sheetViews>
    <sheetView showGridLines="0" topLeftCell="A24" zoomScale="75" workbookViewId="0">
      <selection activeCell="I14" sqref="I14"/>
    </sheetView>
  </sheetViews>
  <sheetFormatPr defaultColWidth="9.1171875" defaultRowHeight="12.7"/>
  <cols>
    <col min="4" max="4" width="3.52734375" bestFit="1" customWidth="1"/>
    <col min="5" max="5" width="21.64453125" bestFit="1" customWidth="1"/>
    <col min="6" max="6" width="3.64453125" customWidth="1"/>
    <col min="7" max="7" width="21.64453125" bestFit="1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5" max="15" width="13.87890625" customWidth="1"/>
    <col min="16" max="16" width="3.64453125" customWidth="1"/>
    <col min="17" max="17" width="13.1171875" customWidth="1"/>
    <col min="21" max="21" width="18" style="28" customWidth="1"/>
    <col min="22" max="22" width="2.41015625" customWidth="1"/>
    <col min="23" max="23" width="21.41015625" style="29" bestFit="1" customWidth="1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21.41015625" style="29" bestFit="1" customWidth="1"/>
  </cols>
  <sheetData>
    <row r="4" spans="4:33" ht="13" thickBot="1"/>
    <row r="5" spans="4:33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</row>
    <row r="6" spans="4:33">
      <c r="T6">
        <v>2</v>
      </c>
      <c r="U6" s="28">
        <f>E45</f>
        <v>0</v>
      </c>
      <c r="V6" t="s">
        <v>77</v>
      </c>
      <c r="W6" s="29">
        <f>E47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</row>
    <row r="7" spans="4:33" ht="13" thickBot="1">
      <c r="D7">
        <v>1</v>
      </c>
      <c r="E7" s="9">
        <v>0</v>
      </c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E73</f>
        <v>0</v>
      </c>
      <c r="V7" t="s">
        <v>77</v>
      </c>
      <c r="W7" s="29">
        <f>E75</f>
        <v>0</v>
      </c>
      <c r="Z7" s="34"/>
      <c r="AA7" s="102"/>
      <c r="AB7" s="103"/>
      <c r="AC7" s="103"/>
      <c r="AD7" s="103"/>
      <c r="AE7" s="103"/>
      <c r="AF7" s="103"/>
      <c r="AG7" s="104"/>
    </row>
    <row r="8" spans="4:33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E7</f>
        <v>0</v>
      </c>
      <c r="V8" t="s">
        <v>77</v>
      </c>
      <c r="W8" s="29" t="s">
        <v>78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</row>
    <row r="9" spans="4:33" ht="13" thickBot="1">
      <c r="E9" s="10"/>
      <c r="F9" s="10"/>
      <c r="G9" s="10"/>
      <c r="H9" s="14" t="s">
        <v>208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E14</f>
        <v>0</v>
      </c>
      <c r="V9" t="s">
        <v>77</v>
      </c>
      <c r="W9" s="29">
        <f>E16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LOOKUP(AD9,T$5:T$78,U$5:U$41)</f>
        <v>0</v>
      </c>
      <c r="AF9" s="37" t="s">
        <v>157</v>
      </c>
      <c r="AG9" s="65">
        <f t="shared" ref="AG9:AG19" ca="1" si="1">LOOKUP(AD9,T$5:T$78,W$5:W$40)</f>
        <v>0</v>
      </c>
    </row>
    <row r="10" spans="4:33" ht="13" thickBot="1">
      <c r="D10">
        <v>2</v>
      </c>
      <c r="E10" s="10">
        <v>0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E18</f>
        <v>0</v>
      </c>
      <c r="V10" t="s">
        <v>77</v>
      </c>
      <c r="W10" s="29">
        <f>E20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</row>
    <row r="11" spans="4:33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E22</f>
        <v>0</v>
      </c>
      <c r="V11" t="s">
        <v>77</v>
      </c>
      <c r="W11" s="29">
        <f>E24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</row>
    <row r="12" spans="4:33" ht="13" thickBot="1">
      <c r="D12">
        <v>3</v>
      </c>
      <c r="E12" s="10">
        <v>0</v>
      </c>
      <c r="F12" s="16"/>
      <c r="G12" s="10"/>
      <c r="H12" s="10"/>
      <c r="I12" s="10"/>
      <c r="J12" s="14" t="s">
        <v>242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E26</f>
        <v>0</v>
      </c>
      <c r="V12" t="s">
        <v>77</v>
      </c>
      <c r="W12" s="29">
        <f>E28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 t="str">
        <f t="shared" ca="1" si="1"/>
        <v>Venc.J1</v>
      </c>
    </row>
    <row r="13" spans="4:33">
      <c r="E13" s="12"/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E30</f>
        <v>0</v>
      </c>
      <c r="V13" t="s">
        <v>77</v>
      </c>
      <c r="W13" s="29">
        <f>E32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</row>
    <row r="14" spans="4:33" ht="13" thickBot="1">
      <c r="D14">
        <v>4</v>
      </c>
      <c r="E14" s="9">
        <v>0</v>
      </c>
      <c r="F14" s="9"/>
      <c r="G14" s="9">
        <f>E14</f>
        <v>0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E34</f>
        <v>0</v>
      </c>
      <c r="V14" t="s">
        <v>77</v>
      </c>
      <c r="W14" s="29">
        <f>E36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</row>
    <row r="15" spans="4:33" ht="13" thickBot="1">
      <c r="E15" s="10"/>
      <c r="F15" s="10"/>
      <c r="G15" s="10"/>
      <c r="H15" s="13" t="s">
        <v>210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E38</f>
        <v>0</v>
      </c>
      <c r="V15" t="s">
        <v>77</v>
      </c>
      <c r="W15" s="29">
        <f>E40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</row>
    <row r="16" spans="4:33" ht="13" thickBot="1">
      <c r="D16">
        <v>5</v>
      </c>
      <c r="E16" s="9">
        <v>0</v>
      </c>
      <c r="F16" s="9"/>
      <c r="G16" s="9">
        <f>E16</f>
        <v>0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E42</f>
        <v>0</v>
      </c>
      <c r="V16" t="s">
        <v>77</v>
      </c>
      <c r="W16" s="29" t="s">
        <v>268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</row>
    <row r="17" spans="4:33" ht="13" thickBot="1">
      <c r="E17" s="10"/>
      <c r="F17" s="10"/>
      <c r="G17" s="10"/>
      <c r="H17" s="10"/>
      <c r="I17" s="10"/>
      <c r="J17" s="10"/>
      <c r="K17" s="10"/>
      <c r="L17" s="14" t="s">
        <v>258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E49</f>
        <v>0</v>
      </c>
      <c r="V17" t="s">
        <v>77</v>
      </c>
      <c r="W17" s="29">
        <f>E51</f>
        <v>0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</row>
    <row r="18" spans="4:33" ht="13" thickBot="1">
      <c r="D18">
        <v>6</v>
      </c>
      <c r="E18" s="9">
        <v>0</v>
      </c>
      <c r="F18" s="9"/>
      <c r="G18" s="9">
        <f>E18</f>
        <v>0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E53</f>
        <v>0</v>
      </c>
      <c r="V18" t="s">
        <v>77</v>
      </c>
      <c r="W18" s="29">
        <f>E55</f>
        <v>0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>
        <f t="shared" ca="1" si="1"/>
        <v>0</v>
      </c>
    </row>
    <row r="19" spans="4:33" ht="13" thickBot="1">
      <c r="E19" s="10"/>
      <c r="F19" s="10"/>
      <c r="G19" s="12"/>
      <c r="H19" s="13" t="s">
        <v>212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E57</f>
        <v>0</v>
      </c>
      <c r="V19" t="s">
        <v>77</v>
      </c>
      <c r="W19" s="29">
        <f>E59</f>
        <v>0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>
        <f t="shared" ca="1" si="1"/>
        <v>0</v>
      </c>
    </row>
    <row r="20" spans="4:33" ht="13" thickBot="1">
      <c r="D20">
        <v>7</v>
      </c>
      <c r="E20" s="9">
        <v>0</v>
      </c>
      <c r="F20" s="9"/>
      <c r="G20" s="9">
        <f>E20</f>
        <v>0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E61</f>
        <v>0</v>
      </c>
      <c r="V20" t="s">
        <v>77</v>
      </c>
      <c r="W20" s="29">
        <f>E63</f>
        <v>0</v>
      </c>
      <c r="Z20" s="34"/>
      <c r="AA20" s="40"/>
      <c r="AB20" s="40"/>
      <c r="AC20" s="38" t="s">
        <v>159</v>
      </c>
      <c r="AD20" s="48">
        <v>12</v>
      </c>
      <c r="AE20" s="53">
        <f t="shared" ref="AE20:AE30" ca="1" si="2">LOOKUP(AD20,T$5:T$78,U$5:U$41)</f>
        <v>0</v>
      </c>
      <c r="AF20" s="37" t="s">
        <v>157</v>
      </c>
      <c r="AG20" s="65" t="str">
        <f t="shared" ref="AG20:AG30" ca="1" si="3">LOOKUP(AD20,T$5:T$78,W$5:W$40)</f>
        <v>VencJ2</v>
      </c>
    </row>
    <row r="21" spans="4:33" ht="13" thickBot="1">
      <c r="E21" s="10"/>
      <c r="F21" s="10"/>
      <c r="G21" s="12"/>
      <c r="H21" s="10"/>
      <c r="I21" s="10"/>
      <c r="J21" s="14" t="s">
        <v>244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E65</f>
        <v>0</v>
      </c>
      <c r="V21" t="s">
        <v>77</v>
      </c>
      <c r="W21" s="29">
        <f>E67</f>
        <v>0</v>
      </c>
      <c r="Z21" s="34"/>
      <c r="AA21" s="40"/>
      <c r="AB21" s="40"/>
      <c r="AC21" s="38" t="s">
        <v>159</v>
      </c>
      <c r="AD21" s="48">
        <v>13</v>
      </c>
      <c r="AE21" s="53">
        <f t="shared" ca="1" si="2"/>
        <v>0</v>
      </c>
      <c r="AF21" s="37" t="s">
        <v>157</v>
      </c>
      <c r="AG21" s="65">
        <f t="shared" ca="1" si="3"/>
        <v>0</v>
      </c>
    </row>
    <row r="22" spans="4:33" ht="13" thickBot="1">
      <c r="D22">
        <v>8</v>
      </c>
      <c r="E22" s="9">
        <v>0</v>
      </c>
      <c r="F22" s="9"/>
      <c r="G22" s="9">
        <f>E22</f>
        <v>0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E69</f>
        <v>0</v>
      </c>
      <c r="V22" t="s">
        <v>77</v>
      </c>
      <c r="W22" s="29">
        <f>E71</f>
        <v>0</v>
      </c>
      <c r="Z22" s="34"/>
      <c r="AA22" s="40"/>
      <c r="AB22" s="40"/>
      <c r="AC22" s="38" t="s">
        <v>159</v>
      </c>
      <c r="AD22" s="48">
        <v>14</v>
      </c>
      <c r="AE22" s="53">
        <f t="shared" ca="1" si="2"/>
        <v>0</v>
      </c>
      <c r="AF22" s="37" t="s">
        <v>157</v>
      </c>
      <c r="AG22" s="65">
        <f t="shared" ca="1" si="3"/>
        <v>0</v>
      </c>
    </row>
    <row r="23" spans="4:33" ht="13" thickBot="1">
      <c r="E23" s="10"/>
      <c r="F23" s="10"/>
      <c r="G23" s="12"/>
      <c r="H23" s="13" t="s">
        <v>214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 t="s">
        <v>161</v>
      </c>
      <c r="V23" t="s">
        <v>77</v>
      </c>
      <c r="W23" s="29">
        <f>E77</f>
        <v>0</v>
      </c>
      <c r="Z23" s="34"/>
      <c r="AA23" s="40"/>
      <c r="AB23" s="40"/>
      <c r="AC23" s="38" t="s">
        <v>159</v>
      </c>
      <c r="AD23" s="48">
        <v>15</v>
      </c>
      <c r="AE23" s="53">
        <f t="shared" ca="1" si="2"/>
        <v>0</v>
      </c>
      <c r="AF23" s="37" t="s">
        <v>157</v>
      </c>
      <c r="AG23" s="65">
        <f t="shared" ca="1" si="3"/>
        <v>0</v>
      </c>
    </row>
    <row r="24" spans="4:33" ht="13" thickBot="1">
      <c r="D24">
        <v>9</v>
      </c>
      <c r="E24" s="9">
        <v>0</v>
      </c>
      <c r="F24" s="9"/>
      <c r="G24" s="9">
        <f>E24</f>
        <v>0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 t="s">
        <v>81</v>
      </c>
      <c r="V24" t="s">
        <v>77</v>
      </c>
      <c r="W24" s="29" t="s">
        <v>162</v>
      </c>
      <c r="Z24" s="34"/>
      <c r="AA24" s="40"/>
      <c r="AB24" s="40"/>
      <c r="AC24" s="38" t="s">
        <v>159</v>
      </c>
      <c r="AD24" s="48">
        <v>16</v>
      </c>
      <c r="AE24" s="53">
        <f t="shared" ca="1" si="2"/>
        <v>0</v>
      </c>
      <c r="AF24" s="37" t="s">
        <v>157</v>
      </c>
      <c r="AG24" s="65">
        <f t="shared" ca="1" si="3"/>
        <v>0</v>
      </c>
    </row>
    <row r="25" spans="4:33" ht="13" thickBot="1">
      <c r="E25" s="10"/>
      <c r="F25" s="10"/>
      <c r="G25" s="10"/>
      <c r="H25" s="10"/>
      <c r="I25" s="10"/>
      <c r="J25" s="10"/>
      <c r="K25" s="10"/>
      <c r="L25" s="10"/>
      <c r="M25" s="10"/>
      <c r="N25" s="14" t="s">
        <v>209</v>
      </c>
      <c r="O25" s="9" t="str">
        <f>IF(OR(N17="",N33=""),"",+IF(N17&gt;N33,M17,M33))</f>
        <v/>
      </c>
      <c r="P25" s="17"/>
      <c r="Q25" s="10"/>
      <c r="T25">
        <v>21</v>
      </c>
      <c r="U25" s="28" t="s">
        <v>163</v>
      </c>
      <c r="V25" t="s">
        <v>77</v>
      </c>
      <c r="W25" s="29" t="s">
        <v>84</v>
      </c>
      <c r="Z25" s="34"/>
      <c r="AA25" s="40"/>
      <c r="AB25" s="40"/>
      <c r="AC25" s="38" t="s">
        <v>159</v>
      </c>
      <c r="AD25" s="48">
        <v>17</v>
      </c>
      <c r="AE25" s="53">
        <f t="shared" ca="1" si="2"/>
        <v>0</v>
      </c>
      <c r="AF25" s="37" t="s">
        <v>157</v>
      </c>
      <c r="AG25" s="65">
        <f t="shared" ca="1" si="3"/>
        <v>0</v>
      </c>
    </row>
    <row r="26" spans="4:33" ht="13" thickBot="1">
      <c r="D26">
        <v>10</v>
      </c>
      <c r="E26" s="9">
        <v>0</v>
      </c>
      <c r="F26" s="9"/>
      <c r="G26" s="9">
        <f>E26</f>
        <v>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 t="s">
        <v>164</v>
      </c>
      <c r="V26" t="s">
        <v>77</v>
      </c>
      <c r="W26" s="29" t="s">
        <v>86</v>
      </c>
      <c r="Z26" s="34"/>
      <c r="AA26" s="40"/>
      <c r="AB26" s="40"/>
      <c r="AC26" s="38" t="s">
        <v>159</v>
      </c>
      <c r="AD26" s="48">
        <v>18</v>
      </c>
      <c r="AE26" s="53">
        <f t="shared" ca="1" si="2"/>
        <v>0</v>
      </c>
      <c r="AF26" s="37" t="s">
        <v>157</v>
      </c>
      <c r="AG26" s="65">
        <f t="shared" ca="1" si="3"/>
        <v>0</v>
      </c>
    </row>
    <row r="27" spans="4:33" ht="13" thickBot="1">
      <c r="E27" s="10"/>
      <c r="F27" s="10"/>
      <c r="G27" s="10"/>
      <c r="H27" s="13" t="s">
        <v>217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 t="s">
        <v>87</v>
      </c>
      <c r="V27" t="s">
        <v>77</v>
      </c>
      <c r="W27" s="29" t="s">
        <v>88</v>
      </c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Venc.J3</v>
      </c>
      <c r="AF27" s="37" t="s">
        <v>157</v>
      </c>
      <c r="AG27" s="65">
        <f t="shared" ca="1" si="3"/>
        <v>0</v>
      </c>
    </row>
    <row r="28" spans="4:33" ht="13" thickBot="1">
      <c r="D28">
        <v>11</v>
      </c>
      <c r="E28" s="9">
        <v>0</v>
      </c>
      <c r="F28" s="9"/>
      <c r="G28" s="9">
        <f>E28</f>
        <v>0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 t="s">
        <v>89</v>
      </c>
      <c r="V28" t="s">
        <v>77</v>
      </c>
      <c r="W28" s="29" t="s">
        <v>90</v>
      </c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Venc.J4</v>
      </c>
      <c r="AF28" s="37" t="s">
        <v>157</v>
      </c>
      <c r="AG28" s="65" t="str">
        <f t="shared" ca="1" si="3"/>
        <v>Venc.J5</v>
      </c>
    </row>
    <row r="29" spans="4:33" ht="13" thickBot="1">
      <c r="E29" s="10"/>
      <c r="F29" s="10"/>
      <c r="G29" s="10"/>
      <c r="H29" s="10"/>
      <c r="I29" s="10"/>
      <c r="J29" s="14" t="s">
        <v>246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 t="s">
        <v>91</v>
      </c>
      <c r="V29" t="s">
        <v>77</v>
      </c>
      <c r="W29" s="29" t="s">
        <v>92</v>
      </c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Venc.J6</v>
      </c>
      <c r="AF29" s="37" t="s">
        <v>157</v>
      </c>
      <c r="AG29" s="65" t="str">
        <f t="shared" ca="1" si="3"/>
        <v>Venc.J7</v>
      </c>
    </row>
    <row r="30" spans="4:33" ht="13" thickBot="1">
      <c r="D30">
        <v>12</v>
      </c>
      <c r="E30" s="9">
        <v>0</v>
      </c>
      <c r="F30" s="9"/>
      <c r="G30" s="9">
        <f>E30</f>
        <v>0</v>
      </c>
      <c r="H30" s="11"/>
      <c r="I30" s="10"/>
      <c r="J30" s="14"/>
      <c r="K30" s="10"/>
      <c r="L30" s="13"/>
      <c r="M30" s="10"/>
      <c r="N30" s="14"/>
      <c r="O30" s="10"/>
      <c r="P30" s="14"/>
      <c r="Q30" s="10"/>
      <c r="T30">
        <v>26</v>
      </c>
      <c r="U30" s="28" t="s">
        <v>165</v>
      </c>
      <c r="V30" t="s">
        <v>77</v>
      </c>
      <c r="W30" s="29" t="s">
        <v>94</v>
      </c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Venc.J8</v>
      </c>
      <c r="AF30" s="37" t="s">
        <v>157</v>
      </c>
      <c r="AG30" s="65" t="str">
        <f t="shared" ca="1" si="3"/>
        <v>Venc.J9</v>
      </c>
    </row>
    <row r="31" spans="4:33" ht="13" thickBot="1">
      <c r="E31" s="10"/>
      <c r="F31" s="10"/>
      <c r="G31" s="10"/>
      <c r="H31" s="13" t="s">
        <v>219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 t="s">
        <v>95</v>
      </c>
      <c r="V31" t="s">
        <v>77</v>
      </c>
      <c r="W31" s="29" t="s">
        <v>96</v>
      </c>
      <c r="Z31" s="34"/>
      <c r="AA31" s="40"/>
      <c r="AB31" s="40"/>
      <c r="AC31" s="38" t="s">
        <v>159</v>
      </c>
      <c r="AD31" s="48">
        <v>23</v>
      </c>
      <c r="AE31" s="53" t="str">
        <f t="shared" ref="AE31:AE43" ca="1" si="4">LOOKUP(AD31,T$5:T$78,U$5:U$41)</f>
        <v>Venc.J10</v>
      </c>
      <c r="AF31" s="37" t="s">
        <v>157</v>
      </c>
      <c r="AG31" s="65" t="str">
        <f t="shared" ref="AG31:AG43" ca="1" si="5">LOOKUP(AD31,T$5:T$78,W$5:W$40)</f>
        <v>Venc.J11</v>
      </c>
    </row>
    <row r="32" spans="4:33" ht="13" thickBot="1">
      <c r="D32">
        <v>13</v>
      </c>
      <c r="E32" s="9">
        <v>0</v>
      </c>
      <c r="F32" s="9"/>
      <c r="G32" s="9">
        <f>E32</f>
        <v>0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 t="s">
        <v>97</v>
      </c>
      <c r="V32" t="s">
        <v>77</v>
      </c>
      <c r="W32" s="29" t="s">
        <v>98</v>
      </c>
      <c r="Z32" s="34"/>
      <c r="AA32" s="40"/>
      <c r="AB32" s="40"/>
      <c r="AC32" s="38" t="s">
        <v>159</v>
      </c>
      <c r="AD32" s="48">
        <v>24</v>
      </c>
      <c r="AE32" s="53" t="str">
        <f t="shared" ca="1" si="4"/>
        <v>Venc.J12</v>
      </c>
      <c r="AF32" s="37" t="s">
        <v>157</v>
      </c>
      <c r="AG32" s="65" t="str">
        <f t="shared" ca="1" si="5"/>
        <v>Venc.J13</v>
      </c>
    </row>
    <row r="33" spans="4:33" ht="13" thickBot="1">
      <c r="E33" s="10"/>
      <c r="F33" s="10"/>
      <c r="G33" s="10"/>
      <c r="H33" s="10"/>
      <c r="I33" s="10"/>
      <c r="J33" s="10"/>
      <c r="K33" s="10"/>
      <c r="L33" s="14" t="s">
        <v>260</v>
      </c>
      <c r="M33" s="9" t="str">
        <f>IF(OR(L29="",L37=""),"",+IF(L29&gt;L37,K29,K37))</f>
        <v/>
      </c>
      <c r="N33" s="16"/>
      <c r="O33" s="10"/>
      <c r="P33" s="14"/>
      <c r="Q33" s="10"/>
      <c r="T33">
        <v>29</v>
      </c>
      <c r="U33" s="28" t="s">
        <v>99</v>
      </c>
      <c r="V33" t="s">
        <v>77</v>
      </c>
      <c r="W33" s="29" t="s">
        <v>100</v>
      </c>
      <c r="Z33" s="34"/>
      <c r="AA33" s="40"/>
      <c r="AB33" s="40"/>
      <c r="AC33" s="38" t="s">
        <v>159</v>
      </c>
      <c r="AD33" s="48">
        <v>25</v>
      </c>
      <c r="AE33" s="53" t="str">
        <f t="shared" ca="1" si="4"/>
        <v>Venc.J14</v>
      </c>
      <c r="AF33" s="37" t="s">
        <v>157</v>
      </c>
      <c r="AG33" s="65" t="str">
        <f t="shared" ca="1" si="5"/>
        <v>Venc.J15</v>
      </c>
    </row>
    <row r="34" spans="4:33" ht="13" thickBot="1">
      <c r="D34">
        <v>14</v>
      </c>
      <c r="E34" s="9">
        <v>0</v>
      </c>
      <c r="F34" s="9"/>
      <c r="G34" s="9">
        <f>E34</f>
        <v>0</v>
      </c>
      <c r="H34" s="11"/>
      <c r="I34" s="10"/>
      <c r="J34" s="10"/>
      <c r="K34" s="10"/>
      <c r="L34" s="14"/>
      <c r="M34" s="10"/>
      <c r="N34" s="10"/>
      <c r="O34" s="10"/>
      <c r="P34" s="14"/>
      <c r="Q34" s="10"/>
      <c r="T34">
        <v>30</v>
      </c>
      <c r="U34" s="28" t="s">
        <v>101</v>
      </c>
      <c r="V34" t="s">
        <v>77</v>
      </c>
      <c r="W34" s="29" t="s">
        <v>102</v>
      </c>
      <c r="Z34" s="34"/>
      <c r="AA34" s="40"/>
      <c r="AB34" s="40"/>
      <c r="AC34" s="38" t="s">
        <v>159</v>
      </c>
      <c r="AD34" s="48">
        <v>26</v>
      </c>
      <c r="AE34" s="53" t="str">
        <f t="shared" ca="1" si="4"/>
        <v>Venc.J16</v>
      </c>
      <c r="AF34" s="37" t="s">
        <v>157</v>
      </c>
      <c r="AG34" s="65" t="str">
        <f t="shared" ca="1" si="5"/>
        <v>Venc.J17</v>
      </c>
    </row>
    <row r="35" spans="4:33" ht="13" thickBot="1">
      <c r="E35" s="10"/>
      <c r="F35" s="10"/>
      <c r="G35" s="10"/>
      <c r="H35" s="13" t="s">
        <v>221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 t="s">
        <v>103</v>
      </c>
      <c r="V35" t="s">
        <v>77</v>
      </c>
      <c r="W35" s="29" t="s">
        <v>104</v>
      </c>
      <c r="Z35" s="34"/>
      <c r="AA35" s="40"/>
      <c r="AB35" s="40"/>
      <c r="AC35" s="38" t="s">
        <v>159</v>
      </c>
      <c r="AD35" s="48">
        <v>27</v>
      </c>
      <c r="AE35" s="53" t="str">
        <f t="shared" ca="1" si="4"/>
        <v>Venc.J18</v>
      </c>
      <c r="AF35" s="37" t="s">
        <v>157</v>
      </c>
      <c r="AG35" s="65" t="str">
        <f t="shared" ca="1" si="5"/>
        <v>Venc.J19</v>
      </c>
    </row>
    <row r="36" spans="4:33" ht="13" thickBot="1">
      <c r="D36">
        <v>15</v>
      </c>
      <c r="E36" s="9">
        <v>0</v>
      </c>
      <c r="F36" s="9"/>
      <c r="G36" s="9">
        <f>E36</f>
        <v>0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 t="s">
        <v>105</v>
      </c>
      <c r="V36" t="s">
        <v>77</v>
      </c>
      <c r="W36" s="29" t="s">
        <v>106</v>
      </c>
      <c r="Z36" s="34"/>
      <c r="AA36" s="40"/>
      <c r="AB36" s="40"/>
      <c r="AC36" s="38" t="s">
        <v>159</v>
      </c>
      <c r="AD36" s="48">
        <v>28</v>
      </c>
      <c r="AE36" s="53" t="str">
        <f t="shared" ca="1" si="4"/>
        <v>Venc.J20</v>
      </c>
      <c r="AF36" s="37" t="s">
        <v>157</v>
      </c>
      <c r="AG36" s="65" t="str">
        <f t="shared" ca="1" si="5"/>
        <v>Venc.J21</v>
      </c>
    </row>
    <row r="37" spans="4:33" ht="13" thickBot="1">
      <c r="E37" s="10"/>
      <c r="F37" s="10"/>
      <c r="G37" s="10"/>
      <c r="H37" s="10"/>
      <c r="I37" s="10"/>
      <c r="J37" s="14" t="s">
        <v>248</v>
      </c>
      <c r="K37" s="9" t="str">
        <f>IF(OR(J35="",J39=""),"",+IF(J35&gt;J39,I35,I39))</f>
        <v/>
      </c>
      <c r="L37" s="16"/>
      <c r="M37" s="10"/>
      <c r="N37" s="10"/>
      <c r="O37" s="10"/>
      <c r="P37" s="14"/>
      <c r="Q37" s="10"/>
      <c r="T37">
        <v>33</v>
      </c>
      <c r="U37" s="28" t="s">
        <v>107</v>
      </c>
      <c r="V37" t="s">
        <v>77</v>
      </c>
      <c r="W37" s="29" t="s">
        <v>108</v>
      </c>
      <c r="Z37" s="34"/>
      <c r="AA37" s="40"/>
      <c r="AB37" s="40"/>
      <c r="AC37" s="38" t="s">
        <v>159</v>
      </c>
      <c r="AD37" s="48">
        <v>29</v>
      </c>
      <c r="AE37" s="53" t="str">
        <f t="shared" ca="1" si="4"/>
        <v>Venc.J22</v>
      </c>
      <c r="AF37" s="37" t="s">
        <v>157</v>
      </c>
      <c r="AG37" s="65" t="str">
        <f t="shared" ca="1" si="5"/>
        <v>Venc.J23</v>
      </c>
    </row>
    <row r="38" spans="4:33" ht="13" thickBot="1">
      <c r="D38">
        <v>16</v>
      </c>
      <c r="E38" s="9">
        <v>0</v>
      </c>
      <c r="F38" s="9"/>
      <c r="G38" s="9">
        <f>E38</f>
        <v>0</v>
      </c>
      <c r="H38" s="11"/>
      <c r="I38" s="10"/>
      <c r="J38" s="14"/>
      <c r="K38" s="10"/>
      <c r="L38" s="10"/>
      <c r="M38" s="10"/>
      <c r="N38" s="10"/>
      <c r="O38" s="10"/>
      <c r="P38" s="14"/>
      <c r="Q38" s="10"/>
      <c r="T38">
        <v>34</v>
      </c>
      <c r="U38" s="28" t="s">
        <v>310</v>
      </c>
      <c r="V38" t="s">
        <v>77</v>
      </c>
      <c r="W38" s="29" t="s">
        <v>312</v>
      </c>
      <c r="Z38" s="34"/>
      <c r="AA38" s="40"/>
      <c r="AB38" s="40"/>
      <c r="AC38" s="38" t="s">
        <v>159</v>
      </c>
      <c r="AD38" s="48">
        <v>30</v>
      </c>
      <c r="AE38" s="53" t="str">
        <f t="shared" ca="1" si="4"/>
        <v>Venc.J24</v>
      </c>
      <c r="AF38" s="37" t="s">
        <v>157</v>
      </c>
      <c r="AG38" s="65" t="str">
        <f t="shared" ca="1" si="5"/>
        <v>Venc.J25</v>
      </c>
    </row>
    <row r="39" spans="4:33" ht="13" thickBot="1">
      <c r="E39" s="10"/>
      <c r="F39" s="10"/>
      <c r="G39" s="10"/>
      <c r="H39" s="13" t="s">
        <v>223</v>
      </c>
      <c r="I39" s="9" t="str">
        <f>IF(OR(H38="",H40=""),"",+IF(H38&gt;H40,E38,E40))</f>
        <v/>
      </c>
      <c r="J39" s="16"/>
      <c r="K39" s="10"/>
      <c r="L39" s="10"/>
      <c r="M39" s="10"/>
      <c r="N39" s="10"/>
      <c r="O39" s="10"/>
      <c r="P39" s="14"/>
      <c r="Q39" s="10"/>
      <c r="T39">
        <v>35</v>
      </c>
      <c r="U39" s="28" t="s">
        <v>109</v>
      </c>
      <c r="V39" t="s">
        <v>77</v>
      </c>
      <c r="W39" s="29" t="s">
        <v>110</v>
      </c>
      <c r="Z39" s="34"/>
      <c r="AA39" s="40"/>
      <c r="AB39" s="40"/>
      <c r="AC39" s="38" t="s">
        <v>159</v>
      </c>
      <c r="AD39" s="48">
        <v>31</v>
      </c>
      <c r="AE39" s="53" t="str">
        <f t="shared" ca="1" si="4"/>
        <v>Venc.J26</v>
      </c>
      <c r="AF39" s="37" t="s">
        <v>157</v>
      </c>
      <c r="AG39" s="65" t="str">
        <f t="shared" ca="1" si="5"/>
        <v>Venc.J27</v>
      </c>
    </row>
    <row r="40" spans="4:33" ht="13" thickBot="1">
      <c r="D40">
        <v>17</v>
      </c>
      <c r="E40" s="9">
        <v>0</v>
      </c>
      <c r="F40" s="9"/>
      <c r="G40" s="9">
        <f>E40</f>
        <v>0</v>
      </c>
      <c r="H40" s="16"/>
      <c r="I40" s="10"/>
      <c r="J40" s="10"/>
      <c r="K40" s="10"/>
      <c r="L40" s="10"/>
      <c r="M40" s="10"/>
      <c r="N40" s="10"/>
      <c r="O40" s="10"/>
      <c r="P40" s="14"/>
      <c r="Q40" s="10"/>
      <c r="Z40" s="34"/>
      <c r="AA40" s="40"/>
      <c r="AB40" s="40"/>
      <c r="AC40" s="38" t="s">
        <v>159</v>
      </c>
      <c r="AD40" s="48">
        <v>32</v>
      </c>
      <c r="AE40" s="53" t="str">
        <f t="shared" ca="1" si="4"/>
        <v>Venc.J28</v>
      </c>
      <c r="AF40" s="37" t="s">
        <v>157</v>
      </c>
      <c r="AG40" s="65" t="str">
        <f t="shared" ca="1" si="5"/>
        <v>Venc.J29</v>
      </c>
    </row>
    <row r="41" spans="4:33" ht="13" thickBot="1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4" t="s">
        <v>220</v>
      </c>
      <c r="Q41" s="9" t="str">
        <f>IF(OR(P25="",P60=""),"",+IF(P25&gt;P60,O25,O60))</f>
        <v/>
      </c>
      <c r="Z41" s="34"/>
      <c r="AA41" s="40"/>
      <c r="AB41" s="40"/>
      <c r="AC41" s="38" t="s">
        <v>159</v>
      </c>
      <c r="AD41" s="48">
        <v>33</v>
      </c>
      <c r="AE41" s="53" t="str">
        <f t="shared" ca="1" si="4"/>
        <v>Venc.J30</v>
      </c>
      <c r="AF41" s="37" t="s">
        <v>157</v>
      </c>
      <c r="AG41" s="65" t="str">
        <f t="shared" ca="1" si="5"/>
        <v>Venc.J31</v>
      </c>
    </row>
    <row r="42" spans="4:33" ht="13" thickBot="1">
      <c r="D42">
        <v>18</v>
      </c>
      <c r="E42" s="9">
        <v>0</v>
      </c>
      <c r="F42" s="9"/>
      <c r="G42" s="9">
        <f>E42</f>
        <v>0</v>
      </c>
      <c r="H42" s="11"/>
      <c r="I42" s="10"/>
      <c r="J42" s="10"/>
      <c r="K42" s="10"/>
      <c r="L42" s="10"/>
      <c r="M42" s="10"/>
      <c r="N42" s="10"/>
      <c r="O42" s="10"/>
      <c r="P42" s="14"/>
      <c r="Q42" s="10"/>
      <c r="Z42" s="34"/>
      <c r="AA42" s="40"/>
      <c r="AB42" s="40"/>
      <c r="AC42" s="38" t="s">
        <v>159</v>
      </c>
      <c r="AD42" s="48">
        <v>34</v>
      </c>
      <c r="AE42" s="53" t="str">
        <f t="shared" ca="1" si="4"/>
        <v>Perd.J32</v>
      </c>
      <c r="AF42" s="37" t="s">
        <v>157</v>
      </c>
      <c r="AG42" s="65" t="str">
        <f t="shared" ca="1" si="5"/>
        <v>Perd.J33</v>
      </c>
    </row>
    <row r="43" spans="4:33">
      <c r="E43" s="12"/>
      <c r="F43" s="10"/>
      <c r="G43" s="10"/>
      <c r="H43" s="13"/>
      <c r="I43" s="10"/>
      <c r="J43" s="10"/>
      <c r="K43" s="10"/>
      <c r="L43" s="10"/>
      <c r="M43" s="10"/>
      <c r="N43" s="10"/>
      <c r="O43" s="10"/>
      <c r="P43" s="14"/>
      <c r="Q43" s="10"/>
      <c r="Z43" s="34"/>
      <c r="AA43" s="40"/>
      <c r="AB43" s="40"/>
      <c r="AC43" s="38" t="s">
        <v>159</v>
      </c>
      <c r="AD43" s="48">
        <v>35</v>
      </c>
      <c r="AE43" s="53" t="str">
        <f t="shared" ca="1" si="4"/>
        <v>Venc.J32</v>
      </c>
      <c r="AF43" s="37" t="s">
        <v>157</v>
      </c>
      <c r="AG43" s="65" t="str">
        <f t="shared" ca="1" si="5"/>
        <v>Venc.J33</v>
      </c>
    </row>
    <row r="44" spans="4:33" ht="13" thickBot="1">
      <c r="E44" s="10"/>
      <c r="F44" s="10"/>
      <c r="G44" s="10"/>
      <c r="H44" s="14" t="s">
        <v>225</v>
      </c>
      <c r="I44" s="9" t="str">
        <f>IF(OR(H42="",H46=""),"",+IF(H42&gt;H46,E42,G46))</f>
        <v/>
      </c>
      <c r="J44" s="11"/>
      <c r="K44" s="10"/>
      <c r="L44" s="10"/>
      <c r="M44" s="10"/>
      <c r="N44" s="10"/>
      <c r="O44" s="10"/>
      <c r="P44" s="14"/>
      <c r="Q44" s="10"/>
    </row>
    <row r="45" spans="4:33" ht="13" thickBot="1">
      <c r="D45">
        <v>19</v>
      </c>
      <c r="E45" s="10">
        <v>0</v>
      </c>
      <c r="F45" s="11"/>
      <c r="G45" s="10"/>
      <c r="H45" s="14"/>
      <c r="I45" s="10"/>
      <c r="J45" s="13"/>
      <c r="K45" s="10"/>
      <c r="L45" s="10"/>
      <c r="M45" s="10"/>
      <c r="N45" s="10"/>
      <c r="O45" s="10"/>
      <c r="P45" s="14"/>
      <c r="Q45" s="10"/>
    </row>
    <row r="46" spans="4:33" ht="13" thickBot="1">
      <c r="E46" s="12"/>
      <c r="F46" s="13" t="s">
        <v>204</v>
      </c>
      <c r="G46" s="9" t="str">
        <f>IF(OR(F45="",F47=""),"",+IF(F45&gt;F47,E45,E47))</f>
        <v/>
      </c>
      <c r="H46" s="16"/>
      <c r="I46" s="10"/>
      <c r="J46" s="14"/>
      <c r="K46" s="10"/>
      <c r="L46" s="10"/>
      <c r="M46" s="10"/>
      <c r="N46" s="10"/>
      <c r="O46" s="10"/>
      <c r="P46" s="14"/>
      <c r="Q46" s="10"/>
    </row>
    <row r="47" spans="4:33" ht="13" thickBot="1">
      <c r="D47">
        <v>20</v>
      </c>
      <c r="E47" s="10">
        <v>0</v>
      </c>
      <c r="F47" s="16"/>
      <c r="G47" s="10"/>
      <c r="H47" s="10"/>
      <c r="I47" s="10"/>
      <c r="J47" s="14" t="s">
        <v>250</v>
      </c>
      <c r="K47" s="9" t="str">
        <f>IF(OR(J44="",J50=""),"",+IF(J44&gt;J50,I44,I50))</f>
        <v/>
      </c>
      <c r="L47" s="17"/>
      <c r="M47" s="10"/>
      <c r="N47" s="10"/>
      <c r="O47" s="10"/>
      <c r="P47" s="14"/>
      <c r="Q47" s="10"/>
    </row>
    <row r="48" spans="4:33">
      <c r="E48" s="12"/>
      <c r="F48" s="10"/>
      <c r="G48" s="10"/>
      <c r="H48" s="10"/>
      <c r="I48" s="10"/>
      <c r="J48" s="14"/>
      <c r="K48" s="10"/>
      <c r="L48" s="10"/>
      <c r="M48" s="19"/>
      <c r="N48" s="10"/>
      <c r="O48" s="10"/>
      <c r="P48" s="14"/>
      <c r="Q48" s="10"/>
    </row>
    <row r="49" spans="4:17" ht="13" thickBot="1">
      <c r="D49">
        <v>21</v>
      </c>
      <c r="E49" s="9">
        <v>0</v>
      </c>
      <c r="F49" s="9"/>
      <c r="G49" s="9">
        <f>E49</f>
        <v>0</v>
      </c>
      <c r="H49" s="11"/>
      <c r="I49" s="10"/>
      <c r="J49" s="14"/>
      <c r="K49" s="10"/>
      <c r="L49" s="10"/>
      <c r="M49" s="19"/>
      <c r="N49" s="10"/>
      <c r="O49" s="10"/>
      <c r="P49" s="14"/>
      <c r="Q49" s="10"/>
    </row>
    <row r="50" spans="4:17" ht="13" thickBot="1">
      <c r="E50" s="10"/>
      <c r="F50" s="10"/>
      <c r="G50" s="10"/>
      <c r="H50" s="13" t="s">
        <v>227</v>
      </c>
      <c r="I50" s="9" t="str">
        <f>IF(OR(H49="",H51=""),"",+IF(H49&gt;H51,E49,E51))</f>
        <v/>
      </c>
      <c r="J50" s="16"/>
      <c r="K50" s="10"/>
      <c r="L50" s="10"/>
      <c r="M50" s="19"/>
      <c r="N50" s="10"/>
      <c r="O50" s="10"/>
      <c r="P50" s="14"/>
      <c r="Q50" s="10"/>
    </row>
    <row r="51" spans="4:17" ht="13" thickBot="1">
      <c r="D51">
        <v>22</v>
      </c>
      <c r="E51" s="9">
        <v>0</v>
      </c>
      <c r="F51" s="9"/>
      <c r="G51" s="9">
        <f>E51</f>
        <v>0</v>
      </c>
      <c r="H51" s="16"/>
      <c r="I51" s="10"/>
      <c r="J51" s="10"/>
      <c r="K51" s="10"/>
      <c r="L51" s="10"/>
      <c r="M51" s="19"/>
      <c r="N51" s="10"/>
      <c r="O51" s="10"/>
      <c r="P51" s="14"/>
      <c r="Q51" s="10"/>
    </row>
    <row r="52" spans="4:17" ht="13" thickBot="1">
      <c r="E52" s="10"/>
      <c r="F52" s="10"/>
      <c r="G52" s="10"/>
      <c r="H52" s="10"/>
      <c r="I52" s="10"/>
      <c r="J52" s="10"/>
      <c r="K52" s="10"/>
      <c r="L52" s="14" t="s">
        <v>201</v>
      </c>
      <c r="M52" s="9" t="str">
        <f>IF(OR(L47="",L56=""),"",+IF(L47&gt;L56,K47,K56))</f>
        <v/>
      </c>
      <c r="N52" s="17"/>
      <c r="O52" s="10"/>
      <c r="P52" s="14"/>
      <c r="Q52" s="10"/>
    </row>
    <row r="53" spans="4:17" ht="13" thickBot="1">
      <c r="D53">
        <v>23</v>
      </c>
      <c r="E53" s="9">
        <v>0</v>
      </c>
      <c r="F53" s="9"/>
      <c r="G53" s="9">
        <f>E53</f>
        <v>0</v>
      </c>
      <c r="H53" s="11"/>
      <c r="I53" s="10"/>
      <c r="J53" s="10"/>
      <c r="K53" s="10"/>
      <c r="L53" s="10"/>
      <c r="M53" s="19"/>
      <c r="N53" s="13"/>
      <c r="O53" s="10"/>
      <c r="P53" s="14"/>
      <c r="Q53" s="10"/>
    </row>
    <row r="54" spans="4:17" ht="13" thickBot="1">
      <c r="E54" s="10"/>
      <c r="F54" s="10"/>
      <c r="G54" s="12"/>
      <c r="H54" s="13" t="s">
        <v>229</v>
      </c>
      <c r="I54" s="9" t="str">
        <f>IF(OR(H53="",H55=""),"",+IF(H53&gt;H55,E53,E55))</f>
        <v/>
      </c>
      <c r="J54" s="17"/>
      <c r="K54" s="10"/>
      <c r="L54" s="10"/>
      <c r="M54" s="19"/>
      <c r="N54" s="14"/>
      <c r="O54" s="10"/>
      <c r="P54" s="14"/>
      <c r="Q54" s="10"/>
    </row>
    <row r="55" spans="4:17" ht="13" thickBot="1">
      <c r="D55">
        <v>24</v>
      </c>
      <c r="E55" s="9">
        <v>0</v>
      </c>
      <c r="F55" s="9"/>
      <c r="G55" s="9">
        <f>E55</f>
        <v>0</v>
      </c>
      <c r="H55" s="16"/>
      <c r="I55" s="10"/>
      <c r="J55" s="14"/>
      <c r="K55" s="10"/>
      <c r="L55" s="10"/>
      <c r="M55" s="19"/>
      <c r="N55" s="14"/>
      <c r="O55" s="10"/>
      <c r="P55" s="14"/>
      <c r="Q55" s="10"/>
    </row>
    <row r="56" spans="4:17" ht="13" thickBot="1">
      <c r="E56" s="10"/>
      <c r="F56" s="10"/>
      <c r="G56" s="12"/>
      <c r="H56" s="10"/>
      <c r="I56" s="10"/>
      <c r="J56" s="14" t="s">
        <v>252</v>
      </c>
      <c r="K56" s="9" t="str">
        <f>IF(OR(J54="",J58=""),"",+IF(J54&gt;J58,I54,I58))</f>
        <v/>
      </c>
      <c r="L56" s="16"/>
      <c r="M56" s="19"/>
      <c r="N56" s="14"/>
      <c r="O56" s="10"/>
      <c r="P56" s="14"/>
      <c r="Q56" s="10"/>
    </row>
    <row r="57" spans="4:17" ht="13" thickBot="1">
      <c r="D57">
        <v>25</v>
      </c>
      <c r="E57" s="9">
        <v>0</v>
      </c>
      <c r="F57" s="9"/>
      <c r="G57" s="9">
        <f>E57</f>
        <v>0</v>
      </c>
      <c r="H57" s="11"/>
      <c r="I57" s="10"/>
      <c r="J57" s="14"/>
      <c r="K57" s="10"/>
      <c r="L57" s="10"/>
      <c r="M57" s="10"/>
      <c r="N57" s="14"/>
      <c r="O57" s="10"/>
      <c r="P57" s="14"/>
      <c r="Q57" s="10"/>
    </row>
    <row r="58" spans="4:17" ht="13" thickBot="1">
      <c r="E58" s="10"/>
      <c r="F58" s="10"/>
      <c r="G58" s="12"/>
      <c r="H58" s="13" t="s">
        <v>232</v>
      </c>
      <c r="I58" s="9" t="str">
        <f>IF(OR(H57="",H59=""),"",+IF(H57&gt;H59,E57,E59))</f>
        <v/>
      </c>
      <c r="J58" s="16"/>
      <c r="K58" s="10"/>
      <c r="L58" s="10"/>
      <c r="M58" s="10"/>
      <c r="N58" s="14"/>
      <c r="O58" s="10"/>
      <c r="P58" s="14"/>
      <c r="Q58" s="10"/>
    </row>
    <row r="59" spans="4:17" ht="13" thickBot="1">
      <c r="D59">
        <v>26</v>
      </c>
      <c r="E59" s="9">
        <v>0</v>
      </c>
      <c r="F59" s="9"/>
      <c r="G59" s="9">
        <f>E59</f>
        <v>0</v>
      </c>
      <c r="H59" s="16"/>
      <c r="I59" s="10"/>
      <c r="J59" s="10"/>
      <c r="K59" s="10"/>
      <c r="L59" s="10"/>
      <c r="M59" s="10"/>
      <c r="N59" s="14"/>
      <c r="O59" s="10"/>
      <c r="P59" s="14"/>
      <c r="Q59" s="10"/>
    </row>
    <row r="60" spans="4:17" ht="13" thickBot="1">
      <c r="E60" s="10"/>
      <c r="F60" s="10"/>
      <c r="G60" s="10"/>
      <c r="H60" s="10"/>
      <c r="I60" s="10"/>
      <c r="J60" s="10"/>
      <c r="K60" s="10"/>
      <c r="L60" s="10"/>
      <c r="M60" s="10"/>
      <c r="N60" s="14" t="s">
        <v>213</v>
      </c>
      <c r="O60" s="9" t="str">
        <f>IF(OR(N52="",N68=""),"",+IF(N52&gt;N68,M52,M68))</f>
        <v/>
      </c>
      <c r="P60" s="16"/>
      <c r="Q60" s="10"/>
    </row>
    <row r="61" spans="4:17" ht="13" thickBot="1">
      <c r="D61">
        <v>27</v>
      </c>
      <c r="E61" s="9">
        <v>0</v>
      </c>
      <c r="F61" s="9"/>
      <c r="G61" s="9">
        <f>E61</f>
        <v>0</v>
      </c>
      <c r="H61" s="11"/>
      <c r="I61" s="10"/>
      <c r="J61" s="10"/>
      <c r="K61" s="10"/>
      <c r="L61" s="10"/>
      <c r="M61" s="10"/>
      <c r="N61" s="14"/>
      <c r="O61" s="10"/>
      <c r="P61" s="10"/>
      <c r="Q61" s="10"/>
    </row>
    <row r="62" spans="4:17" ht="13" thickBot="1">
      <c r="E62" s="10"/>
      <c r="F62" s="10"/>
      <c r="G62" s="12"/>
      <c r="H62" s="13" t="s">
        <v>234</v>
      </c>
      <c r="I62" s="9" t="str">
        <f>IF(OR(H61="",H63=""),"",+IF(H61&gt;H63,E61,E63))</f>
        <v/>
      </c>
      <c r="J62" s="17"/>
      <c r="K62" s="10"/>
      <c r="L62" s="10"/>
      <c r="M62" s="10"/>
      <c r="N62" s="14"/>
      <c r="O62" s="10"/>
      <c r="P62" s="10"/>
      <c r="Q62" s="10"/>
    </row>
    <row r="63" spans="4:17" ht="13" thickBot="1">
      <c r="D63">
        <v>28</v>
      </c>
      <c r="E63" s="9">
        <v>0</v>
      </c>
      <c r="F63" s="9"/>
      <c r="G63" s="9">
        <f>E63</f>
        <v>0</v>
      </c>
      <c r="H63" s="16"/>
      <c r="I63" s="10"/>
      <c r="J63" s="14"/>
      <c r="K63" s="10"/>
      <c r="L63" s="10"/>
      <c r="M63" s="10"/>
      <c r="N63" s="14"/>
      <c r="O63" s="10"/>
      <c r="P63" s="10"/>
      <c r="Q63" s="10"/>
    </row>
    <row r="64" spans="4:17" ht="13" thickBot="1">
      <c r="E64" s="10"/>
      <c r="F64" s="10"/>
      <c r="G64" s="12"/>
      <c r="H64" s="10"/>
      <c r="I64" s="10"/>
      <c r="J64" s="14" t="s">
        <v>254</v>
      </c>
      <c r="K64" s="9" t="str">
        <f>IF(OR(J62="",J66=""),"",+IF(J62&gt;J66,I62,I66))</f>
        <v/>
      </c>
      <c r="L64" s="17"/>
      <c r="M64" s="10"/>
      <c r="N64" s="14"/>
      <c r="O64" s="10"/>
      <c r="P64" s="10"/>
      <c r="Q64" s="10"/>
    </row>
    <row r="65" spans="4:17" ht="13" thickBot="1">
      <c r="D65">
        <v>29</v>
      </c>
      <c r="E65" s="9">
        <v>0</v>
      </c>
      <c r="F65" s="9"/>
      <c r="G65" s="9">
        <f>E65</f>
        <v>0</v>
      </c>
      <c r="H65" s="11"/>
      <c r="I65" s="10"/>
      <c r="J65" s="14"/>
      <c r="K65" s="10"/>
      <c r="L65" s="14"/>
      <c r="M65" s="10"/>
      <c r="N65" s="14"/>
      <c r="O65" s="10"/>
      <c r="P65" s="10"/>
      <c r="Q65" s="10"/>
    </row>
    <row r="66" spans="4:17" ht="13" thickBot="1">
      <c r="E66" s="10"/>
      <c r="F66" s="10"/>
      <c r="G66" s="12"/>
      <c r="H66" s="13" t="s">
        <v>236</v>
      </c>
      <c r="I66" s="9" t="str">
        <f>IF(OR(H65="",H67=""),"",+IF(H65&gt;H67,E65,E67))</f>
        <v/>
      </c>
      <c r="J66" s="16"/>
      <c r="K66" s="10"/>
      <c r="L66" s="14"/>
      <c r="M66" s="10"/>
      <c r="N66" s="14"/>
      <c r="O66" s="10"/>
      <c r="P66" s="10"/>
      <c r="Q66" s="10"/>
    </row>
    <row r="67" spans="4:17" ht="13" thickBot="1">
      <c r="D67">
        <v>30</v>
      </c>
      <c r="E67" s="9">
        <v>0</v>
      </c>
      <c r="F67" s="9"/>
      <c r="G67" s="9">
        <f>E67</f>
        <v>0</v>
      </c>
      <c r="H67" s="16"/>
      <c r="I67" s="10"/>
      <c r="J67" s="10"/>
      <c r="K67" s="10"/>
      <c r="L67" s="14"/>
      <c r="M67" s="10"/>
      <c r="N67" s="14"/>
      <c r="O67" s="10"/>
      <c r="P67" s="10"/>
      <c r="Q67" s="10"/>
    </row>
    <row r="68" spans="4:17" ht="13" thickBot="1">
      <c r="E68" s="10"/>
      <c r="F68" s="10"/>
      <c r="G68" s="10"/>
      <c r="H68" s="10"/>
      <c r="I68" s="10"/>
      <c r="J68" s="10"/>
      <c r="K68" s="10"/>
      <c r="L68" s="14" t="s">
        <v>205</v>
      </c>
      <c r="M68" s="9" t="str">
        <f>IF(OR(L64="",L73=""),"",+IF(L64&gt;L73,K64,K73))</f>
        <v/>
      </c>
      <c r="N68" s="16"/>
      <c r="O68" s="10"/>
      <c r="P68" s="10"/>
      <c r="Q68" s="10"/>
    </row>
    <row r="69" spans="4:17" ht="13" thickBot="1">
      <c r="D69">
        <v>31</v>
      </c>
      <c r="E69" s="9">
        <v>0</v>
      </c>
      <c r="F69" s="9"/>
      <c r="G69" s="9">
        <f>E69</f>
        <v>0</v>
      </c>
      <c r="H69" s="11"/>
      <c r="I69" s="10"/>
      <c r="J69" s="10"/>
      <c r="K69" s="10"/>
      <c r="L69" s="14"/>
      <c r="M69" s="10"/>
      <c r="N69" s="10"/>
      <c r="O69" s="10"/>
      <c r="P69" s="10"/>
      <c r="Q69" s="10"/>
    </row>
    <row r="70" spans="4:17" ht="13" thickBot="1">
      <c r="E70" s="10"/>
      <c r="F70" s="10"/>
      <c r="G70" s="12"/>
      <c r="H70" s="13" t="s">
        <v>238</v>
      </c>
      <c r="I70" s="9" t="str">
        <f>IF(OR(H69="",H71=""),"",+IF(H69&gt;H71,E69,E71))</f>
        <v/>
      </c>
      <c r="J70" s="17"/>
      <c r="K70" s="10"/>
      <c r="L70" s="14"/>
      <c r="M70" s="10"/>
      <c r="N70" s="10"/>
      <c r="O70" s="10"/>
      <c r="P70" s="10"/>
      <c r="Q70" s="10"/>
    </row>
    <row r="71" spans="4:17" ht="13" thickBot="1">
      <c r="D71">
        <v>32</v>
      </c>
      <c r="E71" s="9">
        <v>0</v>
      </c>
      <c r="F71" s="9"/>
      <c r="G71" s="9">
        <f>E71</f>
        <v>0</v>
      </c>
      <c r="H71" s="16"/>
      <c r="I71" s="10"/>
      <c r="J71" s="14"/>
      <c r="K71" s="10"/>
      <c r="L71" s="14"/>
      <c r="M71" s="10"/>
      <c r="N71" s="10"/>
      <c r="O71" s="10"/>
      <c r="P71" s="10"/>
      <c r="Q71" s="10"/>
    </row>
    <row r="72" spans="4:17">
      <c r="E72" s="10"/>
      <c r="F72" s="10"/>
      <c r="G72" s="10"/>
      <c r="H72" s="10"/>
      <c r="I72" s="10"/>
      <c r="J72" s="14"/>
      <c r="K72" s="10"/>
      <c r="L72" s="14"/>
      <c r="M72" s="10"/>
      <c r="N72" s="10"/>
      <c r="O72" s="10"/>
      <c r="P72" s="10"/>
      <c r="Q72" s="10"/>
    </row>
    <row r="73" spans="4:17" ht="13" thickBot="1">
      <c r="D73">
        <v>33</v>
      </c>
      <c r="E73" s="10">
        <v>0</v>
      </c>
      <c r="F73" s="11"/>
      <c r="G73" s="10"/>
      <c r="H73" s="10"/>
      <c r="I73" s="10"/>
      <c r="J73" s="14" t="s">
        <v>256</v>
      </c>
      <c r="K73" s="9" t="str">
        <f>IF(OR(J70="",J76=""),"",+IF(J70&gt;J76,I70,I76))</f>
        <v/>
      </c>
      <c r="L73" s="16"/>
      <c r="M73" s="10"/>
      <c r="N73" s="10"/>
      <c r="O73" s="10"/>
      <c r="P73" s="10"/>
      <c r="Q73" s="10"/>
    </row>
    <row r="74" spans="4:17" ht="13" thickBot="1">
      <c r="E74" s="12"/>
      <c r="F74" s="13" t="s">
        <v>206</v>
      </c>
      <c r="G74" s="9" t="str">
        <f>IF(OR(F73="",F75=""),"",+IF(F73&gt;F75,E73,E75))</f>
        <v/>
      </c>
      <c r="H74" s="11"/>
      <c r="I74" s="10"/>
      <c r="J74" s="14"/>
      <c r="K74" s="10"/>
      <c r="L74" s="10"/>
      <c r="M74" s="10"/>
      <c r="N74" s="10"/>
      <c r="O74" s="10"/>
      <c r="P74" s="10"/>
      <c r="Q74" s="10"/>
    </row>
    <row r="75" spans="4:17" ht="13" thickBot="1">
      <c r="D75">
        <v>34</v>
      </c>
      <c r="E75" s="9">
        <v>0</v>
      </c>
      <c r="F75" s="16"/>
      <c r="G75" s="10"/>
      <c r="H75" s="13"/>
      <c r="I75" s="10"/>
      <c r="J75" s="14"/>
      <c r="K75" s="10"/>
      <c r="L75" s="10"/>
      <c r="M75" s="10"/>
      <c r="N75" s="10"/>
      <c r="O75" s="10"/>
      <c r="P75" s="10"/>
      <c r="Q75" s="10"/>
    </row>
    <row r="76" spans="4:17" ht="13" thickBot="1">
      <c r="E76" s="10"/>
      <c r="F76" s="10"/>
      <c r="G76" s="10"/>
      <c r="H76" s="14" t="s">
        <v>240</v>
      </c>
      <c r="I76" s="9" t="str">
        <f>IF(OR(H74="",H77=""),"",+IF(H74&gt;H77,G74,E77))</f>
        <v/>
      </c>
      <c r="J76" s="16"/>
      <c r="K76" s="10"/>
      <c r="L76" s="10"/>
      <c r="M76" s="9"/>
      <c r="N76" s="17"/>
      <c r="O76" s="10"/>
      <c r="P76" s="10"/>
      <c r="Q76" s="10"/>
    </row>
    <row r="77" spans="4:17" ht="13" thickBot="1">
      <c r="D77">
        <v>35</v>
      </c>
      <c r="E77" s="9">
        <v>0</v>
      </c>
      <c r="F77" s="9"/>
      <c r="G77" s="9">
        <f>E77</f>
        <v>0</v>
      </c>
      <c r="H77" s="16"/>
      <c r="I77" s="10"/>
      <c r="J77" s="10"/>
      <c r="K77" s="10"/>
      <c r="L77" s="10"/>
      <c r="M77" s="10"/>
      <c r="N77" s="13"/>
      <c r="O77" s="10"/>
      <c r="P77" s="10"/>
      <c r="Q77" s="10"/>
    </row>
    <row r="78" spans="4:17">
      <c r="M78" s="10"/>
      <c r="N78" s="14"/>
      <c r="O78" s="10"/>
    </row>
    <row r="79" spans="4:17">
      <c r="M79" s="10"/>
      <c r="N79" s="14"/>
      <c r="O79" s="10"/>
    </row>
    <row r="80" spans="4:17">
      <c r="M80" s="10"/>
      <c r="N80" s="14"/>
      <c r="O80" s="10"/>
    </row>
    <row r="81" spans="13:15">
      <c r="M81" s="10"/>
      <c r="N81" s="14"/>
      <c r="O81" s="10"/>
    </row>
    <row r="82" spans="13:15">
      <c r="M82" s="10"/>
      <c r="N82" s="14"/>
      <c r="O82" s="10"/>
    </row>
    <row r="83" spans="13:15">
      <c r="M83" s="10"/>
      <c r="N83" s="14"/>
      <c r="O83" s="10"/>
    </row>
    <row r="84" spans="13:15" ht="13" thickBot="1">
      <c r="M84" s="10"/>
      <c r="N84" s="14" t="s">
        <v>216</v>
      </c>
      <c r="O84" s="9" t="str">
        <f>IF(OR(N76="",N92=""),"",+IF(N76&gt;N92,M76,M92))</f>
        <v/>
      </c>
    </row>
    <row r="85" spans="13:15">
      <c r="M85" s="10"/>
      <c r="N85" s="14"/>
      <c r="O85" s="10"/>
    </row>
    <row r="86" spans="13:15">
      <c r="M86" s="10"/>
      <c r="N86" s="14"/>
      <c r="O86" s="10"/>
    </row>
    <row r="87" spans="13:15">
      <c r="M87" s="10"/>
      <c r="N87" s="14"/>
      <c r="O87" s="10"/>
    </row>
    <row r="88" spans="13:15">
      <c r="M88" s="10"/>
      <c r="N88" s="14"/>
      <c r="O88" s="10"/>
    </row>
    <row r="89" spans="13:15">
      <c r="M89" s="10"/>
      <c r="N89" s="14"/>
      <c r="O89" s="10"/>
    </row>
    <row r="90" spans="13:15">
      <c r="M90" s="10"/>
      <c r="N90" s="14"/>
      <c r="O90" s="10"/>
    </row>
    <row r="91" spans="13:15">
      <c r="M91" s="10"/>
      <c r="N91" s="14"/>
      <c r="O91" s="10"/>
    </row>
    <row r="92" spans="13:15" ht="13" thickBot="1">
      <c r="M92" s="9"/>
      <c r="N92" s="16"/>
      <c r="O92" s="10"/>
    </row>
    <row r="93" spans="13:15">
      <c r="M93" s="10"/>
      <c r="N93" s="10"/>
      <c r="O93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Plan32"/>
  <dimension ref="D5:AH89"/>
  <sheetViews>
    <sheetView showGridLines="0" topLeftCell="A41" zoomScale="80" zoomScaleNormal="80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5" max="15" width="13.87890625" customWidth="1"/>
    <col min="16" max="16" width="3.64453125" customWidth="1"/>
    <col min="17" max="17" width="16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5" spans="4:34">
      <c r="T5">
        <v>1</v>
      </c>
      <c r="U5" s="28">
        <f>E10</f>
        <v>0</v>
      </c>
      <c r="V5" t="s">
        <v>77</v>
      </c>
      <c r="W5" s="29">
        <f>E12</f>
        <v>0</v>
      </c>
      <c r="Z5" s="34"/>
      <c r="AA5" s="35" t="s">
        <v>153</v>
      </c>
      <c r="AB5" s="100"/>
      <c r="AC5" s="100"/>
      <c r="AD5" s="100"/>
      <c r="AE5" s="100"/>
      <c r="AF5" s="100"/>
      <c r="AG5" s="101"/>
      <c r="AH5" s="74"/>
    </row>
    <row r="6" spans="4:34">
      <c r="T6">
        <v>2</v>
      </c>
      <c r="U6" s="28">
        <f>E45</f>
        <v>0</v>
      </c>
      <c r="V6" t="s">
        <v>77</v>
      </c>
      <c r="W6" s="29">
        <f>E47</f>
        <v>0</v>
      </c>
      <c r="Z6" s="34"/>
      <c r="AA6" s="102"/>
      <c r="AB6" s="103"/>
      <c r="AC6" s="103"/>
      <c r="AD6" s="103"/>
      <c r="AE6" s="103"/>
      <c r="AF6" s="103"/>
      <c r="AG6" s="104"/>
      <c r="AH6" s="74"/>
    </row>
    <row r="7" spans="4:34" ht="13" thickBot="1">
      <c r="D7">
        <v>1</v>
      </c>
      <c r="E7" s="9">
        <v>0</v>
      </c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E7</f>
        <v>0</v>
      </c>
      <c r="V7" t="s">
        <v>77</v>
      </c>
      <c r="W7" s="29" t="s">
        <v>78</v>
      </c>
      <c r="Z7" s="34"/>
      <c r="AA7" s="37" t="s">
        <v>154</v>
      </c>
      <c r="AB7" s="37" t="s">
        <v>155</v>
      </c>
      <c r="AC7" s="105" t="s">
        <v>158</v>
      </c>
      <c r="AD7" s="106"/>
      <c r="AE7" s="83"/>
      <c r="AF7" s="39" t="s">
        <v>156</v>
      </c>
      <c r="AG7" s="48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P8" s="10"/>
      <c r="Q8" s="10"/>
      <c r="T8">
        <v>4</v>
      </c>
      <c r="U8" s="28">
        <f>E14</f>
        <v>0</v>
      </c>
      <c r="V8" t="s">
        <v>77</v>
      </c>
      <c r="W8" s="29">
        <f>E16</f>
        <v>0</v>
      </c>
      <c r="Z8" s="34"/>
      <c r="AA8" s="40"/>
      <c r="AB8" s="40"/>
      <c r="AC8" s="38" t="s">
        <v>159</v>
      </c>
      <c r="AD8" s="48">
        <v>1</v>
      </c>
      <c r="AE8" s="86">
        <f t="shared" ref="AE8:AE39" ca="1" si="0">LOOKUP(AD8,T$5:T$78,U$5:U$40)</f>
        <v>0</v>
      </c>
      <c r="AF8" s="37" t="s">
        <v>157</v>
      </c>
      <c r="AG8" s="86">
        <f t="shared" ref="AG8:AG39" ca="1" si="1">LOOKUP(AD8,T$5:T$78,W$5:W$41)</f>
        <v>0</v>
      </c>
      <c r="AH8" s="74"/>
    </row>
    <row r="9" spans="4:34" ht="13" thickBot="1">
      <c r="E9" s="10"/>
      <c r="F9" s="10"/>
      <c r="G9" s="10"/>
      <c r="H9" s="14" t="s">
        <v>206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P9" s="10"/>
      <c r="Q9" s="10"/>
      <c r="T9">
        <v>5</v>
      </c>
      <c r="U9" s="28">
        <f>E18</f>
        <v>0</v>
      </c>
      <c r="V9" t="s">
        <v>77</v>
      </c>
      <c r="W9" s="29">
        <f>E20</f>
        <v>0</v>
      </c>
      <c r="Z9" s="34"/>
      <c r="AA9" s="40"/>
      <c r="AB9" s="40"/>
      <c r="AC9" s="38" t="s">
        <v>159</v>
      </c>
      <c r="AD9" s="48">
        <v>2</v>
      </c>
      <c r="AE9" s="86">
        <f t="shared" ca="1" si="0"/>
        <v>0</v>
      </c>
      <c r="AF9" s="37" t="s">
        <v>157</v>
      </c>
      <c r="AG9" s="86">
        <f t="shared" ca="1" si="1"/>
        <v>0</v>
      </c>
      <c r="AH9" s="74"/>
    </row>
    <row r="10" spans="4:34" ht="13" thickBot="1">
      <c r="D10">
        <v>2</v>
      </c>
      <c r="E10" s="10">
        <v>0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P10" s="10"/>
      <c r="Q10" s="10"/>
      <c r="T10">
        <v>6</v>
      </c>
      <c r="U10" s="28">
        <f>E22</f>
        <v>0</v>
      </c>
      <c r="V10" t="s">
        <v>77</v>
      </c>
      <c r="W10" s="29">
        <f>E24</f>
        <v>0</v>
      </c>
      <c r="Z10" s="34"/>
      <c r="AA10" s="40"/>
      <c r="AB10" s="40"/>
      <c r="AC10" s="38" t="s">
        <v>159</v>
      </c>
      <c r="AD10" s="48">
        <v>3</v>
      </c>
      <c r="AE10" s="86">
        <f t="shared" ca="1" si="0"/>
        <v>0</v>
      </c>
      <c r="AF10" s="37" t="s">
        <v>157</v>
      </c>
      <c r="AG10" s="86" t="str">
        <f t="shared" ca="1" si="1"/>
        <v>Venc.J1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P11" s="10"/>
      <c r="Q11" s="10"/>
      <c r="T11">
        <v>7</v>
      </c>
      <c r="U11" s="28">
        <f>E26</f>
        <v>0</v>
      </c>
      <c r="V11" t="s">
        <v>77</v>
      </c>
      <c r="W11" s="29">
        <f>E28</f>
        <v>0</v>
      </c>
      <c r="Z11" s="34"/>
      <c r="AA11" s="40"/>
      <c r="AB11" s="40"/>
      <c r="AC11" s="38" t="s">
        <v>159</v>
      </c>
      <c r="AD11" s="48">
        <v>4</v>
      </c>
      <c r="AE11" s="86">
        <f t="shared" ca="1" si="0"/>
        <v>0</v>
      </c>
      <c r="AF11" s="37" t="s">
        <v>157</v>
      </c>
      <c r="AG11" s="86">
        <f t="shared" ca="1" si="1"/>
        <v>0</v>
      </c>
      <c r="AH11" s="74"/>
    </row>
    <row r="12" spans="4:34" ht="13" thickBot="1">
      <c r="D12">
        <v>3</v>
      </c>
      <c r="E12" s="10">
        <v>0</v>
      </c>
      <c r="F12" s="16"/>
      <c r="G12" s="10"/>
      <c r="H12" s="10"/>
      <c r="I12" s="10"/>
      <c r="J12" s="14" t="s">
        <v>240</v>
      </c>
      <c r="K12" s="9" t="str">
        <f>IF(OR(J9="",J15=""),"",+IF(J9&gt;J15,I9,I15))</f>
        <v/>
      </c>
      <c r="L12" s="17"/>
      <c r="M12" s="10"/>
      <c r="N12" s="10"/>
      <c r="O12" s="10"/>
      <c r="P12" s="10"/>
      <c r="Q12" s="10"/>
      <c r="T12">
        <v>8</v>
      </c>
      <c r="U12" s="28">
        <f>E30</f>
        <v>0</v>
      </c>
      <c r="V12" t="s">
        <v>77</v>
      </c>
      <c r="W12" s="29">
        <f>E32</f>
        <v>0</v>
      </c>
      <c r="Z12" s="34"/>
      <c r="AA12" s="40"/>
      <c r="AB12" s="40"/>
      <c r="AC12" s="38" t="s">
        <v>159</v>
      </c>
      <c r="AD12" s="48">
        <v>5</v>
      </c>
      <c r="AE12" s="86">
        <f t="shared" ca="1" si="0"/>
        <v>0</v>
      </c>
      <c r="AF12" s="37" t="s">
        <v>157</v>
      </c>
      <c r="AG12" s="86">
        <f t="shared" ca="1" si="1"/>
        <v>0</v>
      </c>
      <c r="AH12" s="74"/>
    </row>
    <row r="13" spans="4:34">
      <c r="E13" s="12"/>
      <c r="F13" s="10"/>
      <c r="G13" s="10"/>
      <c r="H13" s="10"/>
      <c r="I13" s="10"/>
      <c r="J13" s="14"/>
      <c r="K13" s="10"/>
      <c r="L13" s="10"/>
      <c r="M13" s="19"/>
      <c r="N13" s="10"/>
      <c r="O13" s="10"/>
      <c r="P13" s="10"/>
      <c r="Q13" s="10"/>
      <c r="T13">
        <v>9</v>
      </c>
      <c r="U13" s="28">
        <f>E34</f>
        <v>0</v>
      </c>
      <c r="V13" t="s">
        <v>77</v>
      </c>
      <c r="W13" s="29">
        <f>E36</f>
        <v>0</v>
      </c>
      <c r="Z13" s="34"/>
      <c r="AA13" s="40"/>
      <c r="AB13" s="40"/>
      <c r="AC13" s="38" t="s">
        <v>159</v>
      </c>
      <c r="AD13" s="48">
        <v>6</v>
      </c>
      <c r="AE13" s="86">
        <f t="shared" ca="1" si="0"/>
        <v>0</v>
      </c>
      <c r="AF13" s="37" t="s">
        <v>157</v>
      </c>
      <c r="AG13" s="86">
        <f t="shared" ca="1" si="1"/>
        <v>0</v>
      </c>
      <c r="AH13" s="74"/>
    </row>
    <row r="14" spans="4:34" ht="13" thickBot="1">
      <c r="D14">
        <v>4</v>
      </c>
      <c r="E14" s="9">
        <v>0</v>
      </c>
      <c r="F14" s="9"/>
      <c r="G14" s="9">
        <f>E14</f>
        <v>0</v>
      </c>
      <c r="H14" s="11"/>
      <c r="I14" s="10"/>
      <c r="J14" s="14"/>
      <c r="K14" s="10"/>
      <c r="L14" s="10"/>
      <c r="M14" s="19"/>
      <c r="N14" s="10"/>
      <c r="O14" s="10"/>
      <c r="P14" s="10"/>
      <c r="Q14" s="10"/>
      <c r="T14">
        <v>10</v>
      </c>
      <c r="U14" s="28">
        <f>E38</f>
        <v>0</v>
      </c>
      <c r="V14" t="s">
        <v>77</v>
      </c>
      <c r="W14" s="29">
        <f>E40</f>
        <v>0</v>
      </c>
      <c r="Z14" s="34"/>
      <c r="AA14" s="40"/>
      <c r="AB14" s="40"/>
      <c r="AC14" s="38" t="s">
        <v>159</v>
      </c>
      <c r="AD14" s="48">
        <v>7</v>
      </c>
      <c r="AE14" s="86">
        <f t="shared" ca="1" si="0"/>
        <v>0</v>
      </c>
      <c r="AF14" s="37" t="s">
        <v>157</v>
      </c>
      <c r="AG14" s="86">
        <f t="shared" ca="1" si="1"/>
        <v>0</v>
      </c>
      <c r="AH14" s="74"/>
    </row>
    <row r="15" spans="4:34" ht="13" thickBot="1">
      <c r="E15" s="10"/>
      <c r="F15" s="10"/>
      <c r="G15" s="10"/>
      <c r="H15" s="13" t="s">
        <v>208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P15" s="10"/>
      <c r="Q15" s="10"/>
      <c r="T15">
        <v>11</v>
      </c>
      <c r="U15" s="28">
        <f>E42</f>
        <v>0</v>
      </c>
      <c r="V15" t="s">
        <v>77</v>
      </c>
      <c r="W15" s="29" t="s">
        <v>268</v>
      </c>
      <c r="Z15" s="34"/>
      <c r="AA15" s="40"/>
      <c r="AB15" s="40"/>
      <c r="AC15" s="38" t="s">
        <v>159</v>
      </c>
      <c r="AD15" s="48">
        <v>8</v>
      </c>
      <c r="AE15" s="86">
        <f t="shared" ca="1" si="0"/>
        <v>0</v>
      </c>
      <c r="AF15" s="37" t="s">
        <v>157</v>
      </c>
      <c r="AG15" s="86">
        <f t="shared" ca="1" si="1"/>
        <v>0</v>
      </c>
      <c r="AH15" s="74"/>
    </row>
    <row r="16" spans="4:34" ht="13" thickBot="1">
      <c r="D16">
        <v>5</v>
      </c>
      <c r="E16" s="9">
        <v>0</v>
      </c>
      <c r="F16" s="9"/>
      <c r="G16" s="9">
        <f>E16</f>
        <v>0</v>
      </c>
      <c r="H16" s="16"/>
      <c r="I16" s="10"/>
      <c r="J16" s="10"/>
      <c r="K16" s="10"/>
      <c r="L16" s="10"/>
      <c r="M16" s="19"/>
      <c r="N16" s="10"/>
      <c r="O16" s="10"/>
      <c r="P16" s="10"/>
      <c r="Q16" s="10"/>
      <c r="T16">
        <v>12</v>
      </c>
      <c r="U16" s="28">
        <f>E49</f>
        <v>0</v>
      </c>
      <c r="V16" t="s">
        <v>77</v>
      </c>
      <c r="W16" s="29">
        <f>E51</f>
        <v>0</v>
      </c>
      <c r="Z16" s="34"/>
      <c r="AA16" s="40"/>
      <c r="AB16" s="40"/>
      <c r="AC16" s="38" t="s">
        <v>159</v>
      </c>
      <c r="AD16" s="48">
        <v>9</v>
      </c>
      <c r="AE16" s="86">
        <f t="shared" ca="1" si="0"/>
        <v>0</v>
      </c>
      <c r="AF16" s="37" t="s">
        <v>157</v>
      </c>
      <c r="AG16" s="86">
        <f t="shared" ca="1" si="1"/>
        <v>0</v>
      </c>
      <c r="AH16" s="74"/>
    </row>
    <row r="17" spans="4:34" ht="13" thickBot="1">
      <c r="E17" s="10"/>
      <c r="F17" s="10"/>
      <c r="G17" s="10"/>
      <c r="H17" s="10"/>
      <c r="I17" s="10"/>
      <c r="J17" s="10"/>
      <c r="K17" s="10"/>
      <c r="L17" s="14" t="s">
        <v>256</v>
      </c>
      <c r="M17" s="9" t="str">
        <f>IF(OR(L12="",L21=""),"",+IF(L12&gt;L21,K12,K21))</f>
        <v/>
      </c>
      <c r="N17" s="17"/>
      <c r="O17" s="10"/>
      <c r="P17" s="10"/>
      <c r="Q17" s="10"/>
      <c r="T17">
        <v>13</v>
      </c>
      <c r="U17" s="28">
        <f>E53</f>
        <v>0</v>
      </c>
      <c r="V17" t="s">
        <v>77</v>
      </c>
      <c r="W17" s="29">
        <f>E55</f>
        <v>0</v>
      </c>
      <c r="Z17" s="34"/>
      <c r="AA17" s="40"/>
      <c r="AB17" s="40"/>
      <c r="AC17" s="38" t="s">
        <v>159</v>
      </c>
      <c r="AD17" s="48">
        <v>10</v>
      </c>
      <c r="AE17" s="86">
        <f t="shared" ca="1" si="0"/>
        <v>0</v>
      </c>
      <c r="AF17" s="37" t="s">
        <v>157</v>
      </c>
      <c r="AG17" s="86">
        <f t="shared" ca="1" si="1"/>
        <v>0</v>
      </c>
      <c r="AH17" s="74"/>
    </row>
    <row r="18" spans="4:34" ht="13" thickBot="1">
      <c r="D18">
        <v>6</v>
      </c>
      <c r="E18" s="9">
        <v>0</v>
      </c>
      <c r="F18" s="9"/>
      <c r="G18" s="9">
        <f>E18</f>
        <v>0</v>
      </c>
      <c r="H18" s="11"/>
      <c r="I18" s="10"/>
      <c r="J18" s="10"/>
      <c r="K18" s="10"/>
      <c r="L18" s="10"/>
      <c r="M18" s="19"/>
      <c r="N18" s="13"/>
      <c r="O18" s="10"/>
      <c r="P18" s="10"/>
      <c r="Q18" s="10"/>
      <c r="T18">
        <v>14</v>
      </c>
      <c r="U18" s="28">
        <f>E57</f>
        <v>0</v>
      </c>
      <c r="V18" t="s">
        <v>77</v>
      </c>
      <c r="W18" s="29">
        <f>E59</f>
        <v>0</v>
      </c>
      <c r="Z18" s="34"/>
      <c r="AA18" s="40"/>
      <c r="AB18" s="40"/>
      <c r="AC18" s="38" t="s">
        <v>159</v>
      </c>
      <c r="AD18" s="48">
        <v>11</v>
      </c>
      <c r="AE18" s="86">
        <f t="shared" ca="1" si="0"/>
        <v>0</v>
      </c>
      <c r="AF18" s="37" t="s">
        <v>157</v>
      </c>
      <c r="AG18" s="86" t="str">
        <f t="shared" ca="1" si="1"/>
        <v>VencJ2</v>
      </c>
      <c r="AH18" s="74"/>
    </row>
    <row r="19" spans="4:34" ht="13" thickBot="1">
      <c r="E19" s="10"/>
      <c r="F19" s="10"/>
      <c r="G19" s="12"/>
      <c r="H19" s="13" t="s">
        <v>210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P19" s="10"/>
      <c r="Q19" s="10"/>
      <c r="T19">
        <v>15</v>
      </c>
      <c r="U19" s="28">
        <f>E61</f>
        <v>0</v>
      </c>
      <c r="V19" t="s">
        <v>77</v>
      </c>
      <c r="W19" s="29">
        <f>E63</f>
        <v>0</v>
      </c>
      <c r="Z19" s="34"/>
      <c r="AA19" s="40"/>
      <c r="AB19" s="40"/>
      <c r="AC19" s="38" t="s">
        <v>159</v>
      </c>
      <c r="AD19" s="48">
        <v>12</v>
      </c>
      <c r="AE19" s="86">
        <f t="shared" ca="1" si="0"/>
        <v>0</v>
      </c>
      <c r="AF19" s="37" t="s">
        <v>157</v>
      </c>
      <c r="AG19" s="86">
        <f t="shared" ca="1" si="1"/>
        <v>0</v>
      </c>
      <c r="AH19" s="74"/>
    </row>
    <row r="20" spans="4:34" ht="13" thickBot="1">
      <c r="D20">
        <v>7</v>
      </c>
      <c r="E20" s="9">
        <v>0</v>
      </c>
      <c r="F20" s="9"/>
      <c r="G20" s="9">
        <f>E20</f>
        <v>0</v>
      </c>
      <c r="H20" s="16"/>
      <c r="I20" s="10"/>
      <c r="J20" s="14"/>
      <c r="K20" s="10"/>
      <c r="L20" s="10"/>
      <c r="M20" s="19"/>
      <c r="N20" s="14"/>
      <c r="O20" s="10"/>
      <c r="P20" s="10"/>
      <c r="Q20" s="10"/>
      <c r="T20">
        <v>16</v>
      </c>
      <c r="U20" s="28">
        <f>E65</f>
        <v>0</v>
      </c>
      <c r="V20" t="s">
        <v>77</v>
      </c>
      <c r="W20" s="29">
        <f>E67</f>
        <v>0</v>
      </c>
      <c r="Z20" s="34"/>
      <c r="AA20" s="40"/>
      <c r="AB20" s="40"/>
      <c r="AC20" s="38" t="s">
        <v>159</v>
      </c>
      <c r="AD20" s="48">
        <v>13</v>
      </c>
      <c r="AE20" s="86">
        <f t="shared" ca="1" si="0"/>
        <v>0</v>
      </c>
      <c r="AF20" s="37" t="s">
        <v>157</v>
      </c>
      <c r="AG20" s="86">
        <f t="shared" ca="1" si="1"/>
        <v>0</v>
      </c>
      <c r="AH20" s="74"/>
    </row>
    <row r="21" spans="4:34" ht="13" thickBot="1">
      <c r="E21" s="10"/>
      <c r="F21" s="10"/>
      <c r="G21" s="12"/>
      <c r="H21" s="10"/>
      <c r="I21" s="10"/>
      <c r="J21" s="14" t="s">
        <v>242</v>
      </c>
      <c r="K21" s="9" t="str">
        <f>IF(OR(J19="",J23=""),"",+IF(J19&gt;J23,I19,I23))</f>
        <v/>
      </c>
      <c r="L21" s="16"/>
      <c r="M21" s="19"/>
      <c r="N21" s="14"/>
      <c r="O21" s="10"/>
      <c r="P21" s="10"/>
      <c r="Q21" s="10"/>
      <c r="T21">
        <v>17</v>
      </c>
      <c r="U21" s="28">
        <f>E69</f>
        <v>0</v>
      </c>
      <c r="V21" t="s">
        <v>77</v>
      </c>
      <c r="W21" s="29">
        <f>E71</f>
        <v>0</v>
      </c>
      <c r="Z21" s="34"/>
      <c r="AA21" s="40"/>
      <c r="AB21" s="40"/>
      <c r="AC21" s="38" t="s">
        <v>159</v>
      </c>
      <c r="AD21" s="48">
        <v>14</v>
      </c>
      <c r="AE21" s="86">
        <f t="shared" ca="1" si="0"/>
        <v>0</v>
      </c>
      <c r="AF21" s="37" t="s">
        <v>157</v>
      </c>
      <c r="AG21" s="86">
        <f t="shared" ca="1" si="1"/>
        <v>0</v>
      </c>
      <c r="AH21" s="74"/>
    </row>
    <row r="22" spans="4:34" ht="13" thickBot="1">
      <c r="D22">
        <v>8</v>
      </c>
      <c r="E22" s="9">
        <v>0</v>
      </c>
      <c r="F22" s="9"/>
      <c r="G22" s="9">
        <f>E22</f>
        <v>0</v>
      </c>
      <c r="H22" s="11"/>
      <c r="I22" s="10"/>
      <c r="J22" s="14"/>
      <c r="K22" s="10"/>
      <c r="L22" s="10"/>
      <c r="M22" s="10"/>
      <c r="N22" s="14"/>
      <c r="O22" s="10"/>
      <c r="P22" s="10"/>
      <c r="Q22" s="10"/>
      <c r="T22">
        <v>18</v>
      </c>
      <c r="U22" s="28">
        <f>E73</f>
        <v>0</v>
      </c>
      <c r="V22" t="s">
        <v>77</v>
      </c>
      <c r="W22" s="29">
        <f>E75</f>
        <v>0</v>
      </c>
      <c r="Z22" s="34"/>
      <c r="AA22" s="40"/>
      <c r="AB22" s="40"/>
      <c r="AC22" s="38" t="s">
        <v>159</v>
      </c>
      <c r="AD22" s="48">
        <v>15</v>
      </c>
      <c r="AE22" s="86">
        <f t="shared" ca="1" si="0"/>
        <v>0</v>
      </c>
      <c r="AF22" s="37" t="s">
        <v>157</v>
      </c>
      <c r="AG22" s="86">
        <f t="shared" ca="1" si="1"/>
        <v>0</v>
      </c>
      <c r="AH22" s="74"/>
    </row>
    <row r="23" spans="4:34" ht="13" thickBot="1">
      <c r="E23" s="10"/>
      <c r="F23" s="10"/>
      <c r="G23" s="12"/>
      <c r="H23" s="13" t="s">
        <v>212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P23" s="10"/>
      <c r="Q23" s="10"/>
      <c r="T23">
        <v>19</v>
      </c>
      <c r="U23" s="28" t="s">
        <v>161</v>
      </c>
      <c r="V23" t="s">
        <v>77</v>
      </c>
      <c r="W23" s="29" t="s">
        <v>81</v>
      </c>
      <c r="Z23" s="34"/>
      <c r="AA23" s="40"/>
      <c r="AB23" s="40"/>
      <c r="AC23" s="38" t="s">
        <v>159</v>
      </c>
      <c r="AD23" s="48">
        <v>16</v>
      </c>
      <c r="AE23" s="86">
        <f t="shared" ca="1" si="0"/>
        <v>0</v>
      </c>
      <c r="AF23" s="37" t="s">
        <v>157</v>
      </c>
      <c r="AG23" s="86">
        <f t="shared" ca="1" si="1"/>
        <v>0</v>
      </c>
      <c r="AH23" s="74"/>
    </row>
    <row r="24" spans="4:34" ht="13" thickBot="1">
      <c r="D24">
        <v>9</v>
      </c>
      <c r="E24" s="9">
        <v>0</v>
      </c>
      <c r="F24" s="9"/>
      <c r="G24" s="9">
        <f>E24</f>
        <v>0</v>
      </c>
      <c r="H24" s="16"/>
      <c r="I24" s="10"/>
      <c r="J24" s="10"/>
      <c r="K24" s="10"/>
      <c r="L24" s="10"/>
      <c r="M24" s="10"/>
      <c r="N24" s="14"/>
      <c r="O24" s="10"/>
      <c r="P24" s="10"/>
      <c r="Q24" s="10"/>
      <c r="T24">
        <v>20</v>
      </c>
      <c r="U24" s="28" t="s">
        <v>162</v>
      </c>
      <c r="V24" t="s">
        <v>77</v>
      </c>
      <c r="W24" s="29" t="s">
        <v>163</v>
      </c>
      <c r="Z24" s="34"/>
      <c r="AA24" s="40"/>
      <c r="AB24" s="40"/>
      <c r="AC24" s="38" t="s">
        <v>159</v>
      </c>
      <c r="AD24" s="48">
        <v>17</v>
      </c>
      <c r="AE24" s="86">
        <f t="shared" ca="1" si="0"/>
        <v>0</v>
      </c>
      <c r="AF24" s="37" t="s">
        <v>157</v>
      </c>
      <c r="AG24" s="86">
        <f t="shared" ca="1" si="1"/>
        <v>0</v>
      </c>
      <c r="AH24" s="74"/>
    </row>
    <row r="25" spans="4:34" ht="13" thickBot="1">
      <c r="E25" s="10"/>
      <c r="F25" s="10"/>
      <c r="G25" s="10"/>
      <c r="H25" s="10"/>
      <c r="I25" s="10"/>
      <c r="J25" s="10"/>
      <c r="K25" s="10"/>
      <c r="L25" s="10"/>
      <c r="M25" s="10"/>
      <c r="N25" s="14" t="s">
        <v>205</v>
      </c>
      <c r="O25" s="9" t="str">
        <f>IF(OR(N17="",N33=""),"",+IF(N17&gt;N33,M17,M33))</f>
        <v/>
      </c>
      <c r="P25" s="17"/>
      <c r="Q25" s="10"/>
      <c r="T25">
        <v>21</v>
      </c>
      <c r="U25" s="28" t="s">
        <v>84</v>
      </c>
      <c r="V25" t="s">
        <v>77</v>
      </c>
      <c r="W25" s="29" t="s">
        <v>164</v>
      </c>
      <c r="Z25" s="34"/>
      <c r="AA25" s="40"/>
      <c r="AB25" s="40"/>
      <c r="AC25" s="38" t="s">
        <v>159</v>
      </c>
      <c r="AD25" s="48">
        <v>18</v>
      </c>
      <c r="AE25" s="86">
        <f t="shared" ca="1" si="0"/>
        <v>0</v>
      </c>
      <c r="AF25" s="37" t="s">
        <v>157</v>
      </c>
      <c r="AG25" s="86">
        <f t="shared" ca="1" si="1"/>
        <v>0</v>
      </c>
      <c r="AH25" s="74"/>
    </row>
    <row r="26" spans="4:34" ht="13" thickBot="1">
      <c r="D26">
        <v>10</v>
      </c>
      <c r="E26" s="9">
        <v>0</v>
      </c>
      <c r="F26" s="9"/>
      <c r="G26" s="9">
        <f>E26</f>
        <v>0</v>
      </c>
      <c r="H26" s="11"/>
      <c r="I26" s="10"/>
      <c r="J26" s="10"/>
      <c r="K26" s="10"/>
      <c r="L26" s="10"/>
      <c r="M26" s="10"/>
      <c r="N26" s="14"/>
      <c r="O26" s="10"/>
      <c r="P26" s="14"/>
      <c r="Q26" s="10"/>
      <c r="T26">
        <v>22</v>
      </c>
      <c r="U26" s="28" t="s">
        <v>86</v>
      </c>
      <c r="V26" t="s">
        <v>77</v>
      </c>
      <c r="W26" s="29" t="s">
        <v>87</v>
      </c>
      <c r="Z26" s="34"/>
      <c r="AA26" s="40"/>
      <c r="AB26" s="40"/>
      <c r="AC26" s="38" t="s">
        <v>159</v>
      </c>
      <c r="AD26" s="48">
        <v>19</v>
      </c>
      <c r="AE26" s="86" t="str">
        <f t="shared" ca="1" si="0"/>
        <v>Venc.J3</v>
      </c>
      <c r="AF26" s="37" t="s">
        <v>157</v>
      </c>
      <c r="AG26" s="86" t="str">
        <f t="shared" ca="1" si="1"/>
        <v>Venc.J4</v>
      </c>
      <c r="AH26" s="74"/>
    </row>
    <row r="27" spans="4:34" ht="13" thickBot="1">
      <c r="E27" s="10"/>
      <c r="F27" s="10"/>
      <c r="G27" s="10"/>
      <c r="H27" s="13" t="s">
        <v>214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  <c r="P27" s="14"/>
      <c r="Q27" s="10"/>
      <c r="T27">
        <v>23</v>
      </c>
      <c r="U27" s="28" t="s">
        <v>88</v>
      </c>
      <c r="V27" t="s">
        <v>77</v>
      </c>
      <c r="W27" s="29" t="s">
        <v>89</v>
      </c>
      <c r="Z27" s="34"/>
      <c r="AA27" s="40"/>
      <c r="AB27" s="40"/>
      <c r="AC27" s="38" t="s">
        <v>159</v>
      </c>
      <c r="AD27" s="48">
        <v>20</v>
      </c>
      <c r="AE27" s="86" t="str">
        <f t="shared" ca="1" si="0"/>
        <v>Venc.J5</v>
      </c>
      <c r="AF27" s="37" t="s">
        <v>157</v>
      </c>
      <c r="AG27" s="86" t="str">
        <f t="shared" ca="1" si="1"/>
        <v>Venc.J6</v>
      </c>
      <c r="AH27" s="74"/>
    </row>
    <row r="28" spans="4:34" ht="13" thickBot="1">
      <c r="D28">
        <v>11</v>
      </c>
      <c r="E28" s="9">
        <v>0</v>
      </c>
      <c r="F28" s="9"/>
      <c r="G28" s="9">
        <f>E28</f>
        <v>0</v>
      </c>
      <c r="H28" s="16"/>
      <c r="I28" s="10"/>
      <c r="J28" s="14"/>
      <c r="K28" s="10"/>
      <c r="L28" s="10"/>
      <c r="M28" s="10"/>
      <c r="N28" s="14"/>
      <c r="O28" s="10"/>
      <c r="P28" s="14"/>
      <c r="Q28" s="10"/>
      <c r="T28">
        <v>24</v>
      </c>
      <c r="U28" s="28" t="s">
        <v>90</v>
      </c>
      <c r="V28" t="s">
        <v>77</v>
      </c>
      <c r="W28" s="29" t="s">
        <v>91</v>
      </c>
      <c r="Z28" s="34"/>
      <c r="AA28" s="40"/>
      <c r="AB28" s="40"/>
      <c r="AC28" s="38" t="s">
        <v>159</v>
      </c>
      <c r="AD28" s="48">
        <v>21</v>
      </c>
      <c r="AE28" s="86" t="str">
        <f t="shared" ca="1" si="0"/>
        <v>Venc.J7</v>
      </c>
      <c r="AF28" s="37" t="s">
        <v>157</v>
      </c>
      <c r="AG28" s="86" t="str">
        <f t="shared" ca="1" si="1"/>
        <v>Venc.J8</v>
      </c>
      <c r="AH28" s="74"/>
    </row>
    <row r="29" spans="4:34" ht="13" thickBot="1">
      <c r="E29" s="10"/>
      <c r="F29" s="10"/>
      <c r="G29" s="10"/>
      <c r="H29" s="10"/>
      <c r="I29" s="10"/>
      <c r="J29" s="14" t="s">
        <v>244</v>
      </c>
      <c r="K29" s="9" t="str">
        <f>IF(OR(J27="",J31=""),"",+IF(J27&gt;J31,I27,I31))</f>
        <v/>
      </c>
      <c r="L29" s="17"/>
      <c r="M29" s="10"/>
      <c r="N29" s="14"/>
      <c r="O29" s="10"/>
      <c r="P29" s="14"/>
      <c r="Q29" s="10"/>
      <c r="T29">
        <v>25</v>
      </c>
      <c r="U29" s="28" t="s">
        <v>92</v>
      </c>
      <c r="V29" t="s">
        <v>77</v>
      </c>
      <c r="W29" s="29" t="s">
        <v>165</v>
      </c>
      <c r="Z29" s="34"/>
      <c r="AA29" s="40"/>
      <c r="AB29" s="40"/>
      <c r="AC29" s="38" t="s">
        <v>159</v>
      </c>
      <c r="AD29" s="48">
        <v>22</v>
      </c>
      <c r="AE29" s="86" t="str">
        <f t="shared" ca="1" si="0"/>
        <v>Venc.J9</v>
      </c>
      <c r="AF29" s="37" t="s">
        <v>157</v>
      </c>
      <c r="AG29" s="86" t="str">
        <f t="shared" ca="1" si="1"/>
        <v>Venc.J10</v>
      </c>
      <c r="AH29" s="74"/>
    </row>
    <row r="30" spans="4:34" ht="13" thickBot="1">
      <c r="D30">
        <v>12</v>
      </c>
      <c r="E30" s="9">
        <v>0</v>
      </c>
      <c r="F30" s="9"/>
      <c r="G30" s="9">
        <f>E30</f>
        <v>0</v>
      </c>
      <c r="H30" s="11"/>
      <c r="I30" s="10"/>
      <c r="J30" s="14"/>
      <c r="K30" s="10"/>
      <c r="L30" s="13"/>
      <c r="M30" s="10"/>
      <c r="N30" s="14"/>
      <c r="O30" s="10"/>
      <c r="P30" s="14"/>
      <c r="Q30" s="10"/>
      <c r="T30">
        <v>26</v>
      </c>
      <c r="U30" s="28" t="s">
        <v>94</v>
      </c>
      <c r="V30" t="s">
        <v>77</v>
      </c>
      <c r="W30" s="29" t="s">
        <v>95</v>
      </c>
      <c r="Z30" s="34"/>
      <c r="AA30" s="40"/>
      <c r="AB30" s="40"/>
      <c r="AC30" s="38" t="s">
        <v>159</v>
      </c>
      <c r="AD30" s="48">
        <v>23</v>
      </c>
      <c r="AE30" s="86" t="str">
        <f t="shared" ca="1" si="0"/>
        <v>Venc.J11</v>
      </c>
      <c r="AF30" s="37" t="s">
        <v>157</v>
      </c>
      <c r="AG30" s="86" t="str">
        <f t="shared" ca="1" si="1"/>
        <v>Venc.J12</v>
      </c>
      <c r="AH30" s="74"/>
    </row>
    <row r="31" spans="4:34" ht="13" thickBot="1">
      <c r="E31" s="10"/>
      <c r="F31" s="10"/>
      <c r="G31" s="10"/>
      <c r="H31" s="13" t="s">
        <v>217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  <c r="P31" s="14"/>
      <c r="Q31" s="10"/>
      <c r="T31">
        <v>27</v>
      </c>
      <c r="U31" s="28" t="s">
        <v>96</v>
      </c>
      <c r="V31" t="s">
        <v>77</v>
      </c>
      <c r="W31" s="29" t="s">
        <v>97</v>
      </c>
      <c r="Z31" s="34"/>
      <c r="AA31" s="40"/>
      <c r="AB31" s="40"/>
      <c r="AC31" s="38" t="s">
        <v>159</v>
      </c>
      <c r="AD31" s="48">
        <v>24</v>
      </c>
      <c r="AE31" s="86" t="str">
        <f t="shared" ca="1" si="0"/>
        <v>Venc.J13</v>
      </c>
      <c r="AF31" s="37" t="s">
        <v>157</v>
      </c>
      <c r="AG31" s="86" t="str">
        <f t="shared" ca="1" si="1"/>
        <v>Venc.J14</v>
      </c>
      <c r="AH31" s="74"/>
    </row>
    <row r="32" spans="4:34" ht="13" thickBot="1">
      <c r="D32">
        <v>13</v>
      </c>
      <c r="E32" s="9">
        <v>0</v>
      </c>
      <c r="F32" s="9"/>
      <c r="G32" s="9">
        <f>E32</f>
        <v>0</v>
      </c>
      <c r="H32" s="16"/>
      <c r="I32" s="10"/>
      <c r="J32" s="10"/>
      <c r="K32" s="10"/>
      <c r="L32" s="14"/>
      <c r="M32" s="10"/>
      <c r="N32" s="14"/>
      <c r="O32" s="10"/>
      <c r="P32" s="14"/>
      <c r="Q32" s="10"/>
      <c r="T32">
        <v>28</v>
      </c>
      <c r="U32" s="28" t="s">
        <v>98</v>
      </c>
      <c r="V32" t="s">
        <v>77</v>
      </c>
      <c r="W32" s="29" t="s">
        <v>99</v>
      </c>
      <c r="Z32" s="34"/>
      <c r="AA32" s="40"/>
      <c r="AB32" s="40"/>
      <c r="AC32" s="38" t="s">
        <v>159</v>
      </c>
      <c r="AD32" s="48">
        <v>25</v>
      </c>
      <c r="AE32" s="86" t="str">
        <f t="shared" ca="1" si="0"/>
        <v>Venc.J15</v>
      </c>
      <c r="AF32" s="37" t="s">
        <v>157</v>
      </c>
      <c r="AG32" s="86" t="str">
        <f t="shared" ca="1" si="1"/>
        <v>Venc.J16</v>
      </c>
      <c r="AH32" s="74"/>
    </row>
    <row r="33" spans="4:34" ht="13" thickBot="1">
      <c r="E33" s="10"/>
      <c r="F33" s="10"/>
      <c r="G33" s="10"/>
      <c r="H33" s="10"/>
      <c r="I33" s="10"/>
      <c r="J33" s="10"/>
      <c r="K33" s="10"/>
      <c r="L33" s="14" t="s">
        <v>258</v>
      </c>
      <c r="M33" s="9" t="str">
        <f>IF(OR(L29="",L37=""),"",+IF(L29&gt;L37,K29,K37))</f>
        <v/>
      </c>
      <c r="N33" s="16"/>
      <c r="O33" s="10"/>
      <c r="P33" s="14"/>
      <c r="Q33" s="10"/>
      <c r="T33">
        <v>29</v>
      </c>
      <c r="U33" s="28" t="s">
        <v>100</v>
      </c>
      <c r="V33" t="s">
        <v>77</v>
      </c>
      <c r="W33" s="29" t="s">
        <v>101</v>
      </c>
      <c r="Z33" s="34"/>
      <c r="AA33" s="40"/>
      <c r="AB33" s="40"/>
      <c r="AC33" s="38" t="s">
        <v>159</v>
      </c>
      <c r="AD33" s="48">
        <v>26</v>
      </c>
      <c r="AE33" s="86" t="str">
        <f t="shared" ca="1" si="0"/>
        <v>Venc.J17</v>
      </c>
      <c r="AF33" s="37" t="s">
        <v>157</v>
      </c>
      <c r="AG33" s="86" t="str">
        <f t="shared" ca="1" si="1"/>
        <v>Venc.J18</v>
      </c>
      <c r="AH33" s="74"/>
    </row>
    <row r="34" spans="4:34" ht="13" thickBot="1">
      <c r="D34">
        <v>14</v>
      </c>
      <c r="E34" s="9">
        <v>0</v>
      </c>
      <c r="F34" s="9"/>
      <c r="G34" s="9">
        <f>E34</f>
        <v>0</v>
      </c>
      <c r="H34" s="11"/>
      <c r="I34" s="10"/>
      <c r="J34" s="10"/>
      <c r="K34" s="10"/>
      <c r="L34" s="14"/>
      <c r="M34" s="10"/>
      <c r="N34" s="10"/>
      <c r="O34" s="10"/>
      <c r="P34" s="14"/>
      <c r="Q34" s="10"/>
      <c r="T34">
        <v>30</v>
      </c>
      <c r="U34" s="28" t="s">
        <v>102</v>
      </c>
      <c r="V34" t="s">
        <v>77</v>
      </c>
      <c r="W34" s="29" t="s">
        <v>103</v>
      </c>
      <c r="Z34" s="34"/>
      <c r="AA34" s="40"/>
      <c r="AB34" s="40"/>
      <c r="AC34" s="38" t="s">
        <v>159</v>
      </c>
      <c r="AD34" s="48">
        <v>27</v>
      </c>
      <c r="AE34" s="86" t="str">
        <f t="shared" ca="1" si="0"/>
        <v>Venc.J19</v>
      </c>
      <c r="AF34" s="37" t="s">
        <v>157</v>
      </c>
      <c r="AG34" s="86" t="str">
        <f t="shared" ca="1" si="1"/>
        <v>Venc.J20</v>
      </c>
      <c r="AH34" s="74"/>
    </row>
    <row r="35" spans="4:34" ht="13" thickBot="1">
      <c r="E35" s="10"/>
      <c r="F35" s="10"/>
      <c r="G35" s="10"/>
      <c r="H35" s="13" t="s">
        <v>219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  <c r="P35" s="14"/>
      <c r="Q35" s="10"/>
      <c r="T35">
        <v>31</v>
      </c>
      <c r="U35" s="28" t="s">
        <v>104</v>
      </c>
      <c r="V35" t="s">
        <v>77</v>
      </c>
      <c r="W35" s="29" t="s">
        <v>105</v>
      </c>
      <c r="Z35" s="34"/>
      <c r="AA35" s="40"/>
      <c r="AB35" s="40"/>
      <c r="AC35" s="38" t="s">
        <v>159</v>
      </c>
      <c r="AD35" s="48">
        <v>28</v>
      </c>
      <c r="AE35" s="86" t="str">
        <f t="shared" ca="1" si="0"/>
        <v>Venc.J21</v>
      </c>
      <c r="AF35" s="37" t="s">
        <v>157</v>
      </c>
      <c r="AG35" s="86" t="str">
        <f t="shared" ca="1" si="1"/>
        <v>Venc.J22</v>
      </c>
      <c r="AH35" s="74"/>
    </row>
    <row r="36" spans="4:34" ht="13" thickBot="1">
      <c r="D36">
        <v>15</v>
      </c>
      <c r="E36" s="9">
        <v>0</v>
      </c>
      <c r="F36" s="9"/>
      <c r="G36" s="9">
        <f>E36</f>
        <v>0</v>
      </c>
      <c r="H36" s="16"/>
      <c r="I36" s="10"/>
      <c r="J36" s="14"/>
      <c r="K36" s="10"/>
      <c r="L36" s="14"/>
      <c r="M36" s="10"/>
      <c r="N36" s="10"/>
      <c r="O36" s="10"/>
      <c r="P36" s="14"/>
      <c r="Q36" s="10"/>
      <c r="T36">
        <v>32</v>
      </c>
      <c r="U36" s="28" t="s">
        <v>106</v>
      </c>
      <c r="V36" t="s">
        <v>77</v>
      </c>
      <c r="W36" s="29" t="s">
        <v>107</v>
      </c>
      <c r="Z36" s="34"/>
      <c r="AA36" s="40"/>
      <c r="AB36" s="40"/>
      <c r="AC36" s="38" t="s">
        <v>159</v>
      </c>
      <c r="AD36" s="48">
        <v>29</v>
      </c>
      <c r="AE36" s="86" t="str">
        <f t="shared" ca="1" si="0"/>
        <v>Venc.J23</v>
      </c>
      <c r="AF36" s="37" t="s">
        <v>157</v>
      </c>
      <c r="AG36" s="86" t="str">
        <f t="shared" ca="1" si="1"/>
        <v>Venc.J24</v>
      </c>
      <c r="AH36" s="74"/>
    </row>
    <row r="37" spans="4:34" ht="13" thickBot="1">
      <c r="E37" s="10"/>
      <c r="F37" s="10"/>
      <c r="G37" s="10"/>
      <c r="H37" s="10"/>
      <c r="I37" s="10"/>
      <c r="J37" s="14" t="s">
        <v>246</v>
      </c>
      <c r="K37" s="9" t="str">
        <f>IF(OR(J35="",J39=""),"",+IF(J35&gt;J39,I35,I39))</f>
        <v/>
      </c>
      <c r="L37" s="16"/>
      <c r="M37" s="10"/>
      <c r="N37" s="10"/>
      <c r="O37" s="10"/>
      <c r="P37" s="14"/>
      <c r="Q37" s="10"/>
      <c r="T37">
        <v>33</v>
      </c>
      <c r="U37" s="71" t="s">
        <v>309</v>
      </c>
      <c r="V37" t="s">
        <v>77</v>
      </c>
      <c r="W37" s="72" t="s">
        <v>310</v>
      </c>
      <c r="Z37" s="34"/>
      <c r="AA37" s="40"/>
      <c r="AB37" s="40"/>
      <c r="AC37" s="38" t="s">
        <v>159</v>
      </c>
      <c r="AD37" s="48">
        <v>30</v>
      </c>
      <c r="AE37" s="86" t="str">
        <f t="shared" ca="1" si="0"/>
        <v>Venc.J25</v>
      </c>
      <c r="AF37" s="37" t="s">
        <v>157</v>
      </c>
      <c r="AG37" s="86" t="str">
        <f t="shared" ca="1" si="1"/>
        <v>Venc.J26</v>
      </c>
      <c r="AH37" s="74"/>
    </row>
    <row r="38" spans="4:34" ht="13" thickBot="1">
      <c r="D38">
        <v>16</v>
      </c>
      <c r="E38" s="9">
        <v>0</v>
      </c>
      <c r="F38" s="9"/>
      <c r="G38" s="9">
        <f>E38</f>
        <v>0</v>
      </c>
      <c r="H38" s="11"/>
      <c r="I38" s="10"/>
      <c r="J38" s="14"/>
      <c r="K38" s="10"/>
      <c r="L38" s="10"/>
      <c r="M38" s="10"/>
      <c r="N38" s="10"/>
      <c r="O38" s="10"/>
      <c r="P38" s="14"/>
      <c r="Q38" s="10"/>
      <c r="T38">
        <v>34</v>
      </c>
      <c r="U38" s="28" t="s">
        <v>108</v>
      </c>
      <c r="V38" t="s">
        <v>77</v>
      </c>
      <c r="W38" s="29" t="s">
        <v>109</v>
      </c>
      <c r="Z38" s="34"/>
      <c r="AA38" s="40"/>
      <c r="AB38" s="40"/>
      <c r="AC38" s="38" t="s">
        <v>159</v>
      </c>
      <c r="AD38" s="48">
        <v>31</v>
      </c>
      <c r="AE38" s="86" t="str">
        <f t="shared" ca="1" si="0"/>
        <v>Venc.J27</v>
      </c>
      <c r="AF38" s="37" t="s">
        <v>157</v>
      </c>
      <c r="AG38" s="86" t="str">
        <f t="shared" ca="1" si="1"/>
        <v>Venc.J28</v>
      </c>
      <c r="AH38" s="74"/>
    </row>
    <row r="39" spans="4:34" ht="13" thickBot="1">
      <c r="E39" s="10"/>
      <c r="F39" s="10"/>
      <c r="G39" s="10"/>
      <c r="H39" s="13" t="s">
        <v>221</v>
      </c>
      <c r="I39" s="9" t="str">
        <f>IF(OR(H38="",H40=""),"",+IF(H38&gt;H40,E38,E40))</f>
        <v/>
      </c>
      <c r="J39" s="16"/>
      <c r="K39" s="10"/>
      <c r="L39" s="10"/>
      <c r="M39" s="10"/>
      <c r="N39" s="10"/>
      <c r="O39" s="10"/>
      <c r="P39" s="14"/>
      <c r="Q39" s="10"/>
      <c r="U39" s="29"/>
      <c r="Z39" s="34"/>
      <c r="AA39" s="40"/>
      <c r="AB39" s="40"/>
      <c r="AC39" s="40" t="s">
        <v>159</v>
      </c>
      <c r="AD39" s="86">
        <v>32</v>
      </c>
      <c r="AE39" s="86" t="str">
        <f t="shared" ca="1" si="0"/>
        <v>Venc.J29</v>
      </c>
      <c r="AF39" s="37"/>
      <c r="AG39" s="86" t="str">
        <f t="shared" ca="1" si="1"/>
        <v>Venc.J30</v>
      </c>
      <c r="AH39" s="74"/>
    </row>
    <row r="40" spans="4:34" ht="13" thickBot="1">
      <c r="D40">
        <v>17</v>
      </c>
      <c r="E40" s="9">
        <v>0</v>
      </c>
      <c r="F40" s="9"/>
      <c r="G40" s="9">
        <f>E40</f>
        <v>0</v>
      </c>
      <c r="H40" s="16"/>
      <c r="I40" s="10"/>
      <c r="J40" s="10"/>
      <c r="K40" s="10"/>
      <c r="L40" s="10"/>
      <c r="M40" s="10"/>
      <c r="N40" s="10"/>
      <c r="O40" s="10"/>
      <c r="P40" s="14"/>
      <c r="Q40" s="10"/>
      <c r="Z40" s="34"/>
      <c r="AA40" s="40"/>
      <c r="AB40" s="40"/>
      <c r="AC40" s="38" t="s">
        <v>159</v>
      </c>
      <c r="AD40" s="48">
        <v>33</v>
      </c>
      <c r="AE40" s="86" t="str">
        <f ca="1">LOOKUP(AD40,T$5:T$78,U$5:U$40)</f>
        <v>Perd.J31</v>
      </c>
      <c r="AF40" s="37" t="s">
        <v>157</v>
      </c>
      <c r="AG40" s="86" t="str">
        <f ca="1">LOOKUP(AD40,T$5:T$78,W$5:W$39)</f>
        <v>Perd.J32</v>
      </c>
      <c r="AH40" s="74"/>
    </row>
    <row r="41" spans="4:34" ht="13" thickBot="1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77" t="s">
        <v>278</v>
      </c>
      <c r="P41" s="70" t="s">
        <v>216</v>
      </c>
      <c r="Q41" s="9" t="str">
        <f>IF(OR(P25="",P60=""),"",+IF(P25&gt;P60,O25,O60))</f>
        <v/>
      </c>
      <c r="Z41" s="34"/>
      <c r="AA41" s="40"/>
      <c r="AB41" s="40"/>
      <c r="AC41" s="38" t="s">
        <v>159</v>
      </c>
      <c r="AD41" s="48">
        <v>34</v>
      </c>
      <c r="AE41" s="86" t="str">
        <f ca="1">LOOKUP(AD41,T$5:T$78,U$5:U$40)</f>
        <v>Venc.J31</v>
      </c>
      <c r="AF41" s="37" t="s">
        <v>157</v>
      </c>
      <c r="AG41" s="86" t="str">
        <f ca="1">LOOKUP(AD41,T$5:T$78,W$5:W$39)</f>
        <v>Venc.J32</v>
      </c>
      <c r="AH41" s="74"/>
    </row>
    <row r="42" spans="4:34" ht="13" thickBot="1">
      <c r="D42">
        <v>18</v>
      </c>
      <c r="E42" s="9">
        <v>0</v>
      </c>
      <c r="F42" s="9"/>
      <c r="G42" s="9">
        <f>E42</f>
        <v>0</v>
      </c>
      <c r="H42" s="11"/>
      <c r="I42" s="10"/>
      <c r="J42" s="10"/>
      <c r="K42" s="10"/>
      <c r="L42" s="10"/>
      <c r="M42" s="10"/>
      <c r="N42" s="10"/>
      <c r="O42" s="10"/>
      <c r="P42" s="14"/>
      <c r="Q42" s="10"/>
      <c r="Z42" s="42"/>
      <c r="AA42" s="43"/>
      <c r="AB42" s="43"/>
      <c r="AC42" s="43"/>
      <c r="AD42" s="61"/>
      <c r="AE42" s="62"/>
      <c r="AF42" s="63"/>
      <c r="AG42" s="60"/>
      <c r="AH42" s="75"/>
    </row>
    <row r="43" spans="4:34">
      <c r="E43" s="12"/>
      <c r="F43" s="10"/>
      <c r="G43" s="10"/>
      <c r="H43" s="13"/>
      <c r="I43" s="10"/>
      <c r="J43" s="10"/>
      <c r="K43" s="10"/>
      <c r="L43" s="10"/>
      <c r="M43" s="10"/>
      <c r="N43" s="10"/>
      <c r="O43" s="10"/>
      <c r="P43" s="14"/>
      <c r="Q43" s="10"/>
    </row>
    <row r="44" spans="4:34" ht="13" thickBot="1">
      <c r="E44" s="10"/>
      <c r="F44" s="10"/>
      <c r="G44" s="10"/>
      <c r="H44" s="14" t="s">
        <v>223</v>
      </c>
      <c r="I44" s="9" t="str">
        <f>IF(OR(H42="",H46=""),"",+IF(H42&gt;H46,E42,G46))</f>
        <v/>
      </c>
      <c r="J44" s="11"/>
      <c r="K44" s="10"/>
      <c r="L44" s="10"/>
      <c r="M44" s="10"/>
      <c r="N44" s="10"/>
      <c r="O44" s="10"/>
      <c r="P44" s="14"/>
      <c r="Q44" s="10"/>
    </row>
    <row r="45" spans="4:34" ht="13" thickBot="1">
      <c r="D45">
        <v>19</v>
      </c>
      <c r="E45" s="10">
        <v>0</v>
      </c>
      <c r="F45" s="11"/>
      <c r="G45" s="10"/>
      <c r="H45" s="14"/>
      <c r="I45" s="10"/>
      <c r="J45" s="13"/>
      <c r="K45" s="10"/>
      <c r="L45" s="10"/>
      <c r="M45" s="10"/>
      <c r="N45" s="10"/>
      <c r="O45" s="10"/>
      <c r="P45" s="14"/>
      <c r="Q45" s="10"/>
    </row>
    <row r="46" spans="4:34" ht="13" thickBot="1">
      <c r="E46" s="12"/>
      <c r="F46" s="13" t="s">
        <v>204</v>
      </c>
      <c r="G46" s="9" t="str">
        <f>IF(OR(F45="",F47=""),"",+IF(F45&gt;F47,E45,E47))</f>
        <v/>
      </c>
      <c r="H46" s="16"/>
      <c r="I46" s="10"/>
      <c r="J46" s="14"/>
      <c r="K46" s="10"/>
      <c r="L46" s="10"/>
      <c r="M46" s="10"/>
      <c r="N46" s="10"/>
      <c r="O46" s="10"/>
      <c r="P46" s="14"/>
      <c r="Q46" s="10"/>
    </row>
    <row r="47" spans="4:34" ht="13" thickBot="1">
      <c r="D47">
        <v>20</v>
      </c>
      <c r="E47" s="10">
        <v>0</v>
      </c>
      <c r="F47" s="16"/>
      <c r="G47" s="10"/>
      <c r="H47" s="10"/>
      <c r="I47" s="10"/>
      <c r="J47" s="14" t="s">
        <v>248</v>
      </c>
      <c r="K47" s="9" t="str">
        <f>IF(OR(J44="",J50=""),"",+IF(J44&gt;J50,I44,I50))</f>
        <v/>
      </c>
      <c r="L47" s="17"/>
      <c r="M47" s="10"/>
      <c r="N47" s="10"/>
      <c r="O47" s="10"/>
      <c r="P47" s="14"/>
      <c r="Q47" s="10"/>
    </row>
    <row r="48" spans="4:34">
      <c r="E48" s="12"/>
      <c r="F48" s="10"/>
      <c r="G48" s="10"/>
      <c r="H48" s="10"/>
      <c r="I48" s="10"/>
      <c r="J48" s="14"/>
      <c r="K48" s="10"/>
      <c r="L48" s="10"/>
      <c r="M48" s="19"/>
      <c r="N48" s="10"/>
      <c r="O48" s="10"/>
      <c r="P48" s="14"/>
      <c r="Q48" s="10"/>
    </row>
    <row r="49" spans="4:17" ht="13" thickBot="1">
      <c r="D49">
        <v>21</v>
      </c>
      <c r="E49" s="9">
        <v>0</v>
      </c>
      <c r="F49" s="9"/>
      <c r="G49" s="9">
        <f>E49</f>
        <v>0</v>
      </c>
      <c r="H49" s="11"/>
      <c r="I49" s="10"/>
      <c r="J49" s="14"/>
      <c r="K49" s="10"/>
      <c r="L49" s="10"/>
      <c r="M49" s="19"/>
      <c r="N49" s="10"/>
      <c r="O49" s="10"/>
      <c r="P49" s="14"/>
      <c r="Q49" s="10"/>
    </row>
    <row r="50" spans="4:17" ht="13" thickBot="1">
      <c r="E50" s="10"/>
      <c r="F50" s="10"/>
      <c r="G50" s="10"/>
      <c r="H50" s="13" t="s">
        <v>225</v>
      </c>
      <c r="I50" s="9" t="str">
        <f>IF(OR(H49="",H51=""),"",+IF(H49&gt;H51,E49,E51))</f>
        <v/>
      </c>
      <c r="J50" s="16"/>
      <c r="K50" s="10"/>
      <c r="L50" s="10"/>
      <c r="M50" s="19"/>
      <c r="N50" s="10"/>
      <c r="O50" s="10"/>
      <c r="P50" s="14"/>
      <c r="Q50" s="10"/>
    </row>
    <row r="51" spans="4:17" ht="13" thickBot="1">
      <c r="D51">
        <v>22</v>
      </c>
      <c r="E51" s="9">
        <v>0</v>
      </c>
      <c r="F51" s="9"/>
      <c r="G51" s="9">
        <f>E51</f>
        <v>0</v>
      </c>
      <c r="H51" s="16"/>
      <c r="I51" s="10"/>
      <c r="J51" s="10"/>
      <c r="K51" s="10"/>
      <c r="L51" s="10"/>
      <c r="M51" s="19"/>
      <c r="N51" s="10"/>
      <c r="O51" s="10"/>
      <c r="P51" s="14"/>
      <c r="Q51" s="10"/>
    </row>
    <row r="52" spans="4:17" ht="13" thickBot="1">
      <c r="E52" s="10"/>
      <c r="F52" s="10"/>
      <c r="G52" s="10"/>
      <c r="H52" s="10"/>
      <c r="I52" s="10"/>
      <c r="J52" s="10"/>
      <c r="K52" s="10"/>
      <c r="L52" s="14" t="s">
        <v>260</v>
      </c>
      <c r="M52" s="9" t="str">
        <f>IF(OR(L47="",L56=""),"",+IF(L47&gt;L56,K47,K56))</f>
        <v/>
      </c>
      <c r="N52" s="17"/>
      <c r="O52" s="10"/>
      <c r="P52" s="14"/>
      <c r="Q52" s="10"/>
    </row>
    <row r="53" spans="4:17" ht="13" thickBot="1">
      <c r="D53">
        <v>23</v>
      </c>
      <c r="E53" s="9">
        <v>0</v>
      </c>
      <c r="F53" s="9"/>
      <c r="G53" s="9">
        <f>E53</f>
        <v>0</v>
      </c>
      <c r="H53" s="11"/>
      <c r="I53" s="10"/>
      <c r="J53" s="10"/>
      <c r="K53" s="10"/>
      <c r="L53" s="10"/>
      <c r="M53" s="19"/>
      <c r="N53" s="13"/>
      <c r="O53" s="10"/>
      <c r="P53" s="14"/>
      <c r="Q53" s="10"/>
    </row>
    <row r="54" spans="4:17" ht="13" thickBot="1">
      <c r="E54" s="10"/>
      <c r="F54" s="10"/>
      <c r="G54" s="12"/>
      <c r="H54" s="13" t="s">
        <v>227</v>
      </c>
      <c r="I54" s="9" t="str">
        <f>IF(OR(H53="",H55=""),"",+IF(H53&gt;H55,E53,E55))</f>
        <v/>
      </c>
      <c r="J54" s="17"/>
      <c r="K54" s="10"/>
      <c r="L54" s="10"/>
      <c r="M54" s="19"/>
      <c r="N54" s="14"/>
      <c r="O54" s="10"/>
      <c r="P54" s="14"/>
      <c r="Q54" s="10"/>
    </row>
    <row r="55" spans="4:17" ht="13" thickBot="1">
      <c r="D55">
        <v>24</v>
      </c>
      <c r="E55" s="9">
        <v>0</v>
      </c>
      <c r="F55" s="9"/>
      <c r="G55" s="9">
        <f>E55</f>
        <v>0</v>
      </c>
      <c r="H55" s="16"/>
      <c r="I55" s="10"/>
      <c r="J55" s="14"/>
      <c r="K55" s="10"/>
      <c r="L55" s="10"/>
      <c r="M55" s="19"/>
      <c r="N55" s="14"/>
      <c r="O55" s="10"/>
      <c r="P55" s="14"/>
      <c r="Q55" s="10"/>
    </row>
    <row r="56" spans="4:17" ht="13" thickBot="1">
      <c r="E56" s="10"/>
      <c r="F56" s="10"/>
      <c r="G56" s="12"/>
      <c r="H56" s="10"/>
      <c r="I56" s="10"/>
      <c r="J56" s="14" t="s">
        <v>250</v>
      </c>
      <c r="K56" s="9" t="str">
        <f>IF(OR(J54="",J58=""),"",+IF(J54&gt;J58,I54,I58))</f>
        <v/>
      </c>
      <c r="L56" s="16"/>
      <c r="M56" s="19"/>
      <c r="N56" s="14"/>
      <c r="O56" s="10"/>
      <c r="P56" s="14"/>
      <c r="Q56" s="10"/>
    </row>
    <row r="57" spans="4:17" ht="13" thickBot="1">
      <c r="D57">
        <v>25</v>
      </c>
      <c r="E57" s="9">
        <v>0</v>
      </c>
      <c r="F57" s="9"/>
      <c r="G57" s="9">
        <f>E57</f>
        <v>0</v>
      </c>
      <c r="H57" s="11"/>
      <c r="I57" s="10"/>
      <c r="J57" s="14"/>
      <c r="K57" s="10"/>
      <c r="L57" s="10"/>
      <c r="M57" s="10"/>
      <c r="N57" s="14"/>
      <c r="O57" s="10"/>
      <c r="P57" s="14"/>
      <c r="Q57" s="10"/>
    </row>
    <row r="58" spans="4:17" ht="13" thickBot="1">
      <c r="E58" s="10"/>
      <c r="F58" s="10"/>
      <c r="G58" s="12"/>
      <c r="H58" s="13" t="s">
        <v>229</v>
      </c>
      <c r="I58" s="9" t="str">
        <f>IF(OR(H57="",H59=""),"",+IF(H57&gt;H59,E57,E59))</f>
        <v/>
      </c>
      <c r="J58" s="16"/>
      <c r="K58" s="10"/>
      <c r="L58" s="10"/>
      <c r="M58" s="10"/>
      <c r="N58" s="14"/>
      <c r="O58" s="10"/>
      <c r="P58" s="14"/>
      <c r="Q58" s="10"/>
    </row>
    <row r="59" spans="4:17" ht="13" thickBot="1">
      <c r="D59">
        <v>26</v>
      </c>
      <c r="E59" s="9">
        <v>0</v>
      </c>
      <c r="F59" s="9"/>
      <c r="G59" s="9">
        <f>E59</f>
        <v>0</v>
      </c>
      <c r="H59" s="16"/>
      <c r="I59" s="10"/>
      <c r="J59" s="10"/>
      <c r="K59" s="10"/>
      <c r="L59" s="10"/>
      <c r="M59" s="10"/>
      <c r="N59" s="14"/>
      <c r="O59" s="10"/>
      <c r="P59" s="14"/>
      <c r="Q59" s="10"/>
    </row>
    <row r="60" spans="4:17" ht="13" thickBot="1">
      <c r="E60" s="10"/>
      <c r="F60" s="10"/>
      <c r="G60" s="10"/>
      <c r="H60" s="10"/>
      <c r="I60" s="10"/>
      <c r="J60" s="10"/>
      <c r="K60" s="10"/>
      <c r="L60" s="10"/>
      <c r="M60" s="10"/>
      <c r="N60" s="14" t="s">
        <v>209</v>
      </c>
      <c r="O60" s="9" t="str">
        <f>IF(OR(N52="",N68=""),"",+IF(N52&gt;N68,M52,M68))</f>
        <v/>
      </c>
      <c r="P60" s="16"/>
      <c r="Q60" s="10"/>
    </row>
    <row r="61" spans="4:17" ht="13" thickBot="1">
      <c r="D61">
        <v>27</v>
      </c>
      <c r="E61" s="9">
        <v>0</v>
      </c>
      <c r="F61" s="9"/>
      <c r="G61" s="9">
        <f>E61</f>
        <v>0</v>
      </c>
      <c r="H61" s="11"/>
      <c r="I61" s="10"/>
      <c r="J61" s="10"/>
      <c r="K61" s="10"/>
      <c r="L61" s="10"/>
      <c r="M61" s="10"/>
      <c r="N61" s="14"/>
      <c r="O61" s="10"/>
      <c r="P61" s="10"/>
      <c r="Q61" s="10"/>
    </row>
    <row r="62" spans="4:17" ht="13" thickBot="1">
      <c r="E62" s="10"/>
      <c r="F62" s="10"/>
      <c r="G62" s="10"/>
      <c r="H62" s="13" t="s">
        <v>232</v>
      </c>
      <c r="I62" s="9" t="str">
        <f>IF(OR(H61="",H63=""),"",+IF(H61&gt;H63,E61,E63))</f>
        <v/>
      </c>
      <c r="J62" s="17"/>
      <c r="K62" s="10"/>
      <c r="L62" s="10"/>
      <c r="M62" s="10"/>
      <c r="N62" s="14"/>
      <c r="O62" s="10"/>
      <c r="P62" s="10"/>
      <c r="Q62" s="10"/>
    </row>
    <row r="63" spans="4:17" ht="13" thickBot="1">
      <c r="D63">
        <v>28</v>
      </c>
      <c r="E63" s="9">
        <v>0</v>
      </c>
      <c r="F63" s="9"/>
      <c r="G63" s="9">
        <f>E63</f>
        <v>0</v>
      </c>
      <c r="H63" s="16"/>
      <c r="I63" s="10"/>
      <c r="J63" s="14"/>
      <c r="K63" s="10"/>
      <c r="L63" s="10"/>
      <c r="M63" s="10"/>
      <c r="N63" s="14"/>
      <c r="O63" s="10"/>
      <c r="P63" s="10"/>
      <c r="Q63" s="10"/>
    </row>
    <row r="64" spans="4:17" ht="13" thickBot="1">
      <c r="E64" s="10"/>
      <c r="F64" s="10"/>
      <c r="G64" s="10"/>
      <c r="H64" s="10"/>
      <c r="I64" s="10"/>
      <c r="J64" s="14" t="s">
        <v>252</v>
      </c>
      <c r="K64" s="9" t="str">
        <f>IF(OR(J62="",J66=""),"",+IF(J62&gt;J66,I62,I66))</f>
        <v/>
      </c>
      <c r="L64" s="17"/>
      <c r="M64" s="10"/>
      <c r="N64" s="14"/>
      <c r="O64" s="10"/>
      <c r="P64" s="10"/>
      <c r="Q64" s="10"/>
    </row>
    <row r="65" spans="4:17" ht="13" thickBot="1">
      <c r="D65">
        <v>29</v>
      </c>
      <c r="E65" s="9">
        <v>0</v>
      </c>
      <c r="F65" s="9"/>
      <c r="G65" s="9">
        <f>E65</f>
        <v>0</v>
      </c>
      <c r="H65" s="11"/>
      <c r="I65" s="10"/>
      <c r="J65" s="14"/>
      <c r="K65" s="10"/>
      <c r="L65" s="13"/>
      <c r="M65" s="10"/>
      <c r="N65" s="14"/>
      <c r="O65" s="10"/>
      <c r="P65" s="10"/>
      <c r="Q65" s="10"/>
    </row>
    <row r="66" spans="4:17" ht="13" thickBot="1">
      <c r="E66" s="10"/>
      <c r="F66" s="10"/>
      <c r="G66" s="10"/>
      <c r="H66" s="13" t="s">
        <v>234</v>
      </c>
      <c r="I66" s="9" t="str">
        <f>IF(OR(H65="",H67=""),"",+IF(H65&gt;H67,E65,E67))</f>
        <v/>
      </c>
      <c r="J66" s="16"/>
      <c r="K66" s="10"/>
      <c r="L66" s="14"/>
      <c r="M66" s="10"/>
      <c r="N66" s="14"/>
      <c r="O66" s="10"/>
      <c r="P66" s="10"/>
      <c r="Q66" s="10"/>
    </row>
    <row r="67" spans="4:17" ht="13" thickBot="1">
      <c r="D67">
        <v>30</v>
      </c>
      <c r="E67" s="9">
        <v>0</v>
      </c>
      <c r="F67" s="9"/>
      <c r="G67" s="9">
        <f>E67</f>
        <v>0</v>
      </c>
      <c r="H67" s="16"/>
      <c r="I67" s="10"/>
      <c r="J67" s="10"/>
      <c r="K67" s="10"/>
      <c r="L67" s="14"/>
      <c r="M67" s="10"/>
      <c r="N67" s="14"/>
      <c r="O67" s="10"/>
      <c r="P67" s="10"/>
      <c r="Q67" s="10"/>
    </row>
    <row r="68" spans="4:17" ht="13" thickBot="1">
      <c r="E68" s="10"/>
      <c r="F68" s="10"/>
      <c r="G68" s="10"/>
      <c r="H68" s="10"/>
      <c r="I68" s="10"/>
      <c r="J68" s="10"/>
      <c r="K68" s="10"/>
      <c r="L68" s="14" t="s">
        <v>201</v>
      </c>
      <c r="M68" s="9" t="str">
        <f>IF(OR(L64="",L72=""),"",+IF(L64&gt;L72,K64,K72))</f>
        <v/>
      </c>
      <c r="N68" s="16"/>
      <c r="O68" s="10"/>
      <c r="P68" s="10"/>
      <c r="Q68" s="10"/>
    </row>
    <row r="69" spans="4:17" ht="13" thickBot="1">
      <c r="D69">
        <v>31</v>
      </c>
      <c r="E69" s="9">
        <v>0</v>
      </c>
      <c r="F69" s="9"/>
      <c r="G69" s="9">
        <f>E69</f>
        <v>0</v>
      </c>
      <c r="H69" s="11"/>
      <c r="I69" s="10"/>
      <c r="J69" s="10"/>
      <c r="K69" s="10"/>
      <c r="L69" s="14"/>
      <c r="M69" s="10"/>
      <c r="N69" s="10"/>
      <c r="O69" s="10"/>
      <c r="P69" s="10"/>
      <c r="Q69" s="10"/>
    </row>
    <row r="70" spans="4:17" ht="13" thickBot="1">
      <c r="E70" s="10"/>
      <c r="F70" s="10"/>
      <c r="G70" s="10"/>
      <c r="H70" s="13" t="s">
        <v>236</v>
      </c>
      <c r="I70" s="9" t="str">
        <f>IF(OR(H69="",H71=""),"",+IF(H69&gt;H71,E69,E71))</f>
        <v/>
      </c>
      <c r="J70" s="17"/>
      <c r="K70" s="10"/>
      <c r="L70" s="14"/>
      <c r="M70" s="10"/>
      <c r="N70" s="10"/>
      <c r="O70" s="10"/>
      <c r="P70" s="10"/>
      <c r="Q70" s="10"/>
    </row>
    <row r="71" spans="4:17" ht="13" thickBot="1">
      <c r="D71">
        <v>32</v>
      </c>
      <c r="E71" s="9">
        <v>0</v>
      </c>
      <c r="F71" s="9"/>
      <c r="G71" s="9">
        <f>E71</f>
        <v>0</v>
      </c>
      <c r="H71" s="16"/>
      <c r="I71" s="10"/>
      <c r="J71" s="14"/>
      <c r="K71" s="10"/>
      <c r="L71" s="14"/>
      <c r="M71" s="10"/>
      <c r="N71" s="10"/>
      <c r="O71" s="10"/>
      <c r="P71" s="10"/>
      <c r="Q71" s="10"/>
    </row>
    <row r="72" spans="4:17" ht="13" thickBot="1">
      <c r="E72" s="10"/>
      <c r="F72" s="10"/>
      <c r="G72" s="10"/>
      <c r="H72" s="10"/>
      <c r="I72" s="10"/>
      <c r="J72" s="14" t="s">
        <v>254</v>
      </c>
      <c r="K72" s="9" t="str">
        <f>IF(OR(J70="",J74=""),"",+IF(J70&gt;J74,I70,I74))</f>
        <v/>
      </c>
      <c r="L72" s="16"/>
      <c r="M72" s="10"/>
      <c r="N72" s="10"/>
      <c r="O72" s="9" t="str">
        <f>IF(OR(O25="",O60=""),"",+IF(N17&gt;N33,M33,M17))</f>
        <v/>
      </c>
      <c r="P72" s="17"/>
      <c r="Q72" s="10"/>
    </row>
    <row r="73" spans="4:17" ht="13" thickBot="1">
      <c r="D73">
        <v>33</v>
      </c>
      <c r="E73" s="9">
        <v>0</v>
      </c>
      <c r="F73" s="9"/>
      <c r="G73" s="9">
        <f>E73</f>
        <v>0</v>
      </c>
      <c r="H73" s="11"/>
      <c r="I73" s="10"/>
      <c r="J73" s="14"/>
      <c r="K73" s="10"/>
      <c r="L73" s="10"/>
      <c r="M73" s="10"/>
      <c r="N73" s="10"/>
      <c r="O73" s="10"/>
      <c r="P73" s="13"/>
      <c r="Q73" s="10"/>
    </row>
    <row r="74" spans="4:17" ht="13" thickBot="1">
      <c r="E74" s="10"/>
      <c r="F74" s="10"/>
      <c r="G74" s="10"/>
      <c r="H74" s="13" t="s">
        <v>238</v>
      </c>
      <c r="I74" s="9" t="str">
        <f>IF(OR(H73="",H75=""),"",+IF(H73&gt;H75,E73,E75))</f>
        <v/>
      </c>
      <c r="J74" s="16"/>
      <c r="K74" s="10"/>
      <c r="L74" s="10"/>
      <c r="M74" s="10"/>
      <c r="N74" s="10"/>
      <c r="O74" s="10"/>
      <c r="P74" s="14"/>
      <c r="Q74" s="10"/>
    </row>
    <row r="75" spans="4:17" ht="13" thickBot="1">
      <c r="D75">
        <v>34</v>
      </c>
      <c r="E75" s="9">
        <v>0</v>
      </c>
      <c r="F75" s="9"/>
      <c r="G75" s="9">
        <f>E75</f>
        <v>0</v>
      </c>
      <c r="H75" s="16"/>
      <c r="I75" s="10"/>
      <c r="J75" s="10"/>
      <c r="K75" s="10"/>
      <c r="L75" s="10"/>
      <c r="M75" s="10"/>
      <c r="N75" s="10"/>
      <c r="O75" s="10"/>
      <c r="P75" s="14"/>
      <c r="Q75" s="10"/>
    </row>
    <row r="76" spans="4:17">
      <c r="O76" s="10"/>
      <c r="P76" s="14"/>
      <c r="Q76" s="10"/>
    </row>
    <row r="77" spans="4:17">
      <c r="O77" s="10"/>
      <c r="P77" s="14"/>
      <c r="Q77" s="10"/>
    </row>
    <row r="78" spans="4:17">
      <c r="O78" s="10"/>
      <c r="P78" s="14"/>
      <c r="Q78" s="10"/>
    </row>
    <row r="79" spans="4:17">
      <c r="O79" s="10"/>
      <c r="P79" s="14"/>
      <c r="Q79" s="10"/>
    </row>
    <row r="80" spans="4:17" ht="13" thickBot="1">
      <c r="O80" s="77" t="s">
        <v>279</v>
      </c>
      <c r="P80" s="70" t="s">
        <v>213</v>
      </c>
      <c r="Q80" s="9" t="str">
        <f>IF(OR(P72="",P88=""),"",+IF(P72&gt;P88,O72,O88))</f>
        <v/>
      </c>
    </row>
    <row r="81" spans="15:17">
      <c r="O81" s="10"/>
      <c r="P81" s="14"/>
      <c r="Q81" s="10"/>
    </row>
    <row r="82" spans="15:17">
      <c r="O82" s="10"/>
      <c r="P82" s="14"/>
      <c r="Q82" s="10"/>
    </row>
    <row r="83" spans="15:17">
      <c r="O83" s="10"/>
      <c r="P83" s="14"/>
      <c r="Q83" s="10"/>
    </row>
    <row r="84" spans="15:17">
      <c r="O84" s="10"/>
      <c r="P84" s="14"/>
      <c r="Q84" s="10"/>
    </row>
    <row r="85" spans="15:17">
      <c r="O85" s="10"/>
      <c r="P85" s="14"/>
      <c r="Q85" s="10"/>
    </row>
    <row r="86" spans="15:17">
      <c r="O86" s="10"/>
      <c r="P86" s="14"/>
      <c r="Q86" s="10"/>
    </row>
    <row r="87" spans="15:17">
      <c r="O87" s="10"/>
      <c r="P87" s="14"/>
      <c r="Q87" s="10"/>
    </row>
    <row r="88" spans="15:17" ht="13" thickBot="1">
      <c r="O88" s="9" t="str">
        <f>IF(OR(O25="",O60=""),"",+IF(N52&gt;N68,M68,M52))</f>
        <v/>
      </c>
      <c r="P88" s="16"/>
      <c r="Q88" s="10"/>
    </row>
    <row r="89" spans="15:17">
      <c r="O89" s="10"/>
      <c r="P89" s="10"/>
      <c r="Q89" s="10"/>
    </row>
  </sheetData>
  <mergeCells count="3">
    <mergeCell ref="AB5:AG5"/>
    <mergeCell ref="AA6:AG6"/>
    <mergeCell ref="AC7:AD7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Plan31"/>
  <dimension ref="D5:AH86"/>
  <sheetViews>
    <sheetView showGridLines="0" topLeftCell="A15" zoomScale="80" zoomScaleNormal="80" workbookViewId="0">
      <selection activeCell="I14" sqref="I14"/>
    </sheetView>
  </sheetViews>
  <sheetFormatPr defaultRowHeight="12.7"/>
  <cols>
    <col min="5" max="5" width="21.52734375" bestFit="1" customWidth="1"/>
    <col min="6" max="6" width="3.64453125" customWidth="1"/>
    <col min="7" max="7" width="21.52734375" bestFit="1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3.52734375" customWidth="1"/>
    <col min="14" max="14" width="3.64453125" customWidth="1"/>
    <col min="16" max="16" width="3.64453125" customWidth="1"/>
    <col min="17" max="17" width="16.527343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10" customWidth="1"/>
    <col min="32" max="32" width="6.52734375" style="10" bestFit="1" customWidth="1"/>
    <col min="33" max="33" width="15.64453125" style="10" customWidth="1"/>
  </cols>
  <sheetData>
    <row r="5" spans="4:34">
      <c r="T5">
        <v>1</v>
      </c>
      <c r="U5" s="28">
        <f>E42</f>
        <v>0</v>
      </c>
      <c r="V5" t="s">
        <v>77</v>
      </c>
      <c r="W5" s="29">
        <f>E44</f>
        <v>0</v>
      </c>
      <c r="Z5" s="34"/>
      <c r="AA5" s="35" t="s">
        <v>153</v>
      </c>
      <c r="AB5" s="100"/>
      <c r="AC5" s="100"/>
      <c r="AD5" s="100"/>
      <c r="AE5" s="100"/>
      <c r="AF5" s="100"/>
      <c r="AG5" s="101"/>
      <c r="AH5" s="74"/>
    </row>
    <row r="6" spans="4:34">
      <c r="T6">
        <v>2</v>
      </c>
      <c r="U6" s="28">
        <f>E7</f>
        <v>0</v>
      </c>
      <c r="V6" t="s">
        <v>77</v>
      </c>
      <c r="W6" s="29">
        <f>E9</f>
        <v>0</v>
      </c>
      <c r="Z6" s="34"/>
      <c r="AA6" s="102"/>
      <c r="AB6" s="103"/>
      <c r="AC6" s="103"/>
      <c r="AD6" s="103"/>
      <c r="AE6" s="103"/>
      <c r="AF6" s="103"/>
      <c r="AG6" s="104"/>
      <c r="AH6" s="74"/>
    </row>
    <row r="7" spans="4:34" ht="13" thickBot="1">
      <c r="D7">
        <v>1</v>
      </c>
      <c r="E7" s="9">
        <v>0</v>
      </c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P7" s="10"/>
      <c r="Q7" s="10"/>
      <c r="T7">
        <v>3</v>
      </c>
      <c r="U7" s="28">
        <f>E11</f>
        <v>0</v>
      </c>
      <c r="V7" t="s">
        <v>77</v>
      </c>
      <c r="W7" s="29">
        <f>E13</f>
        <v>0</v>
      </c>
      <c r="Z7" s="34"/>
      <c r="AA7" s="37" t="s">
        <v>154</v>
      </c>
      <c r="AB7" s="37" t="s">
        <v>155</v>
      </c>
      <c r="AC7" s="105" t="s">
        <v>158</v>
      </c>
      <c r="AD7" s="106"/>
      <c r="AE7" s="83"/>
      <c r="AF7" s="39" t="s">
        <v>156</v>
      </c>
      <c r="AG7" s="48"/>
      <c r="AH7" s="74"/>
    </row>
    <row r="8" spans="4:34" ht="13" thickBot="1">
      <c r="E8" s="10"/>
      <c r="F8" s="10"/>
      <c r="G8" s="10"/>
      <c r="H8" s="13" t="s">
        <v>204</v>
      </c>
      <c r="I8" s="9" t="str">
        <f>IF(OR(H7="",H9=""),"",+IF(H7&gt;H9,E7,E9))</f>
        <v/>
      </c>
      <c r="J8" s="17"/>
      <c r="K8" s="10"/>
      <c r="L8" s="10"/>
      <c r="M8" s="10"/>
      <c r="N8" s="10"/>
      <c r="O8" s="10"/>
      <c r="P8" s="10"/>
      <c r="Q8" s="10"/>
      <c r="T8">
        <v>4</v>
      </c>
      <c r="U8" s="28">
        <f>E15</f>
        <v>0</v>
      </c>
      <c r="V8" t="s">
        <v>77</v>
      </c>
      <c r="W8" s="29">
        <f>E17</f>
        <v>0</v>
      </c>
      <c r="Z8" s="34"/>
      <c r="AA8" s="40"/>
      <c r="AB8" s="40"/>
      <c r="AC8" s="38" t="s">
        <v>159</v>
      </c>
      <c r="AD8" s="48">
        <v>1</v>
      </c>
      <c r="AE8" s="86">
        <f t="shared" ref="AE8:AE39" ca="1" si="0">LOOKUP(AD8,T$5:T$78,U$5:U$40)</f>
        <v>0</v>
      </c>
      <c r="AF8" s="37" t="s">
        <v>157</v>
      </c>
      <c r="AG8" s="86">
        <f t="shared" ref="AG8:AG39" ca="1" si="1">LOOKUP(AD8,T$5:T$78,W$5:W$41)</f>
        <v>0</v>
      </c>
      <c r="AH8" s="74"/>
    </row>
    <row r="9" spans="4:34" ht="13" thickBot="1">
      <c r="D9">
        <v>2</v>
      </c>
      <c r="E9" s="9">
        <v>0</v>
      </c>
      <c r="F9" s="9"/>
      <c r="G9" s="9">
        <f>E9</f>
        <v>0</v>
      </c>
      <c r="H9" s="16"/>
      <c r="I9" s="10"/>
      <c r="J9" s="14"/>
      <c r="K9" s="10"/>
      <c r="L9" s="10"/>
      <c r="M9" s="10"/>
      <c r="N9" s="10"/>
      <c r="O9" s="10"/>
      <c r="P9" s="10"/>
      <c r="Q9" s="10"/>
      <c r="T9">
        <v>5</v>
      </c>
      <c r="U9" s="28">
        <f>E19</f>
        <v>0</v>
      </c>
      <c r="V9" t="s">
        <v>77</v>
      </c>
      <c r="W9" s="29">
        <f>E21</f>
        <v>0</v>
      </c>
      <c r="Z9" s="34"/>
      <c r="AA9" s="40"/>
      <c r="AB9" s="40"/>
      <c r="AC9" s="38" t="s">
        <v>159</v>
      </c>
      <c r="AD9" s="48">
        <v>2</v>
      </c>
      <c r="AE9" s="86">
        <f t="shared" ca="1" si="0"/>
        <v>0</v>
      </c>
      <c r="AF9" s="37" t="s">
        <v>157</v>
      </c>
      <c r="AG9" s="86">
        <f t="shared" ca="1" si="1"/>
        <v>0</v>
      </c>
      <c r="AH9" s="74"/>
    </row>
    <row r="10" spans="4:34" ht="13" thickBot="1">
      <c r="E10" s="10"/>
      <c r="F10" s="10"/>
      <c r="G10" s="10"/>
      <c r="H10" s="10"/>
      <c r="I10" s="10"/>
      <c r="J10" s="14" t="s">
        <v>238</v>
      </c>
      <c r="K10" s="9" t="str">
        <f>IF(OR(J8="",J12=""),"",+IF(J8&gt;J12,I8,I12))</f>
        <v/>
      </c>
      <c r="L10" s="17"/>
      <c r="M10" s="10"/>
      <c r="N10" s="10"/>
      <c r="O10" s="10"/>
      <c r="P10" s="10"/>
      <c r="Q10" s="10"/>
      <c r="T10">
        <v>6</v>
      </c>
      <c r="U10" s="28">
        <f>E23</f>
        <v>0</v>
      </c>
      <c r="V10" t="s">
        <v>77</v>
      </c>
      <c r="W10" s="29">
        <f>E25</f>
        <v>0</v>
      </c>
      <c r="Z10" s="34"/>
      <c r="AA10" s="40"/>
      <c r="AB10" s="40"/>
      <c r="AC10" s="38" t="s">
        <v>159</v>
      </c>
      <c r="AD10" s="48">
        <v>3</v>
      </c>
      <c r="AE10" s="86">
        <f t="shared" ca="1" si="0"/>
        <v>0</v>
      </c>
      <c r="AF10" s="37" t="s">
        <v>157</v>
      </c>
      <c r="AG10" s="86">
        <f t="shared" ca="1" si="1"/>
        <v>0</v>
      </c>
      <c r="AH10" s="74"/>
    </row>
    <row r="11" spans="4:34" ht="13" thickBot="1">
      <c r="D11">
        <v>3</v>
      </c>
      <c r="E11" s="9">
        <v>0</v>
      </c>
      <c r="F11" s="9"/>
      <c r="G11" s="9">
        <f>E11</f>
        <v>0</v>
      </c>
      <c r="H11" s="11"/>
      <c r="I11" s="10"/>
      <c r="J11" s="14"/>
      <c r="K11" s="10"/>
      <c r="L11" s="13"/>
      <c r="M11" s="10"/>
      <c r="N11" s="10"/>
      <c r="O11" s="10"/>
      <c r="P11" s="10"/>
      <c r="Q11" s="10"/>
      <c r="T11">
        <v>7</v>
      </c>
      <c r="U11" s="28">
        <f>E27</f>
        <v>0</v>
      </c>
      <c r="V11" t="s">
        <v>77</v>
      </c>
      <c r="W11" s="29">
        <f>E29</f>
        <v>0</v>
      </c>
      <c r="Z11" s="34"/>
      <c r="AA11" s="40"/>
      <c r="AB11" s="40"/>
      <c r="AC11" s="38" t="s">
        <v>159</v>
      </c>
      <c r="AD11" s="48">
        <v>4</v>
      </c>
      <c r="AE11" s="86">
        <f t="shared" ca="1" si="0"/>
        <v>0</v>
      </c>
      <c r="AF11" s="37" t="s">
        <v>157</v>
      </c>
      <c r="AG11" s="86">
        <f t="shared" ca="1" si="1"/>
        <v>0</v>
      </c>
      <c r="AH11" s="74"/>
    </row>
    <row r="12" spans="4:34" ht="13" thickBot="1">
      <c r="E12" s="10"/>
      <c r="F12" s="10"/>
      <c r="G12" s="10"/>
      <c r="H12" s="13" t="s">
        <v>206</v>
      </c>
      <c r="I12" s="9" t="str">
        <f>IF(OR(H11="",H13=""),"",+IF(H11&gt;H13,E11,E13))</f>
        <v/>
      </c>
      <c r="J12" s="16"/>
      <c r="K12" s="10"/>
      <c r="L12" s="14"/>
      <c r="M12" s="10"/>
      <c r="N12" s="10"/>
      <c r="O12" s="10"/>
      <c r="P12" s="10"/>
      <c r="Q12" s="10"/>
      <c r="T12">
        <v>8</v>
      </c>
      <c r="U12" s="28">
        <f>E31</f>
        <v>0</v>
      </c>
      <c r="V12" t="s">
        <v>77</v>
      </c>
      <c r="W12" s="29">
        <f>E33</f>
        <v>0</v>
      </c>
      <c r="Z12" s="34"/>
      <c r="AA12" s="40"/>
      <c r="AB12" s="40"/>
      <c r="AC12" s="38" t="s">
        <v>159</v>
      </c>
      <c r="AD12" s="48">
        <v>5</v>
      </c>
      <c r="AE12" s="86">
        <f t="shared" ca="1" si="0"/>
        <v>0</v>
      </c>
      <c r="AF12" s="37" t="s">
        <v>157</v>
      </c>
      <c r="AG12" s="86">
        <f t="shared" ca="1" si="1"/>
        <v>0</v>
      </c>
      <c r="AH12" s="74"/>
    </row>
    <row r="13" spans="4:34" ht="13" thickBot="1">
      <c r="D13">
        <v>4</v>
      </c>
      <c r="E13" s="9">
        <v>0</v>
      </c>
      <c r="F13" s="9"/>
      <c r="G13" s="9">
        <f>E13</f>
        <v>0</v>
      </c>
      <c r="H13" s="16"/>
      <c r="I13" s="10"/>
      <c r="J13" s="10"/>
      <c r="K13" s="10"/>
      <c r="L13" s="14"/>
      <c r="M13" s="10"/>
      <c r="N13" s="10"/>
      <c r="O13" s="10"/>
      <c r="P13" s="10"/>
      <c r="Q13" s="10"/>
      <c r="T13">
        <v>9</v>
      </c>
      <c r="U13" s="28">
        <f>E35</f>
        <v>0</v>
      </c>
      <c r="V13" t="s">
        <v>77</v>
      </c>
      <c r="W13" s="29">
        <f>E37</f>
        <v>0</v>
      </c>
      <c r="Z13" s="34"/>
      <c r="AA13" s="40"/>
      <c r="AB13" s="40"/>
      <c r="AC13" s="38" t="s">
        <v>159</v>
      </c>
      <c r="AD13" s="48">
        <v>6</v>
      </c>
      <c r="AE13" s="86">
        <f t="shared" ca="1" si="0"/>
        <v>0</v>
      </c>
      <c r="AF13" s="37" t="s">
        <v>157</v>
      </c>
      <c r="AG13" s="86">
        <f t="shared" ca="1" si="1"/>
        <v>0</v>
      </c>
      <c r="AH13" s="74"/>
    </row>
    <row r="14" spans="4:34" ht="13" thickBot="1">
      <c r="E14" s="10"/>
      <c r="F14" s="10"/>
      <c r="G14" s="10"/>
      <c r="H14" s="10"/>
      <c r="I14" s="10"/>
      <c r="J14" s="10"/>
      <c r="K14" s="10"/>
      <c r="L14" s="14" t="s">
        <v>254</v>
      </c>
      <c r="M14" s="9" t="str">
        <f>IF(OR(L10="",L18=""),"",+IF(L10&gt;L18,K10,K18))</f>
        <v/>
      </c>
      <c r="N14" s="17"/>
      <c r="O14" s="10"/>
      <c r="P14" s="10"/>
      <c r="Q14" s="10"/>
      <c r="T14">
        <v>10</v>
      </c>
      <c r="U14" s="28">
        <f>E39</f>
        <v>0</v>
      </c>
      <c r="V14" t="s">
        <v>77</v>
      </c>
      <c r="W14" s="29" t="s">
        <v>78</v>
      </c>
      <c r="Z14" s="34"/>
      <c r="AA14" s="40"/>
      <c r="AB14" s="40"/>
      <c r="AC14" s="38" t="s">
        <v>159</v>
      </c>
      <c r="AD14" s="48">
        <v>7</v>
      </c>
      <c r="AE14" s="86">
        <f t="shared" ca="1" si="0"/>
        <v>0</v>
      </c>
      <c r="AF14" s="37" t="s">
        <v>157</v>
      </c>
      <c r="AG14" s="86">
        <f t="shared" ca="1" si="1"/>
        <v>0</v>
      </c>
      <c r="AH14" s="74"/>
    </row>
    <row r="15" spans="4:34" ht="13" thickBot="1">
      <c r="D15">
        <v>5</v>
      </c>
      <c r="E15" s="9">
        <v>0</v>
      </c>
      <c r="F15" s="9"/>
      <c r="G15" s="9">
        <f>E15</f>
        <v>0</v>
      </c>
      <c r="H15" s="11"/>
      <c r="I15" s="10"/>
      <c r="J15" s="10"/>
      <c r="K15" s="10"/>
      <c r="L15" s="14"/>
      <c r="M15" s="10"/>
      <c r="N15" s="13"/>
      <c r="O15" s="10"/>
      <c r="P15" s="10"/>
      <c r="Q15" s="10"/>
      <c r="T15">
        <v>11</v>
      </c>
      <c r="U15" s="28">
        <f>E46</f>
        <v>0</v>
      </c>
      <c r="V15" t="s">
        <v>77</v>
      </c>
      <c r="W15" s="29">
        <f>E48</f>
        <v>0</v>
      </c>
      <c r="Z15" s="34"/>
      <c r="AA15" s="40"/>
      <c r="AB15" s="40"/>
      <c r="AC15" s="38" t="s">
        <v>159</v>
      </c>
      <c r="AD15" s="48">
        <v>8</v>
      </c>
      <c r="AE15" s="86">
        <f t="shared" ca="1" si="0"/>
        <v>0</v>
      </c>
      <c r="AF15" s="37" t="s">
        <v>157</v>
      </c>
      <c r="AG15" s="86">
        <f t="shared" ca="1" si="1"/>
        <v>0</v>
      </c>
      <c r="AH15" s="74"/>
    </row>
    <row r="16" spans="4:34" ht="13" thickBot="1">
      <c r="E16" s="10"/>
      <c r="F16" s="10"/>
      <c r="G16" s="10"/>
      <c r="H16" s="13" t="s">
        <v>208</v>
      </c>
      <c r="I16" s="9" t="str">
        <f>IF(OR(H15="",H17=""),"",+IF(H15&gt;H17,E15,E17))</f>
        <v/>
      </c>
      <c r="J16" s="17"/>
      <c r="K16" s="10"/>
      <c r="L16" s="14"/>
      <c r="M16" s="10"/>
      <c r="N16" s="14"/>
      <c r="O16" s="10"/>
      <c r="P16" s="10"/>
      <c r="Q16" s="10"/>
      <c r="T16">
        <v>12</v>
      </c>
      <c r="U16" s="28">
        <f>E50</f>
        <v>0</v>
      </c>
      <c r="V16" t="s">
        <v>77</v>
      </c>
      <c r="W16" s="29">
        <f>E52</f>
        <v>0</v>
      </c>
      <c r="Z16" s="34"/>
      <c r="AA16" s="40"/>
      <c r="AB16" s="40"/>
      <c r="AC16" s="38" t="s">
        <v>159</v>
      </c>
      <c r="AD16" s="48">
        <v>9</v>
      </c>
      <c r="AE16" s="86">
        <f t="shared" ca="1" si="0"/>
        <v>0</v>
      </c>
      <c r="AF16" s="37" t="s">
        <v>157</v>
      </c>
      <c r="AG16" s="86">
        <f t="shared" ca="1" si="1"/>
        <v>0</v>
      </c>
      <c r="AH16" s="74"/>
    </row>
    <row r="17" spans="4:34" ht="13" thickBot="1">
      <c r="D17">
        <v>6</v>
      </c>
      <c r="E17" s="9">
        <v>0</v>
      </c>
      <c r="F17" s="9"/>
      <c r="G17" s="9">
        <f>E17</f>
        <v>0</v>
      </c>
      <c r="H17" s="16"/>
      <c r="I17" s="10"/>
      <c r="J17" s="14"/>
      <c r="K17" s="10"/>
      <c r="L17" s="14"/>
      <c r="M17" s="10"/>
      <c r="N17" s="14"/>
      <c r="O17" s="10"/>
      <c r="P17" s="10"/>
      <c r="Q17" s="10"/>
      <c r="T17">
        <v>13</v>
      </c>
      <c r="U17" s="28">
        <f>E54</f>
        <v>0</v>
      </c>
      <c r="V17" t="s">
        <v>77</v>
      </c>
      <c r="W17" s="29">
        <f>E56</f>
        <v>0</v>
      </c>
      <c r="Z17" s="34"/>
      <c r="AA17" s="40"/>
      <c r="AB17" s="40"/>
      <c r="AC17" s="38" t="s">
        <v>159</v>
      </c>
      <c r="AD17" s="48">
        <v>10</v>
      </c>
      <c r="AE17" s="86">
        <f t="shared" ca="1" si="0"/>
        <v>0</v>
      </c>
      <c r="AF17" s="37" t="s">
        <v>157</v>
      </c>
      <c r="AG17" s="86" t="str">
        <f t="shared" ca="1" si="1"/>
        <v>Venc.J1</v>
      </c>
      <c r="AH17" s="74"/>
    </row>
    <row r="18" spans="4:34" ht="13" thickBot="1">
      <c r="E18" s="10"/>
      <c r="F18" s="10"/>
      <c r="G18" s="10"/>
      <c r="H18" s="10"/>
      <c r="I18" s="10"/>
      <c r="J18" s="14" t="s">
        <v>240</v>
      </c>
      <c r="K18" s="9" t="str">
        <f>IF(OR(J16="",J20=""),"",+IF(J16&gt;J20,I16,I20))</f>
        <v/>
      </c>
      <c r="L18" s="16"/>
      <c r="M18" s="10"/>
      <c r="N18" s="14"/>
      <c r="O18" s="10"/>
      <c r="P18" s="10"/>
      <c r="Q18" s="10"/>
      <c r="T18">
        <v>14</v>
      </c>
      <c r="U18" s="28">
        <f>E58</f>
        <v>0</v>
      </c>
      <c r="V18" t="s">
        <v>77</v>
      </c>
      <c r="W18" s="29">
        <f>E60</f>
        <v>0</v>
      </c>
      <c r="Z18" s="34"/>
      <c r="AA18" s="40"/>
      <c r="AB18" s="40"/>
      <c r="AC18" s="38" t="s">
        <v>159</v>
      </c>
      <c r="AD18" s="48">
        <v>11</v>
      </c>
      <c r="AE18" s="86">
        <f t="shared" ca="1" si="0"/>
        <v>0</v>
      </c>
      <c r="AF18" s="37" t="s">
        <v>157</v>
      </c>
      <c r="AG18" s="86">
        <f t="shared" ca="1" si="1"/>
        <v>0</v>
      </c>
      <c r="AH18" s="74"/>
    </row>
    <row r="19" spans="4:34" ht="13" thickBot="1">
      <c r="D19">
        <v>7</v>
      </c>
      <c r="E19" s="9">
        <v>0</v>
      </c>
      <c r="F19" s="9"/>
      <c r="G19" s="9">
        <f>E19</f>
        <v>0</v>
      </c>
      <c r="H19" s="11"/>
      <c r="I19" s="10"/>
      <c r="J19" s="14"/>
      <c r="K19" s="10"/>
      <c r="L19" s="10"/>
      <c r="M19" s="10"/>
      <c r="N19" s="14"/>
      <c r="O19" s="10"/>
      <c r="P19" s="10"/>
      <c r="Q19" s="10"/>
      <c r="T19">
        <v>15</v>
      </c>
      <c r="U19" s="28">
        <f>E62</f>
        <v>0</v>
      </c>
      <c r="V19" t="s">
        <v>77</v>
      </c>
      <c r="W19" s="29">
        <f>E64</f>
        <v>0</v>
      </c>
      <c r="Z19" s="34"/>
      <c r="AA19" s="40"/>
      <c r="AB19" s="40"/>
      <c r="AC19" s="38" t="s">
        <v>159</v>
      </c>
      <c r="AD19" s="48">
        <v>12</v>
      </c>
      <c r="AE19" s="86">
        <f t="shared" ca="1" si="0"/>
        <v>0</v>
      </c>
      <c r="AF19" s="37" t="s">
        <v>157</v>
      </c>
      <c r="AG19" s="86">
        <f t="shared" ca="1" si="1"/>
        <v>0</v>
      </c>
      <c r="AH19" s="74"/>
    </row>
    <row r="20" spans="4:34" ht="13" thickBot="1">
      <c r="E20" s="10"/>
      <c r="F20" s="10"/>
      <c r="G20" s="10"/>
      <c r="H20" s="13" t="s">
        <v>210</v>
      </c>
      <c r="I20" s="9" t="str">
        <f>IF(OR(H19="",H21=""),"",+IF(H19&gt;H21,E19,E21))</f>
        <v/>
      </c>
      <c r="J20" s="16"/>
      <c r="K20" s="10"/>
      <c r="L20" s="10"/>
      <c r="M20" s="10"/>
      <c r="N20" s="14"/>
      <c r="O20" s="10"/>
      <c r="P20" s="10"/>
      <c r="Q20" s="10"/>
      <c r="T20">
        <v>16</v>
      </c>
      <c r="U20" s="28">
        <f>E66</f>
        <v>0</v>
      </c>
      <c r="V20" t="s">
        <v>77</v>
      </c>
      <c r="W20" s="29">
        <f>E68</f>
        <v>0</v>
      </c>
      <c r="Z20" s="34"/>
      <c r="AA20" s="40"/>
      <c r="AB20" s="40"/>
      <c r="AC20" s="38" t="s">
        <v>159</v>
      </c>
      <c r="AD20" s="48">
        <v>13</v>
      </c>
      <c r="AE20" s="86">
        <f t="shared" ca="1" si="0"/>
        <v>0</v>
      </c>
      <c r="AF20" s="37" t="s">
        <v>157</v>
      </c>
      <c r="AG20" s="86">
        <f t="shared" ca="1" si="1"/>
        <v>0</v>
      </c>
      <c r="AH20" s="74"/>
    </row>
    <row r="21" spans="4:34" ht="13" thickBot="1">
      <c r="D21">
        <v>8</v>
      </c>
      <c r="E21" s="9">
        <v>0</v>
      </c>
      <c r="F21" s="9"/>
      <c r="G21" s="9">
        <f>E21</f>
        <v>0</v>
      </c>
      <c r="H21" s="16"/>
      <c r="I21" s="10"/>
      <c r="J21" s="10"/>
      <c r="K21" s="10"/>
      <c r="L21" s="10"/>
      <c r="M21" s="10"/>
      <c r="N21" s="14"/>
      <c r="O21" s="10"/>
      <c r="P21" s="10"/>
      <c r="Q21" s="10"/>
      <c r="T21">
        <v>17</v>
      </c>
      <c r="U21" s="28">
        <f>E70</f>
        <v>0</v>
      </c>
      <c r="V21" t="s">
        <v>77</v>
      </c>
      <c r="W21" s="29">
        <f>E72</f>
        <v>0</v>
      </c>
      <c r="Z21" s="34"/>
      <c r="AA21" s="40"/>
      <c r="AB21" s="40"/>
      <c r="AC21" s="38" t="s">
        <v>159</v>
      </c>
      <c r="AD21" s="48">
        <v>14</v>
      </c>
      <c r="AE21" s="86">
        <f t="shared" ca="1" si="0"/>
        <v>0</v>
      </c>
      <c r="AF21" s="37" t="s">
        <v>157</v>
      </c>
      <c r="AG21" s="86">
        <f t="shared" ca="1" si="1"/>
        <v>0</v>
      </c>
      <c r="AH21" s="74"/>
    </row>
    <row r="22" spans="4:34" ht="13" thickBot="1">
      <c r="E22" s="10"/>
      <c r="F22" s="10"/>
      <c r="G22" s="10"/>
      <c r="H22" s="10"/>
      <c r="I22" s="10"/>
      <c r="J22" s="10"/>
      <c r="K22" s="10"/>
      <c r="L22" s="10"/>
      <c r="M22" s="10"/>
      <c r="N22" s="14" t="s">
        <v>201</v>
      </c>
      <c r="O22" s="9" t="str">
        <f>IF(OR(N14="",N30=""),"",+IF(N14&gt;N30,M14,M30))</f>
        <v/>
      </c>
      <c r="P22" s="17"/>
      <c r="Q22" s="10"/>
      <c r="T22">
        <v>18</v>
      </c>
      <c r="U22" s="28" t="s">
        <v>160</v>
      </c>
      <c r="V22" t="s">
        <v>77</v>
      </c>
      <c r="W22" s="29" t="s">
        <v>161</v>
      </c>
      <c r="Z22" s="34"/>
      <c r="AA22" s="40"/>
      <c r="AB22" s="40"/>
      <c r="AC22" s="38" t="s">
        <v>159</v>
      </c>
      <c r="AD22" s="48">
        <v>15</v>
      </c>
      <c r="AE22" s="86">
        <f t="shared" ca="1" si="0"/>
        <v>0</v>
      </c>
      <c r="AF22" s="37" t="s">
        <v>157</v>
      </c>
      <c r="AG22" s="86">
        <f t="shared" ca="1" si="1"/>
        <v>0</v>
      </c>
      <c r="AH22" s="74"/>
    </row>
    <row r="23" spans="4:34" ht="13" thickBot="1">
      <c r="D23">
        <v>9</v>
      </c>
      <c r="E23" s="9">
        <v>0</v>
      </c>
      <c r="F23" s="9"/>
      <c r="G23" s="9">
        <f>E23</f>
        <v>0</v>
      </c>
      <c r="H23" s="11"/>
      <c r="I23" s="10"/>
      <c r="J23" s="10"/>
      <c r="K23" s="10"/>
      <c r="L23" s="10"/>
      <c r="M23" s="10"/>
      <c r="N23" s="14"/>
      <c r="O23" s="10"/>
      <c r="P23" s="14"/>
      <c r="Q23" s="10"/>
      <c r="T23">
        <v>19</v>
      </c>
      <c r="U23" s="28" t="s">
        <v>81</v>
      </c>
      <c r="V23" t="s">
        <v>77</v>
      </c>
      <c r="W23" s="29" t="s">
        <v>162</v>
      </c>
      <c r="Z23" s="34"/>
      <c r="AA23" s="40"/>
      <c r="AB23" s="40"/>
      <c r="AC23" s="38" t="s">
        <v>159</v>
      </c>
      <c r="AD23" s="48">
        <v>16</v>
      </c>
      <c r="AE23" s="86">
        <f t="shared" ca="1" si="0"/>
        <v>0</v>
      </c>
      <c r="AF23" s="37" t="s">
        <v>157</v>
      </c>
      <c r="AG23" s="86">
        <f t="shared" ca="1" si="1"/>
        <v>0</v>
      </c>
      <c r="AH23" s="74"/>
    </row>
    <row r="24" spans="4:34" ht="13" thickBot="1">
      <c r="E24" s="10"/>
      <c r="F24" s="10"/>
      <c r="G24" s="10"/>
      <c r="H24" s="13" t="s">
        <v>212</v>
      </c>
      <c r="I24" s="9" t="str">
        <f>IF(OR(H23="",H25=""),"",+IF(H23&gt;H25,E23,E25))</f>
        <v/>
      </c>
      <c r="J24" s="17"/>
      <c r="K24" s="10"/>
      <c r="L24" s="10"/>
      <c r="M24" s="10"/>
      <c r="N24" s="14"/>
      <c r="O24" s="10"/>
      <c r="P24" s="14"/>
      <c r="Q24" s="10"/>
      <c r="T24">
        <v>20</v>
      </c>
      <c r="U24" s="28" t="s">
        <v>163</v>
      </c>
      <c r="V24" t="s">
        <v>77</v>
      </c>
      <c r="W24" s="29" t="s">
        <v>84</v>
      </c>
      <c r="Z24" s="34"/>
      <c r="AA24" s="40"/>
      <c r="AB24" s="40"/>
      <c r="AC24" s="38" t="s">
        <v>159</v>
      </c>
      <c r="AD24" s="48">
        <v>17</v>
      </c>
      <c r="AE24" s="86">
        <f t="shared" ca="1" si="0"/>
        <v>0</v>
      </c>
      <c r="AF24" s="37" t="s">
        <v>157</v>
      </c>
      <c r="AG24" s="86">
        <f t="shared" ca="1" si="1"/>
        <v>0</v>
      </c>
      <c r="AH24" s="74"/>
    </row>
    <row r="25" spans="4:34" ht="13" thickBot="1">
      <c r="D25">
        <v>10</v>
      </c>
      <c r="E25" s="9">
        <v>0</v>
      </c>
      <c r="F25" s="9"/>
      <c r="G25" s="9">
        <f>E25</f>
        <v>0</v>
      </c>
      <c r="H25" s="16"/>
      <c r="I25" s="10"/>
      <c r="J25" s="14"/>
      <c r="K25" s="10"/>
      <c r="L25" s="10"/>
      <c r="M25" s="10"/>
      <c r="N25" s="14"/>
      <c r="O25" s="10"/>
      <c r="P25" s="14"/>
      <c r="Q25" s="10"/>
      <c r="T25">
        <v>21</v>
      </c>
      <c r="U25" s="28" t="s">
        <v>164</v>
      </c>
      <c r="V25" t="s">
        <v>77</v>
      </c>
      <c r="W25" s="29" t="s">
        <v>86</v>
      </c>
      <c r="Z25" s="34"/>
      <c r="AA25" s="40"/>
      <c r="AB25" s="40"/>
      <c r="AC25" s="38" t="s">
        <v>159</v>
      </c>
      <c r="AD25" s="48">
        <v>18</v>
      </c>
      <c r="AE25" s="86" t="str">
        <f t="shared" ca="1" si="0"/>
        <v>Venc.J2</v>
      </c>
      <c r="AF25" s="37" t="s">
        <v>157</v>
      </c>
      <c r="AG25" s="86" t="str">
        <f t="shared" ca="1" si="1"/>
        <v>Venc.J3</v>
      </c>
      <c r="AH25" s="74"/>
    </row>
    <row r="26" spans="4:34" ht="13" thickBot="1">
      <c r="E26" s="10"/>
      <c r="F26" s="10"/>
      <c r="G26" s="10"/>
      <c r="H26" s="10"/>
      <c r="I26" s="10"/>
      <c r="J26" s="14" t="s">
        <v>242</v>
      </c>
      <c r="K26" s="9" t="str">
        <f>IF(OR(J24="",J28=""),"",+IF(J24&gt;J28,I24,I28))</f>
        <v/>
      </c>
      <c r="L26" s="17"/>
      <c r="M26" s="10"/>
      <c r="N26" s="14"/>
      <c r="O26" s="10"/>
      <c r="P26" s="14"/>
      <c r="Q26" s="10"/>
      <c r="T26">
        <v>22</v>
      </c>
      <c r="U26" s="28" t="s">
        <v>87</v>
      </c>
      <c r="V26" t="s">
        <v>77</v>
      </c>
      <c r="W26" s="29" t="s">
        <v>88</v>
      </c>
      <c r="Z26" s="34"/>
      <c r="AA26" s="40"/>
      <c r="AB26" s="40"/>
      <c r="AC26" s="38" t="s">
        <v>159</v>
      </c>
      <c r="AD26" s="48">
        <v>19</v>
      </c>
      <c r="AE26" s="86" t="str">
        <f t="shared" ca="1" si="0"/>
        <v>Venc.J4</v>
      </c>
      <c r="AF26" s="37" t="s">
        <v>157</v>
      </c>
      <c r="AG26" s="86" t="str">
        <f t="shared" ca="1" si="1"/>
        <v>Venc.J5</v>
      </c>
      <c r="AH26" s="74"/>
    </row>
    <row r="27" spans="4:34" ht="13" thickBot="1">
      <c r="D27">
        <v>11</v>
      </c>
      <c r="E27" s="9">
        <v>0</v>
      </c>
      <c r="F27" s="9"/>
      <c r="G27" s="9">
        <f>E27</f>
        <v>0</v>
      </c>
      <c r="H27" s="11"/>
      <c r="I27" s="10"/>
      <c r="J27" s="14"/>
      <c r="K27" s="10"/>
      <c r="L27" s="13"/>
      <c r="M27" s="10"/>
      <c r="N27" s="14"/>
      <c r="O27" s="10"/>
      <c r="P27" s="14"/>
      <c r="Q27" s="10"/>
      <c r="T27">
        <v>23</v>
      </c>
      <c r="U27" s="28" t="s">
        <v>89</v>
      </c>
      <c r="V27" t="s">
        <v>77</v>
      </c>
      <c r="W27" s="29" t="s">
        <v>90</v>
      </c>
      <c r="Z27" s="34"/>
      <c r="AA27" s="40"/>
      <c r="AB27" s="40"/>
      <c r="AC27" s="38" t="s">
        <v>159</v>
      </c>
      <c r="AD27" s="48">
        <v>20</v>
      </c>
      <c r="AE27" s="86" t="str">
        <f t="shared" ca="1" si="0"/>
        <v>Venc.J6</v>
      </c>
      <c r="AF27" s="37" t="s">
        <v>157</v>
      </c>
      <c r="AG27" s="86" t="str">
        <f t="shared" ca="1" si="1"/>
        <v>Venc.J7</v>
      </c>
      <c r="AH27" s="74"/>
    </row>
    <row r="28" spans="4:34" ht="13" thickBot="1">
      <c r="E28" s="10"/>
      <c r="F28" s="10"/>
      <c r="G28" s="10"/>
      <c r="H28" s="13" t="s">
        <v>214</v>
      </c>
      <c r="I28" s="9" t="str">
        <f>IF(OR(H27="",H29=""),"",+IF(H27&gt;H29,E27,E29))</f>
        <v/>
      </c>
      <c r="J28" s="16"/>
      <c r="K28" s="10"/>
      <c r="L28" s="14"/>
      <c r="M28" s="10"/>
      <c r="N28" s="14"/>
      <c r="O28" s="10"/>
      <c r="P28" s="14"/>
      <c r="Q28" s="10"/>
      <c r="T28">
        <v>24</v>
      </c>
      <c r="U28" s="28" t="s">
        <v>91</v>
      </c>
      <c r="V28" t="s">
        <v>77</v>
      </c>
      <c r="W28" s="29" t="s">
        <v>92</v>
      </c>
      <c r="Z28" s="34"/>
      <c r="AA28" s="40"/>
      <c r="AB28" s="40"/>
      <c r="AC28" s="38" t="s">
        <v>159</v>
      </c>
      <c r="AD28" s="48">
        <v>21</v>
      </c>
      <c r="AE28" s="86" t="str">
        <f t="shared" ca="1" si="0"/>
        <v>Venc.J8</v>
      </c>
      <c r="AF28" s="37" t="s">
        <v>157</v>
      </c>
      <c r="AG28" s="86" t="str">
        <f t="shared" ca="1" si="1"/>
        <v>Venc.J9</v>
      </c>
      <c r="AH28" s="74"/>
    </row>
    <row r="29" spans="4:34" ht="13" thickBot="1">
      <c r="D29">
        <v>12</v>
      </c>
      <c r="E29" s="9">
        <v>0</v>
      </c>
      <c r="F29" s="9"/>
      <c r="G29" s="9">
        <f>E29</f>
        <v>0</v>
      </c>
      <c r="H29" s="16"/>
      <c r="I29" s="10"/>
      <c r="J29" s="10"/>
      <c r="K29" s="10"/>
      <c r="L29" s="14"/>
      <c r="M29" s="10"/>
      <c r="N29" s="14"/>
      <c r="O29" s="10"/>
      <c r="P29" s="14"/>
      <c r="Q29" s="10"/>
      <c r="T29">
        <v>25</v>
      </c>
      <c r="U29" s="28" t="s">
        <v>165</v>
      </c>
      <c r="V29" t="s">
        <v>77</v>
      </c>
      <c r="W29" s="29" t="s">
        <v>94</v>
      </c>
      <c r="Z29" s="34"/>
      <c r="AA29" s="40"/>
      <c r="AB29" s="40"/>
      <c r="AC29" s="38" t="s">
        <v>159</v>
      </c>
      <c r="AD29" s="48">
        <v>22</v>
      </c>
      <c r="AE29" s="86" t="str">
        <f t="shared" ca="1" si="0"/>
        <v>Venc.J10</v>
      </c>
      <c r="AF29" s="37" t="s">
        <v>157</v>
      </c>
      <c r="AG29" s="86" t="str">
        <f t="shared" ca="1" si="1"/>
        <v>Venc.J11</v>
      </c>
      <c r="AH29" s="74"/>
    </row>
    <row r="30" spans="4:34" ht="13" thickBot="1">
      <c r="E30" s="10"/>
      <c r="F30" s="10"/>
      <c r="G30" s="10"/>
      <c r="H30" s="10"/>
      <c r="I30" s="10"/>
      <c r="J30" s="10"/>
      <c r="K30" s="10"/>
      <c r="L30" s="14" t="s">
        <v>256</v>
      </c>
      <c r="M30" s="9" t="str">
        <f>IF(OR(L26="",L34=""),"",+IF(L26&gt;L34,K26,K34))</f>
        <v/>
      </c>
      <c r="N30" s="16"/>
      <c r="O30" s="10"/>
      <c r="P30" s="14"/>
      <c r="Q30" s="10"/>
      <c r="T30">
        <v>26</v>
      </c>
      <c r="U30" s="28" t="s">
        <v>95</v>
      </c>
      <c r="V30" t="s">
        <v>77</v>
      </c>
      <c r="W30" s="29" t="s">
        <v>96</v>
      </c>
      <c r="Z30" s="34"/>
      <c r="AA30" s="40"/>
      <c r="AB30" s="40"/>
      <c r="AC30" s="38" t="s">
        <v>159</v>
      </c>
      <c r="AD30" s="48">
        <v>23</v>
      </c>
      <c r="AE30" s="86" t="str">
        <f t="shared" ca="1" si="0"/>
        <v>Venc.J12</v>
      </c>
      <c r="AF30" s="37" t="s">
        <v>157</v>
      </c>
      <c r="AG30" s="86" t="str">
        <f t="shared" ca="1" si="1"/>
        <v>Venc.J13</v>
      </c>
      <c r="AH30" s="74"/>
    </row>
    <row r="31" spans="4:34" ht="13" thickBot="1">
      <c r="D31">
        <v>13</v>
      </c>
      <c r="E31" s="9">
        <v>0</v>
      </c>
      <c r="F31" s="9"/>
      <c r="G31" s="9">
        <f>E31</f>
        <v>0</v>
      </c>
      <c r="H31" s="11"/>
      <c r="I31" s="10"/>
      <c r="J31" s="10"/>
      <c r="K31" s="10"/>
      <c r="L31" s="14"/>
      <c r="M31" s="10"/>
      <c r="N31" s="10"/>
      <c r="O31" s="10"/>
      <c r="P31" s="14"/>
      <c r="Q31" s="10"/>
      <c r="T31">
        <v>27</v>
      </c>
      <c r="U31" s="28" t="s">
        <v>97</v>
      </c>
      <c r="V31" t="s">
        <v>77</v>
      </c>
      <c r="W31" s="29" t="s">
        <v>98</v>
      </c>
      <c r="Z31" s="34"/>
      <c r="AA31" s="40"/>
      <c r="AB31" s="40"/>
      <c r="AC31" s="38" t="s">
        <v>159</v>
      </c>
      <c r="AD31" s="48">
        <v>24</v>
      </c>
      <c r="AE31" s="86" t="str">
        <f t="shared" ca="1" si="0"/>
        <v>Venc.J14</v>
      </c>
      <c r="AF31" s="37" t="s">
        <v>157</v>
      </c>
      <c r="AG31" s="86" t="str">
        <f t="shared" ca="1" si="1"/>
        <v>Venc.J15</v>
      </c>
      <c r="AH31" s="74"/>
    </row>
    <row r="32" spans="4:34" ht="13" thickBot="1">
      <c r="E32" s="10"/>
      <c r="F32" s="10"/>
      <c r="G32" s="10"/>
      <c r="H32" s="13" t="s">
        <v>217</v>
      </c>
      <c r="I32" s="9" t="str">
        <f>IF(OR(H31="",H33=""),"",+IF(H31&gt;H33,E31,E33))</f>
        <v/>
      </c>
      <c r="J32" s="17"/>
      <c r="K32" s="10"/>
      <c r="L32" s="14"/>
      <c r="M32" s="10"/>
      <c r="N32" s="10"/>
      <c r="O32" s="10"/>
      <c r="P32" s="14"/>
      <c r="Q32" s="10"/>
      <c r="T32">
        <v>28</v>
      </c>
      <c r="U32" s="28" t="s">
        <v>99</v>
      </c>
      <c r="V32" t="s">
        <v>77</v>
      </c>
      <c r="W32" s="29" t="s">
        <v>100</v>
      </c>
      <c r="Z32" s="34"/>
      <c r="AA32" s="40"/>
      <c r="AB32" s="40"/>
      <c r="AC32" s="38" t="s">
        <v>159</v>
      </c>
      <c r="AD32" s="48">
        <v>25</v>
      </c>
      <c r="AE32" s="86" t="str">
        <f t="shared" ca="1" si="0"/>
        <v>Venc.J16</v>
      </c>
      <c r="AF32" s="37" t="s">
        <v>157</v>
      </c>
      <c r="AG32" s="86" t="str">
        <f t="shared" ca="1" si="1"/>
        <v>Venc.J17</v>
      </c>
      <c r="AH32" s="74"/>
    </row>
    <row r="33" spans="4:34" ht="13" thickBot="1">
      <c r="D33">
        <v>14</v>
      </c>
      <c r="E33" s="9">
        <v>0</v>
      </c>
      <c r="F33" s="9"/>
      <c r="G33" s="9">
        <f>E33</f>
        <v>0</v>
      </c>
      <c r="H33" s="16"/>
      <c r="I33" s="10"/>
      <c r="J33" s="14"/>
      <c r="K33" s="10"/>
      <c r="L33" s="14"/>
      <c r="M33" s="10"/>
      <c r="N33" s="10"/>
      <c r="O33" s="10"/>
      <c r="P33" s="14"/>
      <c r="Q33" s="10"/>
      <c r="T33">
        <v>29</v>
      </c>
      <c r="U33" s="28" t="s">
        <v>101</v>
      </c>
      <c r="V33" t="s">
        <v>77</v>
      </c>
      <c r="W33" s="29" t="s">
        <v>102</v>
      </c>
      <c r="Z33" s="34"/>
      <c r="AA33" s="40"/>
      <c r="AB33" s="40"/>
      <c r="AC33" s="38" t="s">
        <v>159</v>
      </c>
      <c r="AD33" s="48">
        <v>26</v>
      </c>
      <c r="AE33" s="86" t="str">
        <f t="shared" ca="1" si="0"/>
        <v>Venc.J18</v>
      </c>
      <c r="AF33" s="37" t="s">
        <v>157</v>
      </c>
      <c r="AG33" s="86" t="str">
        <f t="shared" ca="1" si="1"/>
        <v>Venc.J19</v>
      </c>
      <c r="AH33" s="74"/>
    </row>
    <row r="34" spans="4:34" ht="13" thickBot="1">
      <c r="E34" s="10"/>
      <c r="F34" s="10"/>
      <c r="G34" s="10"/>
      <c r="H34" s="10"/>
      <c r="I34" s="10"/>
      <c r="J34" s="14" t="s">
        <v>244</v>
      </c>
      <c r="K34" s="9" t="str">
        <f>IF(OR(J32="",J36=""),"",+IF(J32&gt;J36,I32,I36))</f>
        <v/>
      </c>
      <c r="L34" s="16"/>
      <c r="M34" s="10"/>
      <c r="N34" s="10"/>
      <c r="O34" s="10"/>
      <c r="P34" s="14"/>
      <c r="Q34" s="10"/>
      <c r="T34">
        <v>30</v>
      </c>
      <c r="U34" s="28" t="s">
        <v>103</v>
      </c>
      <c r="V34" t="s">
        <v>77</v>
      </c>
      <c r="W34" s="29" t="s">
        <v>104</v>
      </c>
      <c r="Z34" s="34"/>
      <c r="AA34" s="40"/>
      <c r="AB34" s="40"/>
      <c r="AC34" s="38" t="s">
        <v>159</v>
      </c>
      <c r="AD34" s="48">
        <v>27</v>
      </c>
      <c r="AE34" s="86" t="str">
        <f t="shared" ca="1" si="0"/>
        <v>Venc.J20</v>
      </c>
      <c r="AF34" s="37" t="s">
        <v>157</v>
      </c>
      <c r="AG34" s="86" t="str">
        <f t="shared" ca="1" si="1"/>
        <v>Venc.J21</v>
      </c>
      <c r="AH34" s="74"/>
    </row>
    <row r="35" spans="4:34" ht="13" thickBot="1">
      <c r="D35">
        <v>15</v>
      </c>
      <c r="E35" s="9">
        <v>0</v>
      </c>
      <c r="F35" s="9"/>
      <c r="G35" s="9">
        <f>E35</f>
        <v>0</v>
      </c>
      <c r="H35" s="11"/>
      <c r="I35" s="10"/>
      <c r="J35" s="14"/>
      <c r="K35" s="10"/>
      <c r="L35" s="10"/>
      <c r="M35" s="10"/>
      <c r="N35" s="10"/>
      <c r="O35" s="10"/>
      <c r="P35" s="14"/>
      <c r="Q35" s="10"/>
      <c r="T35">
        <v>31</v>
      </c>
      <c r="U35" s="28" t="s">
        <v>105</v>
      </c>
      <c r="V35" t="s">
        <v>77</v>
      </c>
      <c r="W35" s="29" t="s">
        <v>106</v>
      </c>
      <c r="Z35" s="34"/>
      <c r="AA35" s="40"/>
      <c r="AB35" s="40"/>
      <c r="AC35" s="38" t="s">
        <v>159</v>
      </c>
      <c r="AD35" s="48">
        <v>28</v>
      </c>
      <c r="AE35" s="86" t="str">
        <f t="shared" ca="1" si="0"/>
        <v>Venc.J22</v>
      </c>
      <c r="AF35" s="37" t="s">
        <v>157</v>
      </c>
      <c r="AG35" s="86" t="str">
        <f t="shared" ca="1" si="1"/>
        <v>Venc.J23</v>
      </c>
      <c r="AH35" s="74"/>
    </row>
    <row r="36" spans="4:34" ht="13" thickBot="1">
      <c r="E36" s="10"/>
      <c r="F36" s="10"/>
      <c r="G36" s="10"/>
      <c r="H36" s="13" t="s">
        <v>219</v>
      </c>
      <c r="I36" s="9" t="str">
        <f>IF(OR(H35="",H37=""),"",+IF(H35&gt;H37,E35,E37))</f>
        <v/>
      </c>
      <c r="J36" s="16"/>
      <c r="K36" s="10"/>
      <c r="L36" s="10"/>
      <c r="M36" s="10"/>
      <c r="N36" s="10"/>
      <c r="O36" s="10"/>
      <c r="P36" s="14"/>
      <c r="Q36" s="10"/>
      <c r="T36">
        <v>32</v>
      </c>
      <c r="U36" s="28" t="s">
        <v>308</v>
      </c>
      <c r="V36" t="s">
        <v>77</v>
      </c>
      <c r="W36" s="29" t="s">
        <v>309</v>
      </c>
      <c r="Z36" s="34"/>
      <c r="AA36" s="40"/>
      <c r="AB36" s="40"/>
      <c r="AC36" s="38" t="s">
        <v>159</v>
      </c>
      <c r="AD36" s="48">
        <v>29</v>
      </c>
      <c r="AE36" s="86" t="str">
        <f t="shared" ca="1" si="0"/>
        <v>Venc.J24</v>
      </c>
      <c r="AF36" s="37" t="s">
        <v>157</v>
      </c>
      <c r="AG36" s="86" t="str">
        <f t="shared" ca="1" si="1"/>
        <v>Venc.J25</v>
      </c>
      <c r="AH36" s="74"/>
    </row>
    <row r="37" spans="4:34" ht="13" thickBot="1">
      <c r="D37">
        <v>16</v>
      </c>
      <c r="E37" s="9">
        <v>0</v>
      </c>
      <c r="F37" s="9"/>
      <c r="G37" s="9">
        <f>E37</f>
        <v>0</v>
      </c>
      <c r="H37" s="16"/>
      <c r="I37" s="10"/>
      <c r="J37" s="10"/>
      <c r="K37" s="10"/>
      <c r="L37" s="10"/>
      <c r="M37" s="10"/>
      <c r="N37" s="10"/>
      <c r="O37" s="10"/>
      <c r="P37" s="14"/>
      <c r="Q37" s="10"/>
      <c r="T37">
        <v>33</v>
      </c>
      <c r="U37" s="28" t="s">
        <v>107</v>
      </c>
      <c r="V37" t="s">
        <v>77</v>
      </c>
      <c r="W37" s="29" t="s">
        <v>108</v>
      </c>
      <c r="Z37" s="34"/>
      <c r="AA37" s="40"/>
      <c r="AB37" s="40"/>
      <c r="AC37" s="38" t="s">
        <v>159</v>
      </c>
      <c r="AD37" s="48">
        <v>30</v>
      </c>
      <c r="AE37" s="86" t="str">
        <f t="shared" ca="1" si="0"/>
        <v>Venc.J26</v>
      </c>
      <c r="AF37" s="37" t="s">
        <v>157</v>
      </c>
      <c r="AG37" s="86" t="str">
        <f t="shared" ca="1" si="1"/>
        <v>Venc.J27</v>
      </c>
      <c r="AH37" s="74"/>
    </row>
    <row r="38" spans="4:34" ht="13" thickBot="1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77" t="s">
        <v>278</v>
      </c>
      <c r="P38" s="14" t="s">
        <v>213</v>
      </c>
      <c r="Q38" s="9" t="str">
        <f>IF(OR(P22="",P57=""),"",+IF(P22&gt;P57,O22,O57))</f>
        <v/>
      </c>
      <c r="Z38" s="34"/>
      <c r="AA38" s="40"/>
      <c r="AB38" s="40"/>
      <c r="AC38" s="38" t="s">
        <v>159</v>
      </c>
      <c r="AD38" s="48">
        <v>31</v>
      </c>
      <c r="AE38" s="86" t="str">
        <f t="shared" ca="1" si="0"/>
        <v>Venc.J28</v>
      </c>
      <c r="AF38" s="37" t="s">
        <v>157</v>
      </c>
      <c r="AG38" s="86" t="str">
        <f t="shared" ca="1" si="1"/>
        <v>Venc.J29</v>
      </c>
      <c r="AH38" s="74"/>
    </row>
    <row r="39" spans="4:34" ht="13" thickBot="1">
      <c r="D39">
        <v>17</v>
      </c>
      <c r="E39" s="9">
        <v>0</v>
      </c>
      <c r="F39" s="9"/>
      <c r="G39" s="9">
        <f>E39</f>
        <v>0</v>
      </c>
      <c r="H39" s="11"/>
      <c r="I39" s="10"/>
      <c r="J39" s="10"/>
      <c r="K39" s="10"/>
      <c r="L39" s="10"/>
      <c r="M39" s="10"/>
      <c r="N39" s="10"/>
      <c r="O39" s="10"/>
      <c r="P39" s="14"/>
      <c r="Q39" s="10"/>
      <c r="U39" s="29"/>
      <c r="Z39" s="34"/>
      <c r="AA39" s="40"/>
      <c r="AB39" s="40"/>
      <c r="AC39" s="40" t="s">
        <v>159</v>
      </c>
      <c r="AD39" s="86">
        <v>32</v>
      </c>
      <c r="AE39" s="86" t="str">
        <f t="shared" ca="1" si="0"/>
        <v>Perd.J30</v>
      </c>
      <c r="AF39" s="37"/>
      <c r="AG39" s="86" t="str">
        <f t="shared" ca="1" si="1"/>
        <v>Perd.J31</v>
      </c>
      <c r="AH39" s="74"/>
    </row>
    <row r="40" spans="4:34">
      <c r="E40" s="12"/>
      <c r="F40" s="10"/>
      <c r="G40" s="10"/>
      <c r="H40" s="13"/>
      <c r="I40" s="10"/>
      <c r="J40" s="10"/>
      <c r="K40" s="10"/>
      <c r="L40" s="10"/>
      <c r="M40" s="10"/>
      <c r="N40" s="10"/>
      <c r="O40" s="10"/>
      <c r="P40" s="14"/>
      <c r="Q40" s="10"/>
      <c r="Z40" s="34"/>
      <c r="AA40" s="40"/>
      <c r="AB40" s="40"/>
      <c r="AC40" s="38" t="s">
        <v>159</v>
      </c>
      <c r="AD40" s="48">
        <v>33</v>
      </c>
      <c r="AE40" s="86" t="str">
        <f ca="1">LOOKUP(AD40,T$5:T$78,U$5:U$40)</f>
        <v>Venc.J30</v>
      </c>
      <c r="AF40" s="37" t="s">
        <v>157</v>
      </c>
      <c r="AG40" s="86" t="str">
        <f ca="1">LOOKUP(AD40,T$5:T$78,W$5:W$39)</f>
        <v>Venc.J31</v>
      </c>
      <c r="AH40" s="74"/>
    </row>
    <row r="41" spans="4:34" ht="13" thickBot="1">
      <c r="E41" s="10"/>
      <c r="F41" s="10"/>
      <c r="G41" s="10"/>
      <c r="H41" s="14" t="s">
        <v>221</v>
      </c>
      <c r="I41" s="9" t="str">
        <f>IF(OR(H39="",H43=""),"",+IF(H39&gt;H43,E39,G43))</f>
        <v/>
      </c>
      <c r="J41" s="11"/>
      <c r="K41" s="10"/>
      <c r="L41" s="10"/>
      <c r="M41" s="10"/>
      <c r="N41" s="10"/>
      <c r="O41" s="10"/>
      <c r="P41" s="14"/>
      <c r="Q41" s="10"/>
      <c r="Z41" s="42"/>
      <c r="AA41" s="43"/>
      <c r="AB41" s="43"/>
      <c r="AC41" s="43"/>
      <c r="AD41" s="61"/>
      <c r="AE41" s="61"/>
      <c r="AF41" s="61"/>
      <c r="AG41" s="85"/>
      <c r="AH41" s="75"/>
    </row>
    <row r="42" spans="4:34" ht="13" thickBot="1">
      <c r="D42">
        <v>18</v>
      </c>
      <c r="E42" s="10">
        <v>0</v>
      </c>
      <c r="F42" s="11"/>
      <c r="G42" s="10"/>
      <c r="H42" s="14"/>
      <c r="I42" s="10"/>
      <c r="J42" s="13"/>
      <c r="K42" s="10"/>
      <c r="L42" s="10"/>
      <c r="M42" s="10"/>
      <c r="N42" s="10"/>
      <c r="O42" s="10"/>
      <c r="P42" s="14"/>
      <c r="Q42" s="10"/>
    </row>
    <row r="43" spans="4:34" ht="13" thickBot="1">
      <c r="E43" s="12"/>
      <c r="F43" s="13" t="s">
        <v>202</v>
      </c>
      <c r="G43" s="9" t="str">
        <f>IF(OR(F42="",F44=""),"",+IF(F42&gt;F44,E42,E44))</f>
        <v/>
      </c>
      <c r="H43" s="16"/>
      <c r="I43" s="10"/>
      <c r="J43" s="14"/>
      <c r="K43" s="10"/>
      <c r="L43" s="10"/>
      <c r="M43" s="10"/>
      <c r="N43" s="10"/>
      <c r="O43" s="10"/>
      <c r="P43" s="14"/>
      <c r="Q43" s="10"/>
    </row>
    <row r="44" spans="4:34" ht="13" thickBot="1">
      <c r="D44">
        <v>19</v>
      </c>
      <c r="E44" s="10">
        <v>0</v>
      </c>
      <c r="F44" s="16"/>
      <c r="G44" s="10"/>
      <c r="H44" s="10"/>
      <c r="I44" s="10"/>
      <c r="J44" s="14" t="s">
        <v>246</v>
      </c>
      <c r="K44" s="9" t="str">
        <f>IF(OR(J41="",J47=""),"",+IF(J41&gt;J47,I41,I47))</f>
        <v/>
      </c>
      <c r="L44" s="17"/>
      <c r="M44" s="10"/>
      <c r="N44" s="10"/>
      <c r="O44" s="10"/>
      <c r="P44" s="14"/>
      <c r="Q44" s="10"/>
    </row>
    <row r="45" spans="4:34">
      <c r="E45" s="12"/>
      <c r="F45" s="10"/>
      <c r="G45" s="10"/>
      <c r="H45" s="10"/>
      <c r="I45" s="10"/>
      <c r="J45" s="14"/>
      <c r="K45" s="10"/>
      <c r="L45" s="10"/>
      <c r="M45" s="19"/>
      <c r="N45" s="10"/>
      <c r="O45" s="10"/>
      <c r="P45" s="14"/>
      <c r="Q45" s="10"/>
    </row>
    <row r="46" spans="4:34" ht="13" thickBot="1">
      <c r="D46">
        <v>20</v>
      </c>
      <c r="E46" s="9">
        <v>0</v>
      </c>
      <c r="F46" s="9"/>
      <c r="G46" s="9">
        <f>E46</f>
        <v>0</v>
      </c>
      <c r="H46" s="11"/>
      <c r="I46" s="10"/>
      <c r="J46" s="14"/>
      <c r="K46" s="10"/>
      <c r="L46" s="10"/>
      <c r="M46" s="19"/>
      <c r="N46" s="10"/>
      <c r="O46" s="10"/>
      <c r="P46" s="14"/>
      <c r="Q46" s="10"/>
    </row>
    <row r="47" spans="4:34" ht="13" thickBot="1">
      <c r="E47" s="10"/>
      <c r="F47" s="10"/>
      <c r="G47" s="10"/>
      <c r="H47" s="13" t="s">
        <v>223</v>
      </c>
      <c r="I47" s="9" t="str">
        <f>IF(OR(H46="",H48=""),"",+IF(H46&gt;H48,E46,E48))</f>
        <v/>
      </c>
      <c r="J47" s="16"/>
      <c r="K47" s="10"/>
      <c r="L47" s="10"/>
      <c r="M47" s="19"/>
      <c r="N47" s="10"/>
      <c r="O47" s="10"/>
      <c r="P47" s="14"/>
      <c r="Q47" s="10"/>
    </row>
    <row r="48" spans="4:34" ht="13" thickBot="1">
      <c r="D48">
        <v>21</v>
      </c>
      <c r="E48" s="9">
        <v>0</v>
      </c>
      <c r="F48" s="9"/>
      <c r="G48" s="9">
        <f>E48</f>
        <v>0</v>
      </c>
      <c r="H48" s="16"/>
      <c r="I48" s="10"/>
      <c r="J48" s="10"/>
      <c r="K48" s="10"/>
      <c r="L48" s="10"/>
      <c r="M48" s="19"/>
      <c r="N48" s="10"/>
      <c r="O48" s="10"/>
      <c r="P48" s="14"/>
      <c r="Q48" s="10"/>
    </row>
    <row r="49" spans="4:17" ht="13" thickBot="1">
      <c r="E49" s="10"/>
      <c r="F49" s="10"/>
      <c r="G49" s="10"/>
      <c r="H49" s="10"/>
      <c r="I49" s="10"/>
      <c r="J49" s="10"/>
      <c r="K49" s="10"/>
      <c r="L49" s="14" t="s">
        <v>258</v>
      </c>
      <c r="M49" s="9" t="str">
        <f>IF(OR(L44="",L53=""),"",+IF(L44&gt;L53,K44,K53))</f>
        <v/>
      </c>
      <c r="N49" s="17"/>
      <c r="O49" s="10"/>
      <c r="P49" s="14"/>
      <c r="Q49" s="10"/>
    </row>
    <row r="50" spans="4:17" ht="13" thickBot="1">
      <c r="D50">
        <v>22</v>
      </c>
      <c r="E50" s="9">
        <v>0</v>
      </c>
      <c r="F50" s="9"/>
      <c r="G50" s="9">
        <f>E50</f>
        <v>0</v>
      </c>
      <c r="H50" s="11"/>
      <c r="I50" s="10"/>
      <c r="J50" s="10"/>
      <c r="K50" s="10"/>
      <c r="L50" s="10"/>
      <c r="M50" s="19"/>
      <c r="N50" s="13"/>
      <c r="O50" s="10"/>
      <c r="P50" s="14"/>
      <c r="Q50" s="10"/>
    </row>
    <row r="51" spans="4:17" ht="13" thickBot="1">
      <c r="E51" s="10"/>
      <c r="F51" s="10"/>
      <c r="G51" s="12"/>
      <c r="H51" s="13" t="s">
        <v>225</v>
      </c>
      <c r="I51" s="9" t="str">
        <f>IF(OR(H50="",H52=""),"",+IF(H50&gt;H52,E50,E52))</f>
        <v/>
      </c>
      <c r="J51" s="17"/>
      <c r="K51" s="10"/>
      <c r="L51" s="10"/>
      <c r="M51" s="19"/>
      <c r="N51" s="14"/>
      <c r="O51" s="10"/>
      <c r="P51" s="14"/>
      <c r="Q51" s="10"/>
    </row>
    <row r="52" spans="4:17" ht="13" thickBot="1">
      <c r="D52">
        <v>23</v>
      </c>
      <c r="E52" s="9">
        <v>0</v>
      </c>
      <c r="F52" s="9"/>
      <c r="G52" s="9">
        <f>E52</f>
        <v>0</v>
      </c>
      <c r="H52" s="16"/>
      <c r="I52" s="10"/>
      <c r="J52" s="14"/>
      <c r="K52" s="10"/>
      <c r="L52" s="10"/>
      <c r="M52" s="19"/>
      <c r="N52" s="14"/>
      <c r="O52" s="10"/>
      <c r="P52" s="14"/>
      <c r="Q52" s="10"/>
    </row>
    <row r="53" spans="4:17" ht="13" thickBot="1">
      <c r="E53" s="10"/>
      <c r="F53" s="10"/>
      <c r="G53" s="12"/>
      <c r="H53" s="10"/>
      <c r="I53" s="10"/>
      <c r="J53" s="14" t="s">
        <v>248</v>
      </c>
      <c r="K53" s="9" t="str">
        <f>IF(OR(J51="",J55=""),"",+IF(J51&gt;J55,I51,I55))</f>
        <v/>
      </c>
      <c r="L53" s="16"/>
      <c r="M53" s="19"/>
      <c r="N53" s="14"/>
      <c r="O53" s="10"/>
      <c r="P53" s="14"/>
      <c r="Q53" s="10"/>
    </row>
    <row r="54" spans="4:17" ht="13" thickBot="1">
      <c r="D54">
        <v>24</v>
      </c>
      <c r="E54" s="9">
        <v>0</v>
      </c>
      <c r="F54" s="9"/>
      <c r="G54" s="9">
        <f>E54</f>
        <v>0</v>
      </c>
      <c r="H54" s="11"/>
      <c r="I54" s="10"/>
      <c r="J54" s="14"/>
      <c r="K54" s="10"/>
      <c r="L54" s="10"/>
      <c r="M54" s="10"/>
      <c r="N54" s="14"/>
      <c r="O54" s="10"/>
      <c r="P54" s="14"/>
      <c r="Q54" s="10"/>
    </row>
    <row r="55" spans="4:17" ht="13" thickBot="1">
      <c r="E55" s="10"/>
      <c r="F55" s="10"/>
      <c r="G55" s="12"/>
      <c r="H55" s="13" t="s">
        <v>227</v>
      </c>
      <c r="I55" s="9" t="str">
        <f>IF(OR(H54="",H56=""),"",+IF(H54&gt;H56,E54,E56))</f>
        <v/>
      </c>
      <c r="J55" s="16"/>
      <c r="K55" s="10"/>
      <c r="L55" s="10"/>
      <c r="M55" s="10"/>
      <c r="N55" s="14"/>
      <c r="O55" s="10"/>
      <c r="P55" s="14"/>
      <c r="Q55" s="10"/>
    </row>
    <row r="56" spans="4:17" ht="13" thickBot="1">
      <c r="D56">
        <v>25</v>
      </c>
      <c r="E56" s="9">
        <v>0</v>
      </c>
      <c r="F56" s="9"/>
      <c r="G56" s="9">
        <f>E56</f>
        <v>0</v>
      </c>
      <c r="H56" s="16"/>
      <c r="I56" s="10"/>
      <c r="J56" s="10"/>
      <c r="K56" s="10"/>
      <c r="L56" s="10"/>
      <c r="M56" s="10"/>
      <c r="N56" s="14"/>
      <c r="O56" s="10"/>
      <c r="P56" s="14"/>
      <c r="Q56" s="10"/>
    </row>
    <row r="57" spans="4:17" ht="13" thickBot="1">
      <c r="E57" s="10"/>
      <c r="F57" s="10"/>
      <c r="G57" s="10"/>
      <c r="H57" s="10"/>
      <c r="I57" s="10"/>
      <c r="J57" s="10"/>
      <c r="K57" s="10"/>
      <c r="L57" s="10"/>
      <c r="M57" s="10"/>
      <c r="N57" s="14" t="s">
        <v>205</v>
      </c>
      <c r="O57" s="9" t="str">
        <f>IF(OR(N49="",N65=""),"",+IF(N49&gt;N65,M49,M65))</f>
        <v/>
      </c>
      <c r="P57" s="16"/>
      <c r="Q57" s="10"/>
    </row>
    <row r="58" spans="4:17" ht="13" thickBot="1">
      <c r="D58">
        <v>26</v>
      </c>
      <c r="E58" s="9">
        <v>0</v>
      </c>
      <c r="F58" s="9"/>
      <c r="G58" s="9">
        <f>E58</f>
        <v>0</v>
      </c>
      <c r="H58" s="11"/>
      <c r="I58" s="10"/>
      <c r="J58" s="10"/>
      <c r="K58" s="10"/>
      <c r="L58" s="10"/>
      <c r="M58" s="10"/>
      <c r="N58" s="14"/>
      <c r="O58" s="10"/>
      <c r="P58" s="10"/>
      <c r="Q58" s="10"/>
    </row>
    <row r="59" spans="4:17" ht="13" thickBot="1">
      <c r="E59" s="10"/>
      <c r="F59" s="10"/>
      <c r="G59" s="10"/>
      <c r="H59" s="13" t="s">
        <v>229</v>
      </c>
      <c r="I59" s="9" t="str">
        <f>IF(OR(H58="",H60=""),"",+IF(H58&gt;H60,E58,E60))</f>
        <v/>
      </c>
      <c r="J59" s="17"/>
      <c r="K59" s="10"/>
      <c r="L59" s="10"/>
      <c r="M59" s="10"/>
      <c r="N59" s="14"/>
      <c r="O59" s="10"/>
      <c r="P59" s="10"/>
      <c r="Q59" s="10"/>
    </row>
    <row r="60" spans="4:17" ht="13" thickBot="1">
      <c r="D60">
        <v>27</v>
      </c>
      <c r="E60" s="9">
        <v>0</v>
      </c>
      <c r="F60" s="9"/>
      <c r="G60" s="9">
        <f>E60</f>
        <v>0</v>
      </c>
      <c r="H60" s="16"/>
      <c r="I60" s="10"/>
      <c r="J60" s="14"/>
      <c r="K60" s="10"/>
      <c r="L60" s="10"/>
      <c r="M60" s="10"/>
      <c r="N60" s="14"/>
      <c r="O60" s="10"/>
      <c r="P60" s="10"/>
      <c r="Q60" s="10"/>
    </row>
    <row r="61" spans="4:17" ht="13" thickBot="1">
      <c r="E61" s="10"/>
      <c r="F61" s="10"/>
      <c r="G61" s="10"/>
      <c r="H61" s="10"/>
      <c r="I61" s="10"/>
      <c r="J61" s="14" t="s">
        <v>250</v>
      </c>
      <c r="K61" s="9" t="str">
        <f>IF(OR(J59="",J63=""),"",+IF(J59&gt;J63,I59,I63))</f>
        <v/>
      </c>
      <c r="L61" s="17"/>
      <c r="M61" s="10"/>
      <c r="N61" s="14"/>
      <c r="O61" s="10"/>
      <c r="P61" s="10"/>
      <c r="Q61" s="10"/>
    </row>
    <row r="62" spans="4:17" ht="13" thickBot="1">
      <c r="D62">
        <v>28</v>
      </c>
      <c r="E62" s="9">
        <v>0</v>
      </c>
      <c r="F62" s="9"/>
      <c r="G62" s="9">
        <f>E62</f>
        <v>0</v>
      </c>
      <c r="H62" s="11"/>
      <c r="I62" s="10"/>
      <c r="J62" s="14"/>
      <c r="K62" s="10"/>
      <c r="L62" s="13"/>
      <c r="M62" s="10"/>
      <c r="N62" s="14"/>
      <c r="O62" s="10"/>
      <c r="P62" s="10"/>
      <c r="Q62" s="10"/>
    </row>
    <row r="63" spans="4:17" ht="13" thickBot="1">
      <c r="E63" s="10"/>
      <c r="F63" s="10"/>
      <c r="G63" s="10"/>
      <c r="H63" s="13" t="s">
        <v>232</v>
      </c>
      <c r="I63" s="9" t="str">
        <f>IF(OR(H62="",H64=""),"",+IF(H62&gt;H64,E62,E64))</f>
        <v/>
      </c>
      <c r="J63" s="16"/>
      <c r="K63" s="10"/>
      <c r="L63" s="14"/>
      <c r="M63" s="10"/>
      <c r="N63" s="14"/>
      <c r="O63" s="10"/>
      <c r="P63" s="10"/>
      <c r="Q63" s="10"/>
    </row>
    <row r="64" spans="4:17" ht="13" thickBot="1">
      <c r="D64">
        <v>29</v>
      </c>
      <c r="E64" s="9">
        <v>0</v>
      </c>
      <c r="F64" s="9"/>
      <c r="G64" s="9">
        <f>E64</f>
        <v>0</v>
      </c>
      <c r="H64" s="16"/>
      <c r="I64" s="10"/>
      <c r="J64" s="10"/>
      <c r="K64" s="10"/>
      <c r="L64" s="14"/>
      <c r="M64" s="10"/>
      <c r="N64" s="14"/>
      <c r="O64" s="10"/>
      <c r="P64" s="10"/>
      <c r="Q64" s="10"/>
    </row>
    <row r="65" spans="4:17" ht="13" thickBot="1">
      <c r="E65" s="10"/>
      <c r="F65" s="10"/>
      <c r="G65" s="10"/>
      <c r="H65" s="10"/>
      <c r="I65" s="10"/>
      <c r="J65" s="10"/>
      <c r="K65" s="10"/>
      <c r="L65" s="14" t="s">
        <v>260</v>
      </c>
      <c r="M65" s="9" t="str">
        <f>IF(OR(L61="",L69=""),"",+IF(L61&gt;L69,K61,K69))</f>
        <v/>
      </c>
      <c r="N65" s="16"/>
      <c r="O65" s="10"/>
      <c r="P65" s="10"/>
      <c r="Q65" s="10"/>
    </row>
    <row r="66" spans="4:17" ht="13" thickBot="1">
      <c r="D66">
        <v>30</v>
      </c>
      <c r="E66" s="9">
        <v>0</v>
      </c>
      <c r="F66" s="9"/>
      <c r="G66" s="9">
        <f>E66</f>
        <v>0</v>
      </c>
      <c r="H66" s="11"/>
      <c r="I66" s="10"/>
      <c r="J66" s="10"/>
      <c r="K66" s="10"/>
      <c r="L66" s="14"/>
      <c r="M66" s="10"/>
      <c r="N66" s="10"/>
      <c r="O66" s="10"/>
      <c r="P66" s="10"/>
      <c r="Q66" s="10"/>
    </row>
    <row r="67" spans="4:17" ht="13" thickBot="1">
      <c r="E67" s="10"/>
      <c r="F67" s="10"/>
      <c r="G67" s="10"/>
      <c r="H67" s="13" t="s">
        <v>234</v>
      </c>
      <c r="I67" s="9" t="str">
        <f>IF(OR(H66="",H68=""),"",+IF(H66&gt;H68,E66,E68))</f>
        <v/>
      </c>
      <c r="J67" s="17"/>
      <c r="K67" s="10"/>
      <c r="L67" s="14"/>
      <c r="M67" s="10"/>
      <c r="N67" s="10"/>
      <c r="O67" s="10"/>
      <c r="P67" s="10"/>
      <c r="Q67" s="10"/>
    </row>
    <row r="68" spans="4:17" ht="13" thickBot="1">
      <c r="D68">
        <v>31</v>
      </c>
      <c r="E68" s="9">
        <v>0</v>
      </c>
      <c r="F68" s="9"/>
      <c r="G68" s="9">
        <f>E68</f>
        <v>0</v>
      </c>
      <c r="H68" s="16"/>
      <c r="I68" s="10"/>
      <c r="J68" s="14"/>
      <c r="K68" s="10"/>
      <c r="L68" s="14"/>
      <c r="M68" s="10"/>
      <c r="N68" s="10"/>
      <c r="O68" s="10"/>
      <c r="P68" s="10"/>
      <c r="Q68" s="10"/>
    </row>
    <row r="69" spans="4:17" ht="13" thickBot="1">
      <c r="E69" s="10"/>
      <c r="F69" s="10"/>
      <c r="G69" s="10"/>
      <c r="H69" s="10"/>
      <c r="I69" s="10"/>
      <c r="J69" s="14" t="s">
        <v>252</v>
      </c>
      <c r="K69" s="9" t="str">
        <f>IF(OR(J67="",J71=""),"",+IF(J67&gt;J71,I67,I71))</f>
        <v/>
      </c>
      <c r="L69" s="16"/>
      <c r="M69" s="10"/>
      <c r="N69" s="10"/>
      <c r="O69" s="9" t="str">
        <f>IF(OR(O22="",O57=""),"",+IF(N14&gt;N30,M30,M14))</f>
        <v/>
      </c>
      <c r="P69" s="17"/>
      <c r="Q69" s="10"/>
    </row>
    <row r="70" spans="4:17" ht="13" thickBot="1">
      <c r="D70">
        <v>32</v>
      </c>
      <c r="E70" s="9">
        <v>0</v>
      </c>
      <c r="F70" s="9"/>
      <c r="G70" s="9">
        <f>E70</f>
        <v>0</v>
      </c>
      <c r="H70" s="11"/>
      <c r="I70" s="10"/>
      <c r="J70" s="14"/>
      <c r="K70" s="10"/>
      <c r="L70" s="10"/>
      <c r="M70" s="10"/>
      <c r="N70" s="10"/>
      <c r="O70" s="10"/>
      <c r="P70" s="13"/>
      <c r="Q70" s="10"/>
    </row>
    <row r="71" spans="4:17" ht="13" thickBot="1">
      <c r="E71" s="10"/>
      <c r="F71" s="10"/>
      <c r="G71" s="10"/>
      <c r="H71" s="13" t="s">
        <v>236</v>
      </c>
      <c r="I71" s="9" t="str">
        <f>IF(OR(H70="",H72=""),"",+IF(H70&gt;H72,E70,E72))</f>
        <v/>
      </c>
      <c r="J71" s="16"/>
      <c r="K71" s="10"/>
      <c r="L71" s="10"/>
      <c r="M71" s="10"/>
      <c r="N71" s="10"/>
      <c r="O71" s="10"/>
      <c r="P71" s="14"/>
      <c r="Q71" s="10"/>
    </row>
    <row r="72" spans="4:17" ht="13" thickBot="1">
      <c r="D72">
        <v>33</v>
      </c>
      <c r="E72" s="9">
        <v>0</v>
      </c>
      <c r="F72" s="9"/>
      <c r="G72" s="9">
        <f>E72</f>
        <v>0</v>
      </c>
      <c r="H72" s="16"/>
      <c r="I72" s="10"/>
      <c r="J72" s="10"/>
      <c r="K72" s="10"/>
      <c r="L72" s="10"/>
      <c r="M72" s="10"/>
      <c r="N72" s="10"/>
      <c r="O72" s="10"/>
      <c r="P72" s="14"/>
      <c r="Q72" s="10"/>
    </row>
    <row r="73" spans="4:17">
      <c r="O73" s="10"/>
      <c r="P73" s="14"/>
      <c r="Q73" s="10"/>
    </row>
    <row r="74" spans="4:17">
      <c r="O74" s="10"/>
      <c r="P74" s="14"/>
      <c r="Q74" s="10"/>
    </row>
    <row r="75" spans="4:17">
      <c r="O75" s="10"/>
      <c r="P75" s="14"/>
      <c r="Q75" s="10"/>
    </row>
    <row r="76" spans="4:17">
      <c r="O76" s="10"/>
      <c r="P76" s="14"/>
      <c r="Q76" s="10"/>
    </row>
    <row r="77" spans="4:17" ht="13" thickBot="1">
      <c r="O77" s="77" t="s">
        <v>279</v>
      </c>
      <c r="P77" s="14" t="s">
        <v>209</v>
      </c>
      <c r="Q77" s="9" t="str">
        <f>IF(OR(P69="",P85=""),"",+IF(P69&gt;P85,O69,O85))</f>
        <v/>
      </c>
    </row>
    <row r="78" spans="4:17">
      <c r="O78" s="10"/>
      <c r="P78" s="14"/>
      <c r="Q78" s="10"/>
    </row>
    <row r="79" spans="4:17">
      <c r="O79" s="10"/>
      <c r="P79" s="14"/>
      <c r="Q79" s="10"/>
    </row>
    <row r="80" spans="4:17">
      <c r="O80" s="10"/>
      <c r="P80" s="14"/>
      <c r="Q80" s="10"/>
    </row>
    <row r="81" spans="15:17">
      <c r="O81" s="10"/>
      <c r="P81" s="14"/>
      <c r="Q81" s="10"/>
    </row>
    <row r="82" spans="15:17">
      <c r="O82" s="10"/>
      <c r="P82" s="14"/>
      <c r="Q82" s="10"/>
    </row>
    <row r="83" spans="15:17">
      <c r="O83" s="10"/>
      <c r="P83" s="14"/>
      <c r="Q83" s="10"/>
    </row>
    <row r="84" spans="15:17">
      <c r="O84" s="10"/>
      <c r="P84" s="14"/>
      <c r="Q84" s="10"/>
    </row>
    <row r="85" spans="15:17" ht="13" thickBot="1">
      <c r="O85" s="9" t="str">
        <f>IF(OR(O22="",O57=""),"",+IF(N49&gt;N65,M65,M49))</f>
        <v/>
      </c>
      <c r="P85" s="16"/>
      <c r="Q85" s="10"/>
    </row>
    <row r="86" spans="15:17">
      <c r="O86" s="10"/>
      <c r="P86" s="10"/>
      <c r="Q86" s="10"/>
    </row>
  </sheetData>
  <mergeCells count="3">
    <mergeCell ref="AB5:AG5"/>
    <mergeCell ref="AA6:AG6"/>
    <mergeCell ref="AC7:AD7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verticalDpi="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Plan30"/>
  <dimension ref="D4:AH83"/>
  <sheetViews>
    <sheetView showGridLines="0" zoomScale="75" workbookViewId="0">
      <selection activeCell="I14" sqref="I14"/>
    </sheetView>
  </sheetViews>
  <sheetFormatPr defaultRowHeight="12.7"/>
  <cols>
    <col min="4" max="4" width="3.52734375" bestFit="1" customWidth="1"/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3.52734375" customWidth="1"/>
    <col min="14" max="14" width="4.52734375" customWidth="1"/>
    <col min="15" max="15" width="16.87890625" customWidth="1"/>
    <col min="20" max="20" width="9.1171875"/>
    <col min="21" max="21" width="9.1171875" style="28"/>
    <col min="22" max="22" width="2.41015625" customWidth="1"/>
    <col min="23" max="23" width="9.1171875" style="29"/>
    <col min="29" max="29" width="2.3515625" bestFit="1" customWidth="1"/>
    <col min="30" max="30" width="3.52734375" bestFit="1" customWidth="1"/>
    <col min="31" max="33" width="9.1171875" style="10"/>
  </cols>
  <sheetData>
    <row r="4" spans="4:34" ht="13" thickBot="1"/>
    <row r="5" spans="4:34" ht="13" thickTop="1">
      <c r="T5">
        <v>1</v>
      </c>
      <c r="U5" s="28">
        <f>E7</f>
        <v>0</v>
      </c>
      <c r="V5" t="s">
        <v>77</v>
      </c>
      <c r="W5" s="29">
        <f>E9</f>
        <v>0</v>
      </c>
      <c r="Z5" s="30"/>
      <c r="AA5" s="31"/>
      <c r="AB5" s="31"/>
      <c r="AC5" s="31"/>
      <c r="AD5" s="49"/>
      <c r="AE5" s="49"/>
      <c r="AF5" s="49"/>
      <c r="AG5" s="49"/>
      <c r="AH5" s="73"/>
    </row>
    <row r="6" spans="4:34">
      <c r="T6">
        <v>2</v>
      </c>
      <c r="U6" s="28">
        <f>E11</f>
        <v>0</v>
      </c>
      <c r="V6" t="s">
        <v>77</v>
      </c>
      <c r="W6" s="29">
        <f>E13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>
        <v>0</v>
      </c>
      <c r="F7" s="11"/>
      <c r="G7" s="10"/>
      <c r="H7" s="10"/>
      <c r="I7" s="10"/>
      <c r="J7" s="10"/>
      <c r="K7" s="10"/>
      <c r="L7" s="10"/>
      <c r="M7" s="10"/>
      <c r="N7" s="10"/>
      <c r="O7" s="10"/>
      <c r="T7">
        <v>3</v>
      </c>
      <c r="U7" s="28">
        <f>E15</f>
        <v>0</v>
      </c>
      <c r="V7" t="s">
        <v>77</v>
      </c>
      <c r="W7" s="29">
        <f>E17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 ht="13" thickBot="1">
      <c r="E8" s="12"/>
      <c r="F8" s="13" t="s">
        <v>202</v>
      </c>
      <c r="G8" s="9" t="str">
        <f>IF(OR(F7="",F9=""),"",+IF(F7&gt;F9,E7,E9))</f>
        <v/>
      </c>
      <c r="H8" s="17"/>
      <c r="I8" s="10"/>
      <c r="J8" s="10"/>
      <c r="K8" s="10"/>
      <c r="L8" s="10"/>
      <c r="M8" s="10"/>
      <c r="N8" s="10"/>
      <c r="O8" s="10"/>
      <c r="T8">
        <v>4</v>
      </c>
      <c r="U8" s="28">
        <f>E19</f>
        <v>0</v>
      </c>
      <c r="V8" t="s">
        <v>77</v>
      </c>
      <c r="W8" s="29">
        <f>E21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83"/>
      <c r="AF8" s="39" t="s">
        <v>156</v>
      </c>
      <c r="AG8" s="48"/>
      <c r="AH8" s="74"/>
    </row>
    <row r="9" spans="4:34" ht="13" thickBot="1">
      <c r="D9">
        <v>2</v>
      </c>
      <c r="E9" s="10">
        <v>0</v>
      </c>
      <c r="F9" s="16"/>
      <c r="G9" s="10"/>
      <c r="H9" s="14"/>
      <c r="I9" s="10"/>
      <c r="J9" s="10"/>
      <c r="K9" s="10"/>
      <c r="L9" s="10"/>
      <c r="M9" s="10"/>
      <c r="N9" s="10"/>
      <c r="O9" s="10"/>
      <c r="T9">
        <v>5</v>
      </c>
      <c r="U9" s="28">
        <f>E23</f>
        <v>0</v>
      </c>
      <c r="V9" t="s">
        <v>77</v>
      </c>
      <c r="W9" s="29">
        <f>E25</f>
        <v>0</v>
      </c>
      <c r="Z9" s="34"/>
      <c r="AA9" s="40"/>
      <c r="AB9" s="40"/>
      <c r="AC9" s="38" t="s">
        <v>159</v>
      </c>
      <c r="AD9" s="48">
        <v>1</v>
      </c>
      <c r="AE9" s="86">
        <f t="shared" ref="AE9:AE40" ca="1" si="0">LOOKUP(AD9,T$5:T$78,U$5:U$40)</f>
        <v>0</v>
      </c>
      <c r="AF9" s="37" t="s">
        <v>157</v>
      </c>
      <c r="AG9" s="86">
        <f t="shared" ref="AG9:AG40" ca="1" si="1">LOOKUP(AD9,T$5:T$78,W$5:W$41)</f>
        <v>0</v>
      </c>
      <c r="AH9" s="74"/>
    </row>
    <row r="10" spans="4:34" ht="13" thickBot="1">
      <c r="E10" s="12"/>
      <c r="F10" s="10"/>
      <c r="G10" s="10"/>
      <c r="H10" s="14" t="s">
        <v>236</v>
      </c>
      <c r="I10" s="9" t="str">
        <f>IF(OR(H8="",H12=""),"",+IF(H8&gt;H12,G8,G12))</f>
        <v/>
      </c>
      <c r="J10" s="17"/>
      <c r="K10" s="10"/>
      <c r="L10" s="10"/>
      <c r="M10" s="10"/>
      <c r="N10" s="10"/>
      <c r="O10" s="10"/>
      <c r="T10">
        <v>6</v>
      </c>
      <c r="U10" s="28">
        <f>E27</f>
        <v>0</v>
      </c>
      <c r="V10" t="s">
        <v>77</v>
      </c>
      <c r="W10" s="29">
        <f>E29</f>
        <v>0</v>
      </c>
      <c r="Z10" s="34"/>
      <c r="AA10" s="40"/>
      <c r="AB10" s="40"/>
      <c r="AC10" s="38" t="s">
        <v>159</v>
      </c>
      <c r="AD10" s="48">
        <v>2</v>
      </c>
      <c r="AE10" s="86">
        <f t="shared" ca="1" si="0"/>
        <v>0</v>
      </c>
      <c r="AF10" s="37" t="s">
        <v>157</v>
      </c>
      <c r="AG10" s="86">
        <f t="shared" ca="1" si="1"/>
        <v>0</v>
      </c>
      <c r="AH10" s="74"/>
    </row>
    <row r="11" spans="4:34" ht="13" thickBot="1">
      <c r="D11">
        <v>3</v>
      </c>
      <c r="E11" s="10">
        <v>0</v>
      </c>
      <c r="F11" s="11"/>
      <c r="G11" s="10"/>
      <c r="H11" s="14"/>
      <c r="I11" s="10"/>
      <c r="J11" s="13"/>
      <c r="K11" s="10"/>
      <c r="L11" s="10"/>
      <c r="M11" s="10"/>
      <c r="N11" s="10"/>
      <c r="O11" s="10"/>
      <c r="T11">
        <v>7</v>
      </c>
      <c r="U11" s="28">
        <f>E31</f>
        <v>0</v>
      </c>
      <c r="V11" t="s">
        <v>77</v>
      </c>
      <c r="W11" s="29">
        <f>E33</f>
        <v>0</v>
      </c>
      <c r="Z11" s="34"/>
      <c r="AA11" s="40"/>
      <c r="AB11" s="40"/>
      <c r="AC11" s="38" t="s">
        <v>159</v>
      </c>
      <c r="AD11" s="48">
        <v>3</v>
      </c>
      <c r="AE11" s="86">
        <f t="shared" ca="1" si="0"/>
        <v>0</v>
      </c>
      <c r="AF11" s="37" t="s">
        <v>157</v>
      </c>
      <c r="AG11" s="86">
        <f t="shared" ca="1" si="1"/>
        <v>0</v>
      </c>
      <c r="AH11" s="74"/>
    </row>
    <row r="12" spans="4:34" ht="13" thickBot="1">
      <c r="E12" s="12"/>
      <c r="F12" s="13" t="s">
        <v>204</v>
      </c>
      <c r="G12" s="9" t="str">
        <f>IF(OR(F11="",F13=""),"",+IF(F11&gt;F13,E11,E13))</f>
        <v/>
      </c>
      <c r="H12" s="16"/>
      <c r="I12" s="10"/>
      <c r="J12" s="14"/>
      <c r="K12" s="10"/>
      <c r="L12" s="10"/>
      <c r="M12" s="10"/>
      <c r="N12" s="10"/>
      <c r="O12" s="10"/>
      <c r="T12">
        <v>8</v>
      </c>
      <c r="U12" s="28">
        <f>E35</f>
        <v>0</v>
      </c>
      <c r="V12" t="s">
        <v>77</v>
      </c>
      <c r="W12" s="29">
        <f>E37</f>
        <v>0</v>
      </c>
      <c r="Z12" s="34"/>
      <c r="AA12" s="40"/>
      <c r="AB12" s="40"/>
      <c r="AC12" s="38" t="s">
        <v>159</v>
      </c>
      <c r="AD12" s="48">
        <v>4</v>
      </c>
      <c r="AE12" s="86">
        <f t="shared" ca="1" si="0"/>
        <v>0</v>
      </c>
      <c r="AF12" s="37" t="s">
        <v>157</v>
      </c>
      <c r="AG12" s="86">
        <f t="shared" ca="1" si="1"/>
        <v>0</v>
      </c>
      <c r="AH12" s="74"/>
    </row>
    <row r="13" spans="4:34" ht="13" thickBot="1">
      <c r="D13">
        <v>4</v>
      </c>
      <c r="E13" s="10">
        <v>0</v>
      </c>
      <c r="F13" s="16"/>
      <c r="G13" s="10"/>
      <c r="H13" s="10"/>
      <c r="I13" s="10"/>
      <c r="J13" s="14"/>
      <c r="K13" s="10"/>
      <c r="L13" s="10"/>
      <c r="M13" s="10"/>
      <c r="N13" s="10"/>
      <c r="O13" s="10"/>
      <c r="T13">
        <v>9</v>
      </c>
      <c r="U13" s="28">
        <f>E39</f>
        <v>0</v>
      </c>
      <c r="V13" t="s">
        <v>77</v>
      </c>
      <c r="W13" s="29">
        <f>E41</f>
        <v>0</v>
      </c>
      <c r="Z13" s="34"/>
      <c r="AA13" s="40"/>
      <c r="AB13" s="40"/>
      <c r="AC13" s="38" t="s">
        <v>159</v>
      </c>
      <c r="AD13" s="48">
        <v>5</v>
      </c>
      <c r="AE13" s="86">
        <f t="shared" ca="1" si="0"/>
        <v>0</v>
      </c>
      <c r="AF13" s="37" t="s">
        <v>157</v>
      </c>
      <c r="AG13" s="86">
        <f t="shared" ca="1" si="1"/>
        <v>0</v>
      </c>
      <c r="AH13" s="74"/>
    </row>
    <row r="14" spans="4:34" ht="13" thickBot="1">
      <c r="E14" s="12"/>
      <c r="F14" s="10"/>
      <c r="G14" s="10"/>
      <c r="H14" s="10"/>
      <c r="I14" s="10"/>
      <c r="J14" s="14" t="s">
        <v>252</v>
      </c>
      <c r="K14" s="9" t="str">
        <f>IF(OR(J10="",J18=""),"",+IF(J10&gt;J18,I10,I18))</f>
        <v/>
      </c>
      <c r="L14" s="17"/>
      <c r="M14" s="10"/>
      <c r="N14" s="10"/>
      <c r="O14" s="10"/>
      <c r="T14">
        <v>10</v>
      </c>
      <c r="U14" s="28">
        <f>E43</f>
        <v>0</v>
      </c>
      <c r="V14" t="s">
        <v>77</v>
      </c>
      <c r="W14" s="29">
        <f>E45</f>
        <v>0</v>
      </c>
      <c r="Z14" s="34"/>
      <c r="AA14" s="40"/>
      <c r="AB14" s="40"/>
      <c r="AC14" s="38" t="s">
        <v>159</v>
      </c>
      <c r="AD14" s="48">
        <v>6</v>
      </c>
      <c r="AE14" s="86">
        <f t="shared" ca="1" si="0"/>
        <v>0</v>
      </c>
      <c r="AF14" s="37" t="s">
        <v>157</v>
      </c>
      <c r="AG14" s="86">
        <f t="shared" ca="1" si="1"/>
        <v>0</v>
      </c>
      <c r="AH14" s="74"/>
    </row>
    <row r="15" spans="4:34" ht="13" thickBot="1">
      <c r="D15">
        <v>5</v>
      </c>
      <c r="E15" s="10">
        <v>0</v>
      </c>
      <c r="F15" s="11"/>
      <c r="G15" s="10"/>
      <c r="H15" s="10"/>
      <c r="I15" s="10"/>
      <c r="J15" s="14"/>
      <c r="K15" s="10"/>
      <c r="L15" s="13"/>
      <c r="M15" s="10"/>
      <c r="N15" s="10"/>
      <c r="O15" s="10"/>
      <c r="T15">
        <v>11</v>
      </c>
      <c r="U15" s="28">
        <f>E47</f>
        <v>0</v>
      </c>
      <c r="V15" t="s">
        <v>77</v>
      </c>
      <c r="W15" s="29">
        <f>E49</f>
        <v>0</v>
      </c>
      <c r="Z15" s="34"/>
      <c r="AA15" s="40"/>
      <c r="AB15" s="40"/>
      <c r="AC15" s="38" t="s">
        <v>159</v>
      </c>
      <c r="AD15" s="48">
        <v>7</v>
      </c>
      <c r="AE15" s="86">
        <f t="shared" ca="1" si="0"/>
        <v>0</v>
      </c>
      <c r="AF15" s="37" t="s">
        <v>157</v>
      </c>
      <c r="AG15" s="86">
        <f t="shared" ca="1" si="1"/>
        <v>0</v>
      </c>
      <c r="AH15" s="74"/>
    </row>
    <row r="16" spans="4:34" ht="13" thickBot="1">
      <c r="E16" s="12"/>
      <c r="F16" s="13" t="s">
        <v>206</v>
      </c>
      <c r="G16" s="9" t="str">
        <f>IF(OR(F15="",F17=""),"",+IF(F15&gt;F17,E15,E17))</f>
        <v/>
      </c>
      <c r="H16" s="17"/>
      <c r="I16" s="10"/>
      <c r="J16" s="14"/>
      <c r="K16" s="10"/>
      <c r="L16" s="14"/>
      <c r="M16" s="10"/>
      <c r="N16" s="10"/>
      <c r="O16" s="10"/>
      <c r="T16">
        <v>12</v>
      </c>
      <c r="U16" s="28">
        <f>E51</f>
        <v>0</v>
      </c>
      <c r="V16" t="s">
        <v>77</v>
      </c>
      <c r="W16" s="29">
        <f>E53</f>
        <v>0</v>
      </c>
      <c r="Z16" s="34"/>
      <c r="AA16" s="40"/>
      <c r="AB16" s="40"/>
      <c r="AC16" s="38" t="s">
        <v>159</v>
      </c>
      <c r="AD16" s="48">
        <v>8</v>
      </c>
      <c r="AE16" s="86">
        <f t="shared" ca="1" si="0"/>
        <v>0</v>
      </c>
      <c r="AF16" s="37" t="s">
        <v>157</v>
      </c>
      <c r="AG16" s="86">
        <f t="shared" ca="1" si="1"/>
        <v>0</v>
      </c>
      <c r="AH16" s="74"/>
    </row>
    <row r="17" spans="4:34" ht="13" thickBot="1">
      <c r="D17">
        <v>6</v>
      </c>
      <c r="E17" s="10">
        <v>0</v>
      </c>
      <c r="F17" s="16"/>
      <c r="G17" s="10"/>
      <c r="H17" s="14"/>
      <c r="I17" s="10"/>
      <c r="J17" s="14"/>
      <c r="K17" s="10"/>
      <c r="L17" s="14"/>
      <c r="M17" s="10"/>
      <c r="N17" s="10"/>
      <c r="O17" s="10"/>
      <c r="T17">
        <v>13</v>
      </c>
      <c r="U17" s="28">
        <f>E55</f>
        <v>0</v>
      </c>
      <c r="V17" t="s">
        <v>77</v>
      </c>
      <c r="W17" s="29">
        <f>E57</f>
        <v>0</v>
      </c>
      <c r="Z17" s="34"/>
      <c r="AA17" s="40"/>
      <c r="AB17" s="40"/>
      <c r="AC17" s="38" t="s">
        <v>159</v>
      </c>
      <c r="AD17" s="48">
        <v>9</v>
      </c>
      <c r="AE17" s="86">
        <f t="shared" ca="1" si="0"/>
        <v>0</v>
      </c>
      <c r="AF17" s="37" t="s">
        <v>157</v>
      </c>
      <c r="AG17" s="86">
        <f t="shared" ca="1" si="1"/>
        <v>0</v>
      </c>
      <c r="AH17" s="74"/>
    </row>
    <row r="18" spans="4:34" ht="13" thickBot="1">
      <c r="E18" s="12"/>
      <c r="F18" s="10"/>
      <c r="G18" s="10"/>
      <c r="H18" s="14" t="s">
        <v>238</v>
      </c>
      <c r="I18" s="9" t="str">
        <f>IF(OR(H16="",H20=""),"",+IF(H16&gt;H20,G16,G20))</f>
        <v/>
      </c>
      <c r="J18" s="16"/>
      <c r="K18" s="10"/>
      <c r="L18" s="14"/>
      <c r="M18" s="10"/>
      <c r="N18" s="10"/>
      <c r="O18" s="10"/>
      <c r="T18">
        <v>14</v>
      </c>
      <c r="U18" s="28">
        <f>E59</f>
        <v>0</v>
      </c>
      <c r="V18" t="s">
        <v>77</v>
      </c>
      <c r="W18" s="29">
        <f>E61</f>
        <v>0</v>
      </c>
      <c r="Z18" s="34"/>
      <c r="AA18" s="40"/>
      <c r="AB18" s="40"/>
      <c r="AC18" s="38" t="s">
        <v>159</v>
      </c>
      <c r="AD18" s="48">
        <v>10</v>
      </c>
      <c r="AE18" s="86">
        <f t="shared" ca="1" si="0"/>
        <v>0</v>
      </c>
      <c r="AF18" s="37" t="s">
        <v>157</v>
      </c>
      <c r="AG18" s="86">
        <f t="shared" ca="1" si="1"/>
        <v>0</v>
      </c>
      <c r="AH18" s="74"/>
    </row>
    <row r="19" spans="4:34" ht="13" thickBot="1">
      <c r="D19">
        <v>7</v>
      </c>
      <c r="E19" s="10">
        <v>0</v>
      </c>
      <c r="F19" s="11"/>
      <c r="G19" s="10"/>
      <c r="H19" s="14"/>
      <c r="I19" s="10"/>
      <c r="J19" s="10"/>
      <c r="K19" s="10"/>
      <c r="L19" s="14"/>
      <c r="M19" s="10"/>
      <c r="N19" s="10"/>
      <c r="O19" s="10"/>
      <c r="T19">
        <v>15</v>
      </c>
      <c r="U19" s="28">
        <f>E63</f>
        <v>0</v>
      </c>
      <c r="V19" t="s">
        <v>77</v>
      </c>
      <c r="W19" s="29">
        <f>E65</f>
        <v>0</v>
      </c>
      <c r="Z19" s="34"/>
      <c r="AA19" s="40"/>
      <c r="AB19" s="40"/>
      <c r="AC19" s="38" t="s">
        <v>159</v>
      </c>
      <c r="AD19" s="48">
        <v>11</v>
      </c>
      <c r="AE19" s="86">
        <f t="shared" ca="1" si="0"/>
        <v>0</v>
      </c>
      <c r="AF19" s="37" t="s">
        <v>157</v>
      </c>
      <c r="AG19" s="86">
        <f t="shared" ca="1" si="1"/>
        <v>0</v>
      </c>
      <c r="AH19" s="74"/>
    </row>
    <row r="20" spans="4:34" ht="13" thickBot="1">
      <c r="E20" s="12"/>
      <c r="F20" s="13" t="s">
        <v>208</v>
      </c>
      <c r="G20" s="9" t="str">
        <f>IF(OR(F19="",F21=""),"",+IF(F19&gt;F21,E19,E21))</f>
        <v/>
      </c>
      <c r="H20" s="16"/>
      <c r="I20" s="10"/>
      <c r="J20" s="10"/>
      <c r="K20" s="10"/>
      <c r="L20" s="14"/>
      <c r="M20" s="10"/>
      <c r="N20" s="10"/>
      <c r="O20" s="10"/>
      <c r="T20">
        <v>16</v>
      </c>
      <c r="U20" s="28">
        <f>E67</f>
        <v>0</v>
      </c>
      <c r="V20" t="s">
        <v>77</v>
      </c>
      <c r="W20" s="29">
        <f>E69</f>
        <v>0</v>
      </c>
      <c r="Z20" s="34"/>
      <c r="AA20" s="40"/>
      <c r="AB20" s="40"/>
      <c r="AC20" s="38" t="s">
        <v>159</v>
      </c>
      <c r="AD20" s="48">
        <v>12</v>
      </c>
      <c r="AE20" s="86">
        <f t="shared" ca="1" si="0"/>
        <v>0</v>
      </c>
      <c r="AF20" s="37" t="s">
        <v>157</v>
      </c>
      <c r="AG20" s="86">
        <f t="shared" ca="1" si="1"/>
        <v>0</v>
      </c>
      <c r="AH20" s="74"/>
    </row>
    <row r="21" spans="4:34" ht="13" thickBot="1">
      <c r="D21">
        <v>8</v>
      </c>
      <c r="E21" s="9">
        <v>0</v>
      </c>
      <c r="F21" s="16"/>
      <c r="G21" s="10"/>
      <c r="H21" s="10"/>
      <c r="I21" s="10"/>
      <c r="J21" s="10"/>
      <c r="K21" s="10"/>
      <c r="L21" s="14"/>
      <c r="M21" s="10"/>
      <c r="N21" s="10"/>
      <c r="O21" s="10"/>
      <c r="T21">
        <v>17</v>
      </c>
      <c r="U21" s="28" t="s">
        <v>78</v>
      </c>
      <c r="V21" t="s">
        <v>77</v>
      </c>
      <c r="W21" s="29" t="s">
        <v>160</v>
      </c>
      <c r="Z21" s="34"/>
      <c r="AA21" s="40"/>
      <c r="AB21" s="40"/>
      <c r="AC21" s="38" t="s">
        <v>159</v>
      </c>
      <c r="AD21" s="48">
        <v>13</v>
      </c>
      <c r="AE21" s="86">
        <f t="shared" ca="1" si="0"/>
        <v>0</v>
      </c>
      <c r="AF21" s="37" t="s">
        <v>157</v>
      </c>
      <c r="AG21" s="86">
        <f t="shared" ca="1" si="1"/>
        <v>0</v>
      </c>
      <c r="AH21" s="74"/>
    </row>
    <row r="22" spans="4:34" ht="13" thickBot="1">
      <c r="E22" s="10"/>
      <c r="F22" s="10"/>
      <c r="G22" s="10"/>
      <c r="H22" s="10"/>
      <c r="I22" s="10"/>
      <c r="J22" s="10"/>
      <c r="K22" s="10"/>
      <c r="L22" s="14" t="s">
        <v>260</v>
      </c>
      <c r="M22" s="9" t="str">
        <f>IF(OR(L14="",L30=""),"",+IF(L14&gt;L30,K14,K30))</f>
        <v/>
      </c>
      <c r="N22" s="17"/>
      <c r="O22" s="10"/>
      <c r="T22">
        <v>18</v>
      </c>
      <c r="U22" s="28" t="s">
        <v>161</v>
      </c>
      <c r="V22" t="s">
        <v>77</v>
      </c>
      <c r="W22" s="29" t="s">
        <v>81</v>
      </c>
      <c r="Z22" s="34"/>
      <c r="AA22" s="40"/>
      <c r="AB22" s="40"/>
      <c r="AC22" s="38" t="s">
        <v>159</v>
      </c>
      <c r="AD22" s="48">
        <v>14</v>
      </c>
      <c r="AE22" s="86">
        <f t="shared" ca="1" si="0"/>
        <v>0</v>
      </c>
      <c r="AF22" s="37" t="s">
        <v>157</v>
      </c>
      <c r="AG22" s="86">
        <f t="shared" ca="1" si="1"/>
        <v>0</v>
      </c>
      <c r="AH22" s="74"/>
    </row>
    <row r="23" spans="4:34" ht="13" thickBot="1">
      <c r="D23">
        <v>9</v>
      </c>
      <c r="E23" s="10">
        <v>0</v>
      </c>
      <c r="F23" s="11"/>
      <c r="G23" s="10"/>
      <c r="H23" s="10"/>
      <c r="I23" s="10"/>
      <c r="J23" s="10"/>
      <c r="K23" s="10"/>
      <c r="L23" s="14"/>
      <c r="M23" s="10"/>
      <c r="N23" s="14"/>
      <c r="O23" s="10"/>
      <c r="T23">
        <v>19</v>
      </c>
      <c r="U23" s="28" t="s">
        <v>162</v>
      </c>
      <c r="V23" t="s">
        <v>77</v>
      </c>
      <c r="W23" s="29" t="s">
        <v>163</v>
      </c>
      <c r="Z23" s="34"/>
      <c r="AA23" s="40"/>
      <c r="AB23" s="40"/>
      <c r="AC23" s="38" t="s">
        <v>159</v>
      </c>
      <c r="AD23" s="48">
        <v>15</v>
      </c>
      <c r="AE23" s="86">
        <f t="shared" ca="1" si="0"/>
        <v>0</v>
      </c>
      <c r="AF23" s="37" t="s">
        <v>157</v>
      </c>
      <c r="AG23" s="86">
        <f t="shared" ca="1" si="1"/>
        <v>0</v>
      </c>
      <c r="AH23" s="74"/>
    </row>
    <row r="24" spans="4:34" ht="13" thickBot="1">
      <c r="E24" s="12"/>
      <c r="F24" s="13" t="s">
        <v>210</v>
      </c>
      <c r="G24" s="9" t="str">
        <f>IF(OR(F23="",F25=""),"",+IF(F23&gt;F25,E23,E25))</f>
        <v/>
      </c>
      <c r="H24" s="17"/>
      <c r="I24" s="10"/>
      <c r="J24" s="10"/>
      <c r="K24" s="10"/>
      <c r="L24" s="14"/>
      <c r="M24" s="10"/>
      <c r="N24" s="14"/>
      <c r="O24" s="10"/>
      <c r="T24">
        <v>20</v>
      </c>
      <c r="U24" s="28" t="s">
        <v>84</v>
      </c>
      <c r="V24" t="s">
        <v>77</v>
      </c>
      <c r="W24" s="29" t="s">
        <v>164</v>
      </c>
      <c r="Z24" s="34"/>
      <c r="AA24" s="40"/>
      <c r="AB24" s="40"/>
      <c r="AC24" s="38" t="s">
        <v>159</v>
      </c>
      <c r="AD24" s="48">
        <v>16</v>
      </c>
      <c r="AE24" s="86">
        <f t="shared" ca="1" si="0"/>
        <v>0</v>
      </c>
      <c r="AF24" s="37" t="s">
        <v>157</v>
      </c>
      <c r="AG24" s="86">
        <f t="shared" ca="1" si="1"/>
        <v>0</v>
      </c>
      <c r="AH24" s="74"/>
    </row>
    <row r="25" spans="4:34" ht="13" thickBot="1">
      <c r="D25">
        <v>10</v>
      </c>
      <c r="E25" s="10">
        <v>0</v>
      </c>
      <c r="F25" s="16"/>
      <c r="G25" s="10"/>
      <c r="H25" s="14"/>
      <c r="I25" s="10"/>
      <c r="J25" s="10"/>
      <c r="K25" s="10"/>
      <c r="L25" s="14"/>
      <c r="M25" s="10"/>
      <c r="N25" s="14"/>
      <c r="O25" s="10"/>
      <c r="T25">
        <v>21</v>
      </c>
      <c r="U25" s="28" t="s">
        <v>86</v>
      </c>
      <c r="V25" t="s">
        <v>77</v>
      </c>
      <c r="W25" s="29" t="s">
        <v>87</v>
      </c>
      <c r="Z25" s="34"/>
      <c r="AA25" s="40"/>
      <c r="AB25" s="40"/>
      <c r="AC25" s="38" t="s">
        <v>159</v>
      </c>
      <c r="AD25" s="48">
        <v>17</v>
      </c>
      <c r="AE25" s="86" t="str">
        <f t="shared" ca="1" si="0"/>
        <v>Venc.J1</v>
      </c>
      <c r="AF25" s="37" t="s">
        <v>157</v>
      </c>
      <c r="AG25" s="86" t="str">
        <f t="shared" ca="1" si="1"/>
        <v>Venc.J2</v>
      </c>
      <c r="AH25" s="74"/>
    </row>
    <row r="26" spans="4:34" ht="13" thickBot="1">
      <c r="E26" s="12"/>
      <c r="F26" s="10"/>
      <c r="G26" s="10"/>
      <c r="H26" s="14" t="s">
        <v>240</v>
      </c>
      <c r="I26" s="9" t="str">
        <f>IF(OR(H24="",H28=""),"",+IF(H24&gt;H28,G24,G28))</f>
        <v/>
      </c>
      <c r="J26" s="17"/>
      <c r="K26" s="10"/>
      <c r="L26" s="14"/>
      <c r="M26" s="10"/>
      <c r="N26" s="14"/>
      <c r="O26" s="10"/>
      <c r="T26">
        <v>22</v>
      </c>
      <c r="U26" s="28" t="s">
        <v>88</v>
      </c>
      <c r="V26" t="s">
        <v>77</v>
      </c>
      <c r="W26" s="29" t="s">
        <v>89</v>
      </c>
      <c r="Z26" s="34"/>
      <c r="AA26" s="40"/>
      <c r="AB26" s="40"/>
      <c r="AC26" s="38" t="s">
        <v>159</v>
      </c>
      <c r="AD26" s="48">
        <v>18</v>
      </c>
      <c r="AE26" s="86" t="str">
        <f t="shared" ca="1" si="0"/>
        <v>Venc.J3</v>
      </c>
      <c r="AF26" s="37" t="s">
        <v>157</v>
      </c>
      <c r="AG26" s="86" t="str">
        <f t="shared" ca="1" si="1"/>
        <v>Venc.J4</v>
      </c>
      <c r="AH26" s="74"/>
    </row>
    <row r="27" spans="4:34" ht="13" thickBot="1">
      <c r="D27">
        <v>11</v>
      </c>
      <c r="E27" s="10">
        <v>0</v>
      </c>
      <c r="F27" s="11"/>
      <c r="G27" s="10"/>
      <c r="H27" s="14"/>
      <c r="I27" s="10"/>
      <c r="J27" s="13"/>
      <c r="K27" s="10"/>
      <c r="L27" s="14"/>
      <c r="M27" s="10"/>
      <c r="N27" s="14"/>
      <c r="O27" s="10"/>
      <c r="T27">
        <v>23</v>
      </c>
      <c r="U27" s="28" t="s">
        <v>90</v>
      </c>
      <c r="V27" t="s">
        <v>77</v>
      </c>
      <c r="W27" s="29" t="s">
        <v>91</v>
      </c>
      <c r="Z27" s="34"/>
      <c r="AA27" s="40"/>
      <c r="AB27" s="40"/>
      <c r="AC27" s="38" t="s">
        <v>159</v>
      </c>
      <c r="AD27" s="48">
        <v>19</v>
      </c>
      <c r="AE27" s="86" t="str">
        <f t="shared" ca="1" si="0"/>
        <v>Venc.J5</v>
      </c>
      <c r="AF27" s="37" t="s">
        <v>157</v>
      </c>
      <c r="AG27" s="86" t="str">
        <f t="shared" ca="1" si="1"/>
        <v>Venc.J6</v>
      </c>
      <c r="AH27" s="74"/>
    </row>
    <row r="28" spans="4:34" ht="13" thickBot="1">
      <c r="E28" s="12"/>
      <c r="F28" s="13" t="s">
        <v>212</v>
      </c>
      <c r="G28" s="9" t="str">
        <f>IF(OR(F27="",F29=""),"",+IF(F27&gt;F29,E27,E29))</f>
        <v/>
      </c>
      <c r="H28" s="16"/>
      <c r="I28" s="10"/>
      <c r="J28" s="14"/>
      <c r="K28" s="10"/>
      <c r="L28" s="14"/>
      <c r="M28" s="10"/>
      <c r="N28" s="14"/>
      <c r="O28" s="10"/>
      <c r="T28">
        <v>24</v>
      </c>
      <c r="U28" s="28" t="s">
        <v>92</v>
      </c>
      <c r="V28" t="s">
        <v>77</v>
      </c>
      <c r="W28" s="29" t="s">
        <v>165</v>
      </c>
      <c r="Z28" s="34"/>
      <c r="AA28" s="40"/>
      <c r="AB28" s="40"/>
      <c r="AC28" s="38" t="s">
        <v>159</v>
      </c>
      <c r="AD28" s="48">
        <v>20</v>
      </c>
      <c r="AE28" s="86" t="str">
        <f t="shared" ca="1" si="0"/>
        <v>Venc.J7</v>
      </c>
      <c r="AF28" s="37" t="s">
        <v>157</v>
      </c>
      <c r="AG28" s="86" t="str">
        <f t="shared" ca="1" si="1"/>
        <v>Venc.J8</v>
      </c>
      <c r="AH28" s="74"/>
    </row>
    <row r="29" spans="4:34" ht="13" thickBot="1">
      <c r="D29">
        <v>12</v>
      </c>
      <c r="E29" s="10">
        <v>0</v>
      </c>
      <c r="F29" s="16"/>
      <c r="G29" s="10"/>
      <c r="H29" s="10"/>
      <c r="I29" s="10"/>
      <c r="J29" s="14"/>
      <c r="K29" s="10"/>
      <c r="L29" s="14"/>
      <c r="M29" s="10"/>
      <c r="N29" s="14"/>
      <c r="O29" s="10"/>
      <c r="T29">
        <v>25</v>
      </c>
      <c r="U29" s="28" t="s">
        <v>94</v>
      </c>
      <c r="V29" t="s">
        <v>77</v>
      </c>
      <c r="W29" s="29" t="s">
        <v>95</v>
      </c>
      <c r="Z29" s="34"/>
      <c r="AA29" s="40"/>
      <c r="AB29" s="40"/>
      <c r="AC29" s="38" t="s">
        <v>159</v>
      </c>
      <c r="AD29" s="48">
        <v>21</v>
      </c>
      <c r="AE29" s="86" t="str">
        <f t="shared" ca="1" si="0"/>
        <v>Venc.J9</v>
      </c>
      <c r="AF29" s="37" t="s">
        <v>157</v>
      </c>
      <c r="AG29" s="86" t="str">
        <f t="shared" ca="1" si="1"/>
        <v>Venc.J10</v>
      </c>
      <c r="AH29" s="74"/>
    </row>
    <row r="30" spans="4:34" ht="13" thickBot="1">
      <c r="E30" s="12"/>
      <c r="F30" s="10"/>
      <c r="G30" s="10"/>
      <c r="H30" s="10"/>
      <c r="I30" s="10"/>
      <c r="J30" s="14" t="s">
        <v>254</v>
      </c>
      <c r="K30" s="9" t="str">
        <f>IF(OR(J26="",J34=""),"",+IF(J26&gt;J34,I26,I34))</f>
        <v/>
      </c>
      <c r="L30" s="16"/>
      <c r="M30" s="10"/>
      <c r="N30" s="14"/>
      <c r="O30" s="10"/>
      <c r="T30">
        <v>26</v>
      </c>
      <c r="U30" s="28" t="s">
        <v>96</v>
      </c>
      <c r="V30" t="s">
        <v>77</v>
      </c>
      <c r="W30" s="29" t="s">
        <v>97</v>
      </c>
      <c r="Z30" s="34"/>
      <c r="AA30" s="40"/>
      <c r="AB30" s="40"/>
      <c r="AC30" s="38" t="s">
        <v>159</v>
      </c>
      <c r="AD30" s="48">
        <v>22</v>
      </c>
      <c r="AE30" s="86" t="str">
        <f t="shared" ca="1" si="0"/>
        <v>Venc.J11</v>
      </c>
      <c r="AF30" s="37" t="s">
        <v>157</v>
      </c>
      <c r="AG30" s="86" t="str">
        <f t="shared" ca="1" si="1"/>
        <v>Venc.J12</v>
      </c>
      <c r="AH30" s="74"/>
    </row>
    <row r="31" spans="4:34" ht="13" thickBot="1">
      <c r="D31">
        <v>13</v>
      </c>
      <c r="E31" s="10">
        <v>0</v>
      </c>
      <c r="F31" s="11"/>
      <c r="G31" s="10"/>
      <c r="H31" s="10"/>
      <c r="I31" s="10"/>
      <c r="J31" s="14"/>
      <c r="K31" s="10"/>
      <c r="L31" s="10"/>
      <c r="M31" s="10"/>
      <c r="N31" s="14"/>
      <c r="O31" s="10"/>
      <c r="T31">
        <v>27</v>
      </c>
      <c r="U31" s="28" t="s">
        <v>98</v>
      </c>
      <c r="V31" t="s">
        <v>77</v>
      </c>
      <c r="W31" s="29" t="s">
        <v>99</v>
      </c>
      <c r="Z31" s="34"/>
      <c r="AA31" s="40"/>
      <c r="AB31" s="40"/>
      <c r="AC31" s="38" t="s">
        <v>159</v>
      </c>
      <c r="AD31" s="48">
        <v>23</v>
      </c>
      <c r="AE31" s="86" t="str">
        <f t="shared" ca="1" si="0"/>
        <v>Venc.J13</v>
      </c>
      <c r="AF31" s="37" t="s">
        <v>157</v>
      </c>
      <c r="AG31" s="86" t="str">
        <f t="shared" ca="1" si="1"/>
        <v>Venc.J14</v>
      </c>
      <c r="AH31" s="74"/>
    </row>
    <row r="32" spans="4:34" ht="13" thickBot="1">
      <c r="E32" s="12"/>
      <c r="F32" s="13" t="s">
        <v>214</v>
      </c>
      <c r="G32" s="9" t="str">
        <f>IF(OR(F31="",F33=""),"",+IF(F31&gt;F33,E31,E33))</f>
        <v/>
      </c>
      <c r="H32" s="17"/>
      <c r="I32" s="10"/>
      <c r="J32" s="14"/>
      <c r="K32" s="10"/>
      <c r="L32" s="10"/>
      <c r="M32" s="10"/>
      <c r="N32" s="14"/>
      <c r="O32" s="10"/>
      <c r="T32">
        <v>28</v>
      </c>
      <c r="U32" s="28" t="s">
        <v>100</v>
      </c>
      <c r="V32" t="s">
        <v>77</v>
      </c>
      <c r="W32" s="29" t="s">
        <v>101</v>
      </c>
      <c r="Z32" s="34"/>
      <c r="AA32" s="40"/>
      <c r="AB32" s="40"/>
      <c r="AC32" s="38" t="s">
        <v>159</v>
      </c>
      <c r="AD32" s="48">
        <v>24</v>
      </c>
      <c r="AE32" s="86" t="str">
        <f t="shared" ca="1" si="0"/>
        <v>Venc.J15</v>
      </c>
      <c r="AF32" s="37" t="s">
        <v>157</v>
      </c>
      <c r="AG32" s="86" t="str">
        <f t="shared" ca="1" si="1"/>
        <v>Venc.J16</v>
      </c>
      <c r="AH32" s="74"/>
    </row>
    <row r="33" spans="4:34" ht="13" thickBot="1">
      <c r="D33">
        <v>14</v>
      </c>
      <c r="E33" s="10">
        <v>0</v>
      </c>
      <c r="F33" s="16"/>
      <c r="G33" s="10"/>
      <c r="H33" s="14"/>
      <c r="I33" s="10"/>
      <c r="J33" s="14"/>
      <c r="K33" s="10"/>
      <c r="L33" s="10"/>
      <c r="M33" s="10"/>
      <c r="N33" s="14"/>
      <c r="O33" s="10"/>
      <c r="T33">
        <v>29</v>
      </c>
      <c r="U33" s="28" t="s">
        <v>102</v>
      </c>
      <c r="V33" t="s">
        <v>77</v>
      </c>
      <c r="W33" s="29" t="s">
        <v>103</v>
      </c>
      <c r="Z33" s="34"/>
      <c r="AA33" s="40"/>
      <c r="AB33" s="40"/>
      <c r="AC33" s="38" t="s">
        <v>159</v>
      </c>
      <c r="AD33" s="48">
        <v>25</v>
      </c>
      <c r="AE33" s="86" t="str">
        <f t="shared" ca="1" si="0"/>
        <v>Venc.J17</v>
      </c>
      <c r="AF33" s="37" t="s">
        <v>157</v>
      </c>
      <c r="AG33" s="86" t="str">
        <f t="shared" ca="1" si="1"/>
        <v>Venc.J18</v>
      </c>
      <c r="AH33" s="74"/>
    </row>
    <row r="34" spans="4:34" ht="13" thickBot="1">
      <c r="E34" s="12"/>
      <c r="F34" s="10"/>
      <c r="G34" s="10"/>
      <c r="H34" s="14" t="s">
        <v>242</v>
      </c>
      <c r="I34" s="9" t="str">
        <f>IF(OR(H32="",H36=""),"",+IF(H32&gt;H36,G32,G36))</f>
        <v/>
      </c>
      <c r="J34" s="16"/>
      <c r="K34" s="10"/>
      <c r="L34" s="10"/>
      <c r="M34" s="10"/>
      <c r="N34" s="14"/>
      <c r="O34" s="10"/>
      <c r="T34">
        <v>30</v>
      </c>
      <c r="U34" s="28" t="s">
        <v>104</v>
      </c>
      <c r="V34" t="s">
        <v>77</v>
      </c>
      <c r="W34" s="29" t="s">
        <v>105</v>
      </c>
      <c r="Z34" s="34"/>
      <c r="AA34" s="40"/>
      <c r="AB34" s="40"/>
      <c r="AC34" s="38" t="s">
        <v>159</v>
      </c>
      <c r="AD34" s="48">
        <v>26</v>
      </c>
      <c r="AE34" s="86" t="str">
        <f t="shared" ca="1" si="0"/>
        <v>Venc.J19</v>
      </c>
      <c r="AF34" s="37" t="s">
        <v>157</v>
      </c>
      <c r="AG34" s="86" t="str">
        <f t="shared" ca="1" si="1"/>
        <v>Venc.J20</v>
      </c>
      <c r="AH34" s="74"/>
    </row>
    <row r="35" spans="4:34" ht="13" thickBot="1">
      <c r="D35">
        <v>15</v>
      </c>
      <c r="E35" s="10">
        <v>0</v>
      </c>
      <c r="F35" s="11"/>
      <c r="G35" s="10"/>
      <c r="H35" s="14"/>
      <c r="I35" s="10"/>
      <c r="J35" s="10"/>
      <c r="K35" s="10"/>
      <c r="L35" s="10"/>
      <c r="M35" s="10"/>
      <c r="N35" s="14"/>
      <c r="O35" s="10"/>
      <c r="T35">
        <v>31</v>
      </c>
      <c r="U35" s="28" t="s">
        <v>307</v>
      </c>
      <c r="V35" t="s">
        <v>77</v>
      </c>
      <c r="W35" s="29" t="s">
        <v>308</v>
      </c>
      <c r="Z35" s="34"/>
      <c r="AA35" s="40"/>
      <c r="AB35" s="40"/>
      <c r="AC35" s="38" t="s">
        <v>159</v>
      </c>
      <c r="AD35" s="48">
        <v>27</v>
      </c>
      <c r="AE35" s="86" t="str">
        <f t="shared" ca="1" si="0"/>
        <v>Venc.J21</v>
      </c>
      <c r="AF35" s="37" t="s">
        <v>157</v>
      </c>
      <c r="AG35" s="86" t="str">
        <f t="shared" ca="1" si="1"/>
        <v>Venc.J22</v>
      </c>
      <c r="AH35" s="74"/>
    </row>
    <row r="36" spans="4:34" ht="13" thickBot="1">
      <c r="E36" s="12"/>
      <c r="F36" s="13" t="s">
        <v>217</v>
      </c>
      <c r="G36" s="9" t="str">
        <f>IF(OR(F35="",F37=""),"",+IF(F35&gt;F37,E35,E37))</f>
        <v/>
      </c>
      <c r="H36" s="16"/>
      <c r="I36" s="10"/>
      <c r="J36" s="10"/>
      <c r="K36" s="10"/>
      <c r="L36" s="10"/>
      <c r="M36" s="10"/>
      <c r="N36" s="14"/>
      <c r="O36" s="10"/>
      <c r="T36">
        <v>32</v>
      </c>
      <c r="U36" s="28" t="s">
        <v>106</v>
      </c>
      <c r="V36" t="s">
        <v>77</v>
      </c>
      <c r="W36" s="29" t="s">
        <v>107</v>
      </c>
      <c r="Z36" s="34"/>
      <c r="AA36" s="40"/>
      <c r="AB36" s="40"/>
      <c r="AC36" s="38" t="s">
        <v>159</v>
      </c>
      <c r="AD36" s="48">
        <v>28</v>
      </c>
      <c r="AE36" s="86" t="str">
        <f t="shared" ca="1" si="0"/>
        <v>Venc.J23</v>
      </c>
      <c r="AF36" s="37" t="s">
        <v>157</v>
      </c>
      <c r="AG36" s="86" t="str">
        <f t="shared" ca="1" si="1"/>
        <v>Venc.J24</v>
      </c>
      <c r="AH36" s="74"/>
    </row>
    <row r="37" spans="4:34" ht="13" thickBot="1">
      <c r="D37">
        <v>16</v>
      </c>
      <c r="E37" s="9">
        <v>0</v>
      </c>
      <c r="F37" s="16"/>
      <c r="G37" s="10"/>
      <c r="H37" s="10"/>
      <c r="I37" s="10"/>
      <c r="J37" s="10"/>
      <c r="K37" s="10"/>
      <c r="L37" s="10"/>
      <c r="M37" s="10"/>
      <c r="N37" s="14"/>
      <c r="O37" s="10"/>
      <c r="Z37" s="34"/>
      <c r="AA37" s="40"/>
      <c r="AB37" s="40"/>
      <c r="AC37" s="38" t="s">
        <v>159</v>
      </c>
      <c r="AD37" s="48">
        <v>29</v>
      </c>
      <c r="AE37" s="86" t="str">
        <f t="shared" ca="1" si="0"/>
        <v>Venc.J25</v>
      </c>
      <c r="AF37" s="37" t="s">
        <v>157</v>
      </c>
      <c r="AG37" s="86" t="str">
        <f t="shared" ca="1" si="1"/>
        <v>Venc.J26</v>
      </c>
      <c r="AH37" s="74"/>
    </row>
    <row r="38" spans="4:34" ht="13" thickBot="1">
      <c r="E38" s="10"/>
      <c r="F38" s="10"/>
      <c r="G38" s="10"/>
      <c r="H38" s="10"/>
      <c r="I38" s="10"/>
      <c r="J38" s="10"/>
      <c r="K38" s="10"/>
      <c r="L38" s="10"/>
      <c r="M38" s="77" t="s">
        <v>278</v>
      </c>
      <c r="N38" s="14" t="s">
        <v>209</v>
      </c>
      <c r="O38" s="9" t="str">
        <f>IF(OR(N22="",N54=""),"",+IF(N22&gt;N54,M22,M54))</f>
        <v/>
      </c>
      <c r="U38" s="29"/>
      <c r="Z38" s="34"/>
      <c r="AA38" s="40"/>
      <c r="AB38" s="40"/>
      <c r="AC38" s="38" t="s">
        <v>159</v>
      </c>
      <c r="AD38" s="48">
        <v>30</v>
      </c>
      <c r="AE38" s="86" t="str">
        <f t="shared" ca="1" si="0"/>
        <v>Venc.J27</v>
      </c>
      <c r="AF38" s="37" t="s">
        <v>157</v>
      </c>
      <c r="AG38" s="86" t="str">
        <f t="shared" ca="1" si="1"/>
        <v>Venc.J28</v>
      </c>
      <c r="AH38" s="74"/>
    </row>
    <row r="39" spans="4:34" ht="13" thickBot="1">
      <c r="D39">
        <v>17</v>
      </c>
      <c r="E39" s="10">
        <v>0</v>
      </c>
      <c r="F39" s="11"/>
      <c r="G39" s="10"/>
      <c r="H39" s="10"/>
      <c r="I39" s="10"/>
      <c r="J39" s="10"/>
      <c r="K39" s="10"/>
      <c r="L39" s="10"/>
      <c r="M39" s="10"/>
      <c r="N39" s="14"/>
      <c r="O39" s="10"/>
      <c r="Z39" s="34"/>
      <c r="AA39" s="40"/>
      <c r="AB39" s="40"/>
      <c r="AC39" s="38" t="s">
        <v>159</v>
      </c>
      <c r="AD39" s="48">
        <v>31</v>
      </c>
      <c r="AE39" s="86" t="str">
        <f t="shared" ca="1" si="0"/>
        <v>Perd.J29</v>
      </c>
      <c r="AF39" s="37" t="s">
        <v>157</v>
      </c>
      <c r="AG39" s="86" t="str">
        <f t="shared" ca="1" si="1"/>
        <v>Perd.J30</v>
      </c>
      <c r="AH39" s="74"/>
    </row>
    <row r="40" spans="4:34" ht="13" thickBot="1">
      <c r="E40" s="12"/>
      <c r="F40" s="13" t="s">
        <v>219</v>
      </c>
      <c r="G40" s="9" t="str">
        <f>IF(OR(F39="",F41=""),"",+IF(F39&gt;F41,E39,E41))</f>
        <v/>
      </c>
      <c r="H40" s="17"/>
      <c r="I40" s="10"/>
      <c r="J40" s="10"/>
      <c r="K40" s="10"/>
      <c r="L40" s="10"/>
      <c r="M40" s="10"/>
      <c r="N40" s="14"/>
      <c r="O40" s="10"/>
      <c r="Z40" s="34"/>
      <c r="AA40" s="40"/>
      <c r="AB40" s="40"/>
      <c r="AC40" s="40" t="s">
        <v>159</v>
      </c>
      <c r="AD40" s="86">
        <v>32</v>
      </c>
      <c r="AE40" s="86" t="str">
        <f t="shared" ca="1" si="0"/>
        <v>Venc.J29</v>
      </c>
      <c r="AF40" s="37"/>
      <c r="AG40" s="86" t="str">
        <f t="shared" ca="1" si="1"/>
        <v>Venc.J30</v>
      </c>
      <c r="AH40" s="74"/>
    </row>
    <row r="41" spans="4:34" ht="13" thickBot="1">
      <c r="D41">
        <v>18</v>
      </c>
      <c r="E41" s="10">
        <v>0</v>
      </c>
      <c r="F41" s="16"/>
      <c r="G41" s="10"/>
      <c r="H41" s="14"/>
      <c r="I41" s="10"/>
      <c r="J41" s="10"/>
      <c r="K41" s="10"/>
      <c r="L41" s="10"/>
      <c r="M41" s="10"/>
      <c r="N41" s="14"/>
      <c r="O41" s="10"/>
      <c r="Z41" s="42"/>
      <c r="AA41" s="43"/>
      <c r="AB41" s="43"/>
      <c r="AC41" s="43"/>
      <c r="AD41" s="85"/>
      <c r="AE41" s="85"/>
      <c r="AF41" s="85"/>
      <c r="AG41" s="85"/>
      <c r="AH41" s="75"/>
    </row>
    <row r="42" spans="4:34" ht="13" thickBot="1">
      <c r="E42" s="12"/>
      <c r="F42" s="10"/>
      <c r="G42" s="10"/>
      <c r="H42" s="14" t="s">
        <v>244</v>
      </c>
      <c r="I42" s="9" t="str">
        <f>IF(OR(H40="",H44=""),"",+IF(H40&gt;H44,G40,G44))</f>
        <v/>
      </c>
      <c r="J42" s="17"/>
      <c r="K42" s="10"/>
      <c r="L42" s="10"/>
      <c r="M42" s="10"/>
      <c r="N42" s="14"/>
      <c r="O42" s="10"/>
    </row>
    <row r="43" spans="4:34" ht="13" thickBot="1">
      <c r="D43">
        <v>19</v>
      </c>
      <c r="E43" s="10">
        <v>0</v>
      </c>
      <c r="F43" s="11"/>
      <c r="G43" s="10"/>
      <c r="H43" s="14"/>
      <c r="I43" s="10"/>
      <c r="J43" s="13"/>
      <c r="K43" s="10"/>
      <c r="L43" s="10"/>
      <c r="M43" s="10"/>
      <c r="N43" s="14"/>
      <c r="O43" s="10"/>
    </row>
    <row r="44" spans="4:34" ht="13" thickBot="1">
      <c r="E44" s="12"/>
      <c r="F44" s="13" t="s">
        <v>221</v>
      </c>
      <c r="G44" s="9" t="str">
        <f>IF(OR(F43="",F45=""),"",+IF(F43&gt;F45,E43,E45))</f>
        <v/>
      </c>
      <c r="H44" s="16"/>
      <c r="I44" s="10"/>
      <c r="J44" s="14"/>
      <c r="K44" s="10"/>
      <c r="L44" s="10"/>
      <c r="M44" s="10"/>
      <c r="N44" s="14"/>
      <c r="O44" s="10"/>
    </row>
    <row r="45" spans="4:34" ht="13" thickBot="1">
      <c r="D45">
        <v>20</v>
      </c>
      <c r="E45" s="10">
        <v>0</v>
      </c>
      <c r="F45" s="16"/>
      <c r="G45" s="10"/>
      <c r="H45" s="10"/>
      <c r="I45" s="10"/>
      <c r="J45" s="14"/>
      <c r="K45" s="10"/>
      <c r="L45" s="10"/>
      <c r="M45" s="10"/>
      <c r="N45" s="14"/>
      <c r="O45" s="10"/>
    </row>
    <row r="46" spans="4:34" ht="13" thickBot="1">
      <c r="E46" s="12"/>
      <c r="F46" s="10"/>
      <c r="G46" s="10"/>
      <c r="H46" s="10"/>
      <c r="I46" s="10"/>
      <c r="J46" s="14" t="s">
        <v>256</v>
      </c>
      <c r="K46" s="9" t="str">
        <f>IF(OR(J42="",J50=""),"",+IF(J42&gt;J50,I42,I50))</f>
        <v/>
      </c>
      <c r="L46" s="17"/>
      <c r="M46" s="10"/>
      <c r="N46" s="14"/>
      <c r="O46" s="10"/>
    </row>
    <row r="47" spans="4:34" ht="13" thickBot="1">
      <c r="D47">
        <v>21</v>
      </c>
      <c r="E47" s="10">
        <v>0</v>
      </c>
      <c r="F47" s="11"/>
      <c r="G47" s="10"/>
      <c r="H47" s="10"/>
      <c r="I47" s="10"/>
      <c r="J47" s="14"/>
      <c r="K47" s="10"/>
      <c r="L47" s="13"/>
      <c r="M47" s="10"/>
      <c r="N47" s="14"/>
      <c r="O47" s="10"/>
    </row>
    <row r="48" spans="4:34" ht="13" thickBot="1">
      <c r="E48" s="12"/>
      <c r="F48" s="13" t="s">
        <v>223</v>
      </c>
      <c r="G48" s="9" t="str">
        <f>IF(OR(F47="",F49=""),"",+IF(F47&gt;F49,E47,E49))</f>
        <v/>
      </c>
      <c r="H48" s="17"/>
      <c r="I48" s="10"/>
      <c r="J48" s="14"/>
      <c r="K48" s="10"/>
      <c r="L48" s="14"/>
      <c r="M48" s="10"/>
      <c r="N48" s="14"/>
      <c r="O48" s="10"/>
    </row>
    <row r="49" spans="4:15" ht="13" thickBot="1">
      <c r="D49">
        <v>22</v>
      </c>
      <c r="E49" s="10">
        <v>0</v>
      </c>
      <c r="F49" s="16"/>
      <c r="G49" s="10"/>
      <c r="H49" s="14"/>
      <c r="I49" s="10"/>
      <c r="J49" s="14"/>
      <c r="K49" s="10"/>
      <c r="L49" s="14"/>
      <c r="M49" s="10"/>
      <c r="N49" s="14"/>
      <c r="O49" s="10"/>
    </row>
    <row r="50" spans="4:15" ht="13" thickBot="1">
      <c r="E50" s="12"/>
      <c r="F50" s="10"/>
      <c r="G50" s="10"/>
      <c r="H50" s="14" t="s">
        <v>246</v>
      </c>
      <c r="I50" s="9" t="str">
        <f>IF(OR(H48="",H52=""),"",+IF(H48&gt;H52,G48,G52))</f>
        <v/>
      </c>
      <c r="J50" s="16"/>
      <c r="K50" s="10"/>
      <c r="L50" s="14"/>
      <c r="M50" s="10"/>
      <c r="N50" s="14"/>
      <c r="O50" s="10"/>
    </row>
    <row r="51" spans="4:15" ht="13" thickBot="1">
      <c r="D51">
        <v>23</v>
      </c>
      <c r="E51" s="10">
        <v>0</v>
      </c>
      <c r="F51" s="11"/>
      <c r="G51" s="10"/>
      <c r="H51" s="14"/>
      <c r="I51" s="10"/>
      <c r="J51" s="10"/>
      <c r="K51" s="10"/>
      <c r="L51" s="14"/>
      <c r="M51" s="10"/>
      <c r="N51" s="14"/>
      <c r="O51" s="10"/>
    </row>
    <row r="52" spans="4:15" ht="13" thickBot="1">
      <c r="E52" s="12"/>
      <c r="F52" s="13" t="s">
        <v>225</v>
      </c>
      <c r="G52" s="9" t="str">
        <f>IF(OR(F51="",F53=""),"",+IF(F51&gt;F53,E51,E53))</f>
        <v/>
      </c>
      <c r="H52" s="16"/>
      <c r="I52" s="10"/>
      <c r="J52" s="10"/>
      <c r="K52" s="10"/>
      <c r="L52" s="14"/>
      <c r="M52" s="10"/>
      <c r="N52" s="14"/>
      <c r="O52" s="10"/>
    </row>
    <row r="53" spans="4:15" ht="13" thickBot="1">
      <c r="D53">
        <v>24</v>
      </c>
      <c r="E53" s="9">
        <v>0</v>
      </c>
      <c r="F53" s="16"/>
      <c r="G53" s="10"/>
      <c r="H53" s="10"/>
      <c r="I53" s="10"/>
      <c r="J53" s="10"/>
      <c r="K53" s="10"/>
      <c r="L53" s="14"/>
      <c r="M53" s="10"/>
      <c r="N53" s="14"/>
      <c r="O53" s="10"/>
    </row>
    <row r="54" spans="4:15" ht="13" thickBot="1">
      <c r="E54" s="10"/>
      <c r="F54" s="10"/>
      <c r="G54" s="10"/>
      <c r="H54" s="10"/>
      <c r="I54" s="10"/>
      <c r="J54" s="10"/>
      <c r="K54" s="10"/>
      <c r="L54" s="14" t="s">
        <v>201</v>
      </c>
      <c r="M54" s="9" t="str">
        <f>IF(OR(L46="",L62=""),"",+IF(L46&gt;L62,K46,K62))</f>
        <v/>
      </c>
      <c r="N54" s="16"/>
      <c r="O54" s="10"/>
    </row>
    <row r="55" spans="4:15" ht="13" thickBot="1">
      <c r="D55">
        <v>25</v>
      </c>
      <c r="E55" s="10">
        <v>0</v>
      </c>
      <c r="F55" s="11"/>
      <c r="G55" s="10"/>
      <c r="H55" s="10"/>
      <c r="I55" s="10"/>
      <c r="J55" s="10"/>
      <c r="K55" s="10"/>
      <c r="L55" s="14"/>
      <c r="M55" s="10"/>
      <c r="N55" s="10"/>
      <c r="O55" s="10"/>
    </row>
    <row r="56" spans="4:15" ht="13" thickBot="1">
      <c r="E56" s="12"/>
      <c r="F56" s="13" t="s">
        <v>227</v>
      </c>
      <c r="G56" s="9" t="str">
        <f>IF(OR(F55="",F57=""),"",+IF(F55&gt;F57,E55,E57))</f>
        <v/>
      </c>
      <c r="H56" s="17"/>
      <c r="I56" s="10"/>
      <c r="J56" s="10"/>
      <c r="K56" s="10"/>
      <c r="L56" s="14"/>
      <c r="M56" s="10"/>
      <c r="N56" s="10"/>
      <c r="O56" s="10"/>
    </row>
    <row r="57" spans="4:15" ht="13" thickBot="1">
      <c r="D57">
        <v>26</v>
      </c>
      <c r="E57" s="10">
        <v>0</v>
      </c>
      <c r="F57" s="16"/>
      <c r="G57" s="10"/>
      <c r="H57" s="14"/>
      <c r="I57" s="10"/>
      <c r="J57" s="10"/>
      <c r="K57" s="10"/>
      <c r="L57" s="14"/>
      <c r="M57" s="10"/>
      <c r="N57" s="10"/>
      <c r="O57" s="10"/>
    </row>
    <row r="58" spans="4:15" ht="13" thickBot="1">
      <c r="E58" s="12"/>
      <c r="F58" s="10"/>
      <c r="G58" s="10"/>
      <c r="H58" s="14" t="s">
        <v>248</v>
      </c>
      <c r="I58" s="9" t="str">
        <f>IF(OR(H56="",H60=""),"",+IF(H56&gt;H60,G56,G60))</f>
        <v/>
      </c>
      <c r="J58" s="17"/>
      <c r="K58" s="10"/>
      <c r="L58" s="14"/>
      <c r="M58" s="10"/>
      <c r="N58" s="10"/>
      <c r="O58" s="10"/>
    </row>
    <row r="59" spans="4:15" ht="13" thickBot="1">
      <c r="D59">
        <v>27</v>
      </c>
      <c r="E59" s="10">
        <v>0</v>
      </c>
      <c r="F59" s="11"/>
      <c r="G59" s="10"/>
      <c r="H59" s="14"/>
      <c r="I59" s="10"/>
      <c r="J59" s="13"/>
      <c r="K59" s="10"/>
      <c r="L59" s="14"/>
      <c r="M59" s="10"/>
      <c r="N59" s="10"/>
      <c r="O59" s="10"/>
    </row>
    <row r="60" spans="4:15" ht="13" thickBot="1">
      <c r="E60" s="12"/>
      <c r="F60" s="13" t="s">
        <v>229</v>
      </c>
      <c r="G60" s="9" t="str">
        <f>IF(OR(F59="",F61=""),"",+IF(F59&gt;F61,E59,E61))</f>
        <v/>
      </c>
      <c r="H60" s="16"/>
      <c r="I60" s="10"/>
      <c r="J60" s="14"/>
      <c r="K60" s="10"/>
      <c r="L60" s="14"/>
      <c r="M60" s="10"/>
      <c r="N60" s="10"/>
      <c r="O60" s="10"/>
    </row>
    <row r="61" spans="4:15" ht="13" thickBot="1">
      <c r="D61">
        <v>28</v>
      </c>
      <c r="E61" s="10">
        <v>0</v>
      </c>
      <c r="F61" s="16"/>
      <c r="G61" s="10"/>
      <c r="H61" s="10"/>
      <c r="I61" s="10"/>
      <c r="J61" s="14"/>
      <c r="K61" s="10"/>
      <c r="L61" s="14"/>
      <c r="M61" s="10"/>
      <c r="N61" s="10"/>
      <c r="O61" s="10"/>
    </row>
    <row r="62" spans="4:15" ht="13" thickBot="1">
      <c r="E62" s="12"/>
      <c r="F62" s="10"/>
      <c r="G62" s="10"/>
      <c r="H62" s="10"/>
      <c r="I62" s="10"/>
      <c r="J62" s="14" t="s">
        <v>258</v>
      </c>
      <c r="K62" s="9" t="str">
        <f>IF(OR(J58="",J66=""),"",+IF(J58&gt;J66,I58,I66))</f>
        <v/>
      </c>
      <c r="L62" s="16"/>
      <c r="M62" s="10"/>
      <c r="N62" s="10"/>
      <c r="O62" s="10"/>
    </row>
    <row r="63" spans="4:15" ht="13" thickBot="1">
      <c r="D63">
        <v>29</v>
      </c>
      <c r="E63" s="10">
        <v>0</v>
      </c>
      <c r="F63" s="11"/>
      <c r="G63" s="10"/>
      <c r="H63" s="10"/>
      <c r="I63" s="10"/>
      <c r="J63" s="14"/>
      <c r="K63" s="10"/>
      <c r="L63" s="10"/>
      <c r="M63" s="10"/>
      <c r="N63" s="10"/>
      <c r="O63" s="10"/>
    </row>
    <row r="64" spans="4:15" ht="13" thickBot="1">
      <c r="E64" s="12"/>
      <c r="F64" s="13" t="s">
        <v>232</v>
      </c>
      <c r="G64" s="9" t="str">
        <f>IF(OR(F63="",F65=""),"",+IF(F63&gt;F65,E63,E65))</f>
        <v/>
      </c>
      <c r="H64" s="17"/>
      <c r="I64" s="10"/>
      <c r="J64" s="14"/>
      <c r="K64" s="10"/>
      <c r="L64" s="10"/>
      <c r="M64" s="10"/>
      <c r="N64" s="10"/>
      <c r="O64" s="10"/>
    </row>
    <row r="65" spans="4:15" ht="13" thickBot="1">
      <c r="D65">
        <v>30</v>
      </c>
      <c r="E65" s="10">
        <v>0</v>
      </c>
      <c r="F65" s="16"/>
      <c r="G65" s="10"/>
      <c r="H65" s="14"/>
      <c r="I65" s="10"/>
      <c r="J65" s="14"/>
      <c r="K65" s="10"/>
      <c r="L65" s="10"/>
      <c r="M65" s="10"/>
      <c r="N65" s="10"/>
      <c r="O65" s="10"/>
    </row>
    <row r="66" spans="4:15" ht="13" thickBot="1">
      <c r="E66" s="12"/>
      <c r="F66" s="10"/>
      <c r="G66" s="10"/>
      <c r="H66" s="14" t="s">
        <v>250</v>
      </c>
      <c r="I66" s="9" t="str">
        <f>IF(OR(H64="",H68=""),"",+IF(H64&gt;H68,G64,G68))</f>
        <v/>
      </c>
      <c r="J66" s="16"/>
      <c r="K66" s="10"/>
      <c r="L66" s="10"/>
      <c r="M66" s="9" t="str">
        <f>IF(OR(M22="",M54=""),"",+IF(L14&gt;L30,K30,K14))</f>
        <v/>
      </c>
      <c r="N66" s="17"/>
      <c r="O66" s="10"/>
    </row>
    <row r="67" spans="4:15" ht="13" thickBot="1">
      <c r="D67">
        <v>31</v>
      </c>
      <c r="E67" s="10">
        <v>0</v>
      </c>
      <c r="F67" s="11"/>
      <c r="G67" s="10"/>
      <c r="H67" s="14"/>
      <c r="I67" s="10"/>
      <c r="J67" s="10"/>
      <c r="K67" s="10"/>
      <c r="L67" s="10"/>
      <c r="M67" s="10"/>
      <c r="N67" s="13"/>
      <c r="O67" s="10"/>
    </row>
    <row r="68" spans="4:15" ht="13" thickBot="1">
      <c r="E68" s="12"/>
      <c r="F68" s="13" t="s">
        <v>234</v>
      </c>
      <c r="G68" s="9" t="str">
        <f>IF(OR(F67="",F69=""),"",+IF(F67&gt;F69,E67,E69))</f>
        <v/>
      </c>
      <c r="H68" s="16"/>
      <c r="I68" s="10"/>
      <c r="J68" s="10"/>
      <c r="K68" s="10"/>
      <c r="L68" s="10"/>
      <c r="M68" s="10"/>
      <c r="N68" s="14"/>
      <c r="O68" s="10"/>
    </row>
    <row r="69" spans="4:15" ht="13" thickBot="1">
      <c r="D69">
        <v>32</v>
      </c>
      <c r="E69" s="9">
        <v>0</v>
      </c>
      <c r="F69" s="16"/>
      <c r="G69" s="10"/>
      <c r="H69" s="10"/>
      <c r="I69" s="10"/>
      <c r="J69" s="10"/>
      <c r="K69" s="10"/>
      <c r="L69" s="10"/>
      <c r="M69" s="10"/>
      <c r="N69" s="14"/>
      <c r="O69" s="10"/>
    </row>
    <row r="70" spans="4:15">
      <c r="M70" s="10"/>
      <c r="N70" s="14"/>
      <c r="O70" s="10"/>
    </row>
    <row r="71" spans="4:15">
      <c r="M71" s="10"/>
      <c r="N71" s="14"/>
      <c r="O71" s="10"/>
    </row>
    <row r="72" spans="4:15">
      <c r="M72" s="10"/>
      <c r="N72" s="14"/>
      <c r="O72" s="10"/>
    </row>
    <row r="73" spans="4:15">
      <c r="M73" s="10"/>
      <c r="N73" s="14"/>
      <c r="O73" s="10"/>
    </row>
    <row r="74" spans="4:15" ht="13" thickBot="1">
      <c r="M74" s="77" t="s">
        <v>279</v>
      </c>
      <c r="N74" s="14" t="s">
        <v>205</v>
      </c>
      <c r="O74" s="9" t="str">
        <f>IF(OR(N66="",N82=""),"",+IF(N66&gt;N82,M66,M82))</f>
        <v/>
      </c>
    </row>
    <row r="75" spans="4:15">
      <c r="M75" s="10"/>
      <c r="N75" s="14"/>
      <c r="O75" s="10"/>
    </row>
    <row r="76" spans="4:15">
      <c r="M76" s="10"/>
      <c r="N76" s="14"/>
      <c r="O76" s="10"/>
    </row>
    <row r="77" spans="4:15">
      <c r="M77" s="10"/>
      <c r="N77" s="14"/>
      <c r="O77" s="10"/>
    </row>
    <row r="78" spans="4:15">
      <c r="M78" s="10"/>
      <c r="N78" s="14"/>
      <c r="O78" s="10"/>
    </row>
    <row r="79" spans="4:15">
      <c r="M79" s="10"/>
      <c r="N79" s="14"/>
      <c r="O79" s="10"/>
    </row>
    <row r="80" spans="4:15">
      <c r="M80" s="10"/>
      <c r="N80" s="14"/>
      <c r="O80" s="10"/>
    </row>
    <row r="81" spans="13:15">
      <c r="M81" s="10"/>
      <c r="N81" s="14"/>
      <c r="O81" s="10"/>
    </row>
    <row r="82" spans="13:15" ht="13" thickBot="1">
      <c r="M82" s="9" t="str">
        <f>IF(OR(M22="",M54=""),"",+IF(L46&gt;L62,K62,K46))</f>
        <v/>
      </c>
      <c r="N82" s="16"/>
      <c r="O82" s="10"/>
    </row>
    <row r="83" spans="13:15">
      <c r="M83" s="10"/>
      <c r="N83" s="10"/>
      <c r="O83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Plan29"/>
  <dimension ref="D4:AH83"/>
  <sheetViews>
    <sheetView showGridLines="0" topLeftCell="A31" zoomScale="75" workbookViewId="0">
      <selection activeCell="I14" sqref="I14"/>
    </sheetView>
  </sheetViews>
  <sheetFormatPr defaultRowHeight="12.7"/>
  <cols>
    <col min="5" max="5" width="23" bestFit="1" customWidth="1"/>
    <col min="6" max="6" width="3.64453125" customWidth="1"/>
    <col min="7" max="7" width="7" bestFit="1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64453125" customWidth="1"/>
    <col min="13" max="13" width="15.64453125" customWidth="1"/>
    <col min="14" max="14" width="3.64453125" customWidth="1"/>
    <col min="15" max="15" width="15.41015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234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LOOKUP(AD9,T$5:T$78,U$5:U$40)</f>
        <v>0</v>
      </c>
      <c r="AF9" s="37" t="s">
        <v>157</v>
      </c>
      <c r="AG9" s="65">
        <f t="shared" ref="AG9:AG19" ca="1" si="1">LOOKUP(AD9,T$5:T$78,W$5:W$41)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2"/>
      <c r="J10" s="20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E34</f>
        <v>0</v>
      </c>
      <c r="V11" t="s">
        <v>77</v>
      </c>
      <c r="W11" s="29">
        <f>E36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E38</f>
        <v>0</v>
      </c>
      <c r="V12" t="s">
        <v>77</v>
      </c>
      <c r="W12" s="29">
        <f>E40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 ht="13" thickBot="1">
      <c r="E13" s="10"/>
      <c r="F13" s="10"/>
      <c r="G13" s="10"/>
      <c r="H13" s="10"/>
      <c r="I13" s="10"/>
      <c r="J13" s="14" t="s">
        <v>250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E42</f>
        <v>0</v>
      </c>
      <c r="V13" t="s">
        <v>77</v>
      </c>
      <c r="W13" s="29">
        <f>E44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  <c r="AH13" s="74"/>
    </row>
    <row r="14" spans="4:34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E46</f>
        <v>0</v>
      </c>
      <c r="V14" t="s">
        <v>77</v>
      </c>
      <c r="W14" s="29">
        <f>E48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  <c r="AH14" s="74"/>
    </row>
    <row r="15" spans="4:34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E50</f>
        <v>0</v>
      </c>
      <c r="V15" t="s">
        <v>77</v>
      </c>
      <c r="W15" s="29">
        <f>E52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  <c r="AH15" s="74"/>
    </row>
    <row r="16" spans="4:34" ht="13" thickBot="1">
      <c r="D16">
        <v>5</v>
      </c>
      <c r="E16" s="9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E54</f>
        <v>0</v>
      </c>
      <c r="V16" t="s">
        <v>77</v>
      </c>
      <c r="W16" s="29">
        <f>E56</f>
        <v>0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  <c r="AH16" s="74"/>
    </row>
    <row r="17" spans="4:34" ht="13" thickBot="1">
      <c r="E17" s="10"/>
      <c r="F17" s="10"/>
      <c r="G17" s="10"/>
      <c r="H17" s="14" t="s">
        <v>236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E58</f>
        <v>0</v>
      </c>
      <c r="V17" t="s">
        <v>77</v>
      </c>
      <c r="W17" s="29">
        <f>E60</f>
        <v>0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  <c r="AH17" s="74"/>
    </row>
    <row r="18" spans="4:34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>
        <f>E62</f>
        <v>0</v>
      </c>
      <c r="V18" t="s">
        <v>77</v>
      </c>
      <c r="W18" s="29">
        <f>E64</f>
        <v>0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>
        <f t="shared" ca="1" si="1"/>
        <v>0</v>
      </c>
      <c r="AH18" s="74"/>
    </row>
    <row r="19" spans="4:34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>
        <f>E66</f>
        <v>0</v>
      </c>
      <c r="V19" t="s">
        <v>77</v>
      </c>
      <c r="W19" s="29">
        <f>E68</f>
        <v>0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>
        <f t="shared" ca="1" si="1"/>
        <v>0</v>
      </c>
      <c r="AH19" s="74"/>
    </row>
    <row r="20" spans="4:34" ht="13" thickBot="1">
      <c r="D20">
        <v>7</v>
      </c>
      <c r="E20" s="9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>
        <f>E7</f>
        <v>0</v>
      </c>
      <c r="V20" t="s">
        <v>77</v>
      </c>
      <c r="W20" s="29" t="s">
        <v>78</v>
      </c>
      <c r="Z20" s="34"/>
      <c r="AA20" s="40"/>
      <c r="AB20" s="40"/>
      <c r="AC20" s="38" t="s">
        <v>159</v>
      </c>
      <c r="AD20" s="48">
        <v>12</v>
      </c>
      <c r="AE20" s="53">
        <f t="shared" ref="AE20:AE30" ca="1" si="2">LOOKUP(AD20,T$5:T$78,U$5:U$40)</f>
        <v>0</v>
      </c>
      <c r="AF20" s="37" t="s">
        <v>157</v>
      </c>
      <c r="AG20" s="65">
        <f t="shared" ref="AG20:AG30" ca="1" si="3">LOOKUP(AD20,T$5:T$78,W$5:W$41)</f>
        <v>0</v>
      </c>
      <c r="AH20" s="74"/>
    </row>
    <row r="21" spans="4:34" ht="13" thickBot="1">
      <c r="E21" s="10"/>
      <c r="F21" s="10"/>
      <c r="G21" s="10"/>
      <c r="H21" s="10"/>
      <c r="I21" s="10"/>
      <c r="J21" s="10"/>
      <c r="K21" s="10"/>
      <c r="L21" s="14" t="s">
        <v>258</v>
      </c>
      <c r="M21" s="9" t="str">
        <f>IF(OR(L13="",L29=""),"",+IF(L13&gt;L29,K13,K29))</f>
        <v/>
      </c>
      <c r="N21" s="17"/>
      <c r="O21" s="10"/>
      <c r="T21">
        <v>17</v>
      </c>
      <c r="U21" s="28" t="s">
        <v>160</v>
      </c>
      <c r="V21" t="s">
        <v>77</v>
      </c>
      <c r="W21" s="29" t="s">
        <v>161</v>
      </c>
      <c r="Z21" s="34"/>
      <c r="AA21" s="40"/>
      <c r="AB21" s="40"/>
      <c r="AC21" s="38" t="s">
        <v>159</v>
      </c>
      <c r="AD21" s="48">
        <v>13</v>
      </c>
      <c r="AE21" s="53">
        <f t="shared" ca="1" si="2"/>
        <v>0</v>
      </c>
      <c r="AF21" s="37" t="s">
        <v>157</v>
      </c>
      <c r="AG21" s="65">
        <f t="shared" ca="1" si="3"/>
        <v>0</v>
      </c>
      <c r="AH21" s="74"/>
    </row>
    <row r="22" spans="4:34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 t="s">
        <v>81</v>
      </c>
      <c r="V22" t="s">
        <v>77</v>
      </c>
      <c r="W22" s="29" t="s">
        <v>162</v>
      </c>
      <c r="Z22" s="34"/>
      <c r="AA22" s="40"/>
      <c r="AB22" s="40"/>
      <c r="AC22" s="38" t="s">
        <v>159</v>
      </c>
      <c r="AD22" s="48">
        <v>14</v>
      </c>
      <c r="AE22" s="53">
        <f t="shared" ca="1" si="2"/>
        <v>0</v>
      </c>
      <c r="AF22" s="37" t="s">
        <v>157</v>
      </c>
      <c r="AG22" s="65">
        <f t="shared" ca="1" si="3"/>
        <v>0</v>
      </c>
      <c r="AH22" s="74"/>
    </row>
    <row r="23" spans="4:34" ht="13" thickBot="1">
      <c r="E23" s="12"/>
      <c r="F23" s="13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28" t="s">
        <v>163</v>
      </c>
      <c r="V23" t="s">
        <v>77</v>
      </c>
      <c r="W23" s="29" t="s">
        <v>84</v>
      </c>
      <c r="Z23" s="34"/>
      <c r="AA23" s="40"/>
      <c r="AB23" s="40"/>
      <c r="AC23" s="38" t="s">
        <v>159</v>
      </c>
      <c r="AD23" s="48">
        <v>15</v>
      </c>
      <c r="AE23" s="53">
        <f t="shared" ca="1" si="2"/>
        <v>0</v>
      </c>
      <c r="AF23" s="37" t="s">
        <v>157</v>
      </c>
      <c r="AG23" s="65">
        <f t="shared" ca="1" si="3"/>
        <v>0</v>
      </c>
      <c r="AH23" s="74"/>
    </row>
    <row r="24" spans="4:34" ht="13" thickBot="1">
      <c r="D24">
        <v>9</v>
      </c>
      <c r="E24" s="9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28" t="s">
        <v>164</v>
      </c>
      <c r="V24" t="s">
        <v>77</v>
      </c>
      <c r="W24" s="29" t="s">
        <v>86</v>
      </c>
      <c r="Z24" s="34"/>
      <c r="AA24" s="40"/>
      <c r="AB24" s="40"/>
      <c r="AC24" s="38" t="s">
        <v>159</v>
      </c>
      <c r="AD24" s="48">
        <v>16</v>
      </c>
      <c r="AE24" s="53">
        <f t="shared" ca="1" si="2"/>
        <v>0</v>
      </c>
      <c r="AF24" s="37" t="s">
        <v>157</v>
      </c>
      <c r="AG24" s="65" t="str">
        <f t="shared" ca="1" si="3"/>
        <v>Venc.J1</v>
      </c>
      <c r="AH24" s="74"/>
    </row>
    <row r="25" spans="4:34" ht="13" thickBot="1">
      <c r="E25" s="10"/>
      <c r="F25" s="10"/>
      <c r="G25" s="10"/>
      <c r="H25" s="14" t="s">
        <v>238</v>
      </c>
      <c r="I25" s="9" t="str">
        <f>IF(OR(H23="",H27=""),"",+IF(H23&gt;H27,G23,G27))</f>
        <v/>
      </c>
      <c r="J25" s="17"/>
      <c r="K25" s="10"/>
      <c r="L25" s="14"/>
      <c r="M25" s="10"/>
      <c r="N25" s="14"/>
      <c r="O25" s="10"/>
      <c r="T25">
        <v>21</v>
      </c>
      <c r="U25" s="28" t="s">
        <v>87</v>
      </c>
      <c r="V25" t="s">
        <v>77</v>
      </c>
      <c r="W25" s="29" t="s">
        <v>88</v>
      </c>
      <c r="Z25" s="34"/>
      <c r="AA25" s="40"/>
      <c r="AB25" s="40"/>
      <c r="AC25" s="38" t="s">
        <v>159</v>
      </c>
      <c r="AD25" s="48">
        <v>17</v>
      </c>
      <c r="AE25" s="53" t="str">
        <f t="shared" ca="1" si="2"/>
        <v>Venc.J2</v>
      </c>
      <c r="AF25" s="37" t="s">
        <v>157</v>
      </c>
      <c r="AG25" s="65" t="str">
        <f t="shared" ca="1" si="3"/>
        <v>Venc.J3</v>
      </c>
      <c r="AH25" s="74"/>
    </row>
    <row r="26" spans="4:34" ht="13" thickBot="1">
      <c r="D26">
        <v>10</v>
      </c>
      <c r="E26" s="10"/>
      <c r="F26" s="11"/>
      <c r="G26" s="10"/>
      <c r="H26" s="14"/>
      <c r="I26" s="10"/>
      <c r="J26" s="13"/>
      <c r="K26" s="10"/>
      <c r="L26" s="14"/>
      <c r="M26" s="10"/>
      <c r="N26" s="14"/>
      <c r="O26" s="10"/>
      <c r="T26">
        <v>22</v>
      </c>
      <c r="U26" s="28" t="s">
        <v>89</v>
      </c>
      <c r="V26" t="s">
        <v>77</v>
      </c>
      <c r="W26" s="29" t="s">
        <v>90</v>
      </c>
      <c r="Z26" s="34"/>
      <c r="AA26" s="40"/>
      <c r="AB26" s="40"/>
      <c r="AC26" s="38" t="s">
        <v>159</v>
      </c>
      <c r="AD26" s="48">
        <v>18</v>
      </c>
      <c r="AE26" s="53" t="str">
        <f t="shared" ca="1" si="2"/>
        <v>Venc.J4</v>
      </c>
      <c r="AF26" s="37" t="s">
        <v>157</v>
      </c>
      <c r="AG26" s="65" t="str">
        <f t="shared" ca="1" si="3"/>
        <v>Venc.J5</v>
      </c>
      <c r="AH26" s="74"/>
    </row>
    <row r="27" spans="4:34" ht="13" thickBot="1">
      <c r="E27" s="12"/>
      <c r="F27" s="13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 t="s">
        <v>91</v>
      </c>
      <c r="V27" t="s">
        <v>77</v>
      </c>
      <c r="W27" s="29" t="s">
        <v>92</v>
      </c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Venc.J6</v>
      </c>
      <c r="AF27" s="37" t="s">
        <v>157</v>
      </c>
      <c r="AG27" s="65" t="str">
        <f t="shared" ca="1" si="3"/>
        <v>Venc.J7</v>
      </c>
      <c r="AH27" s="74"/>
    </row>
    <row r="28" spans="4:34" ht="13" thickBot="1">
      <c r="D28">
        <v>11</v>
      </c>
      <c r="E28" s="9"/>
      <c r="F28" s="16"/>
      <c r="G28" s="10"/>
      <c r="H28" s="10"/>
      <c r="I28" s="10"/>
      <c r="J28" s="14"/>
      <c r="K28" s="10"/>
      <c r="L28" s="14"/>
      <c r="M28" s="10"/>
      <c r="N28" s="14"/>
      <c r="O28" s="10"/>
      <c r="T28">
        <v>24</v>
      </c>
      <c r="U28" s="28" t="s">
        <v>165</v>
      </c>
      <c r="V28" t="s">
        <v>77</v>
      </c>
      <c r="W28" s="29" t="s">
        <v>94</v>
      </c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Venc.J8</v>
      </c>
      <c r="AF28" s="37" t="s">
        <v>157</v>
      </c>
      <c r="AG28" s="65" t="str">
        <f t="shared" ca="1" si="3"/>
        <v>Venc.J9</v>
      </c>
      <c r="AH28" s="74"/>
    </row>
    <row r="29" spans="4:34" ht="13" thickBot="1">
      <c r="E29" s="10"/>
      <c r="F29" s="10"/>
      <c r="G29" s="10"/>
      <c r="H29" s="10"/>
      <c r="I29" s="10"/>
      <c r="J29" s="14" t="s">
        <v>252</v>
      </c>
      <c r="K29" s="9" t="str">
        <f>IF(OR(J25="",J33=""),"",+IF(J25&gt;J33,I25,I33))</f>
        <v/>
      </c>
      <c r="L29" s="16"/>
      <c r="M29" s="10"/>
      <c r="N29" s="14"/>
      <c r="O29" s="10"/>
      <c r="T29">
        <v>25</v>
      </c>
      <c r="U29" s="28" t="s">
        <v>95</v>
      </c>
      <c r="V29" t="s">
        <v>77</v>
      </c>
      <c r="W29" s="29" t="s">
        <v>96</v>
      </c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Venc.J10</v>
      </c>
      <c r="AF29" s="37" t="s">
        <v>157</v>
      </c>
      <c r="AG29" s="65" t="str">
        <f t="shared" ca="1" si="3"/>
        <v>Venc.J11</v>
      </c>
      <c r="AH29" s="74"/>
    </row>
    <row r="30" spans="4:34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 t="s">
        <v>97</v>
      </c>
      <c r="V30" t="s">
        <v>77</v>
      </c>
      <c r="W30" s="29" t="s">
        <v>98</v>
      </c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Venc.J12</v>
      </c>
      <c r="AF30" s="37" t="s">
        <v>157</v>
      </c>
      <c r="AG30" s="65" t="str">
        <f t="shared" ca="1" si="3"/>
        <v>Venc.J13</v>
      </c>
      <c r="AH30" s="74"/>
    </row>
    <row r="31" spans="4:34" ht="13" thickBot="1">
      <c r="E31" s="12"/>
      <c r="F31" s="13" t="s">
        <v>212</v>
      </c>
      <c r="G31" s="9" t="str">
        <f>IF(OR(F30="",F32=""),"",+IF(F30&gt;F32,E30,E32))</f>
        <v/>
      </c>
      <c r="H31" s="17"/>
      <c r="I31" s="10"/>
      <c r="J31" s="14"/>
      <c r="K31" s="10"/>
      <c r="L31" s="10"/>
      <c r="M31" s="10"/>
      <c r="N31" s="14"/>
      <c r="O31" s="10"/>
      <c r="T31">
        <v>27</v>
      </c>
      <c r="U31" s="28" t="s">
        <v>99</v>
      </c>
      <c r="V31" t="s">
        <v>77</v>
      </c>
      <c r="W31" s="29" t="s">
        <v>100</v>
      </c>
      <c r="Z31" s="34"/>
      <c r="AA31" s="40"/>
      <c r="AB31" s="40"/>
      <c r="AC31" s="38" t="s">
        <v>159</v>
      </c>
      <c r="AD31" s="48">
        <v>23</v>
      </c>
      <c r="AE31" s="53" t="str">
        <f t="shared" ref="AE31:AE39" ca="1" si="4">LOOKUP(AD31,T$5:T$78,U$5:U$40)</f>
        <v>Venc.J14</v>
      </c>
      <c r="AF31" s="37" t="s">
        <v>157</v>
      </c>
      <c r="AG31" s="65" t="str">
        <f t="shared" ref="AG31:AG39" ca="1" si="5">LOOKUP(AD31,T$5:T$78,W$5:W$41)</f>
        <v>Venc.J15</v>
      </c>
      <c r="AH31" s="74"/>
    </row>
    <row r="32" spans="4:34" ht="13" thickBot="1">
      <c r="D32">
        <v>13</v>
      </c>
      <c r="E32" s="9"/>
      <c r="F32" s="16"/>
      <c r="G32" s="10"/>
      <c r="H32" s="14"/>
      <c r="I32" s="10"/>
      <c r="J32" s="14"/>
      <c r="K32" s="10"/>
      <c r="L32" s="10"/>
      <c r="M32" s="10"/>
      <c r="N32" s="14"/>
      <c r="O32" s="10"/>
      <c r="T32">
        <v>28</v>
      </c>
      <c r="U32" s="28" t="s">
        <v>101</v>
      </c>
      <c r="V32" t="s">
        <v>77</v>
      </c>
      <c r="W32" s="29" t="s">
        <v>102</v>
      </c>
      <c r="Z32" s="34"/>
      <c r="AA32" s="40"/>
      <c r="AB32" s="40"/>
      <c r="AC32" s="38" t="s">
        <v>159</v>
      </c>
      <c r="AD32" s="48">
        <v>24</v>
      </c>
      <c r="AE32" s="53" t="str">
        <f t="shared" ca="1" si="4"/>
        <v>Venc.J16</v>
      </c>
      <c r="AF32" s="37" t="s">
        <v>157</v>
      </c>
      <c r="AG32" s="65" t="str">
        <f t="shared" ca="1" si="5"/>
        <v>Venc.J17</v>
      </c>
      <c r="AH32" s="74"/>
    </row>
    <row r="33" spans="4:34" ht="13" thickBot="1">
      <c r="E33" s="10"/>
      <c r="F33" s="10"/>
      <c r="G33" s="10"/>
      <c r="H33" s="14" t="s">
        <v>240</v>
      </c>
      <c r="I33" s="9" t="str">
        <f>IF(OR(H31="",H35=""),"",+IF(H31&gt;H35,G31,G35))</f>
        <v/>
      </c>
      <c r="J33" s="16"/>
      <c r="K33" s="10"/>
      <c r="L33" s="10"/>
      <c r="M33" s="10"/>
      <c r="N33" s="14"/>
      <c r="O33" s="10"/>
      <c r="T33">
        <v>29</v>
      </c>
      <c r="U33" s="28" t="s">
        <v>103</v>
      </c>
      <c r="V33" t="s">
        <v>77</v>
      </c>
      <c r="W33" s="29" t="s">
        <v>104</v>
      </c>
      <c r="Z33" s="34"/>
      <c r="AA33" s="40"/>
      <c r="AB33" s="40"/>
      <c r="AC33" s="38" t="s">
        <v>159</v>
      </c>
      <c r="AD33" s="48">
        <v>25</v>
      </c>
      <c r="AE33" s="53" t="str">
        <f t="shared" ca="1" si="4"/>
        <v>Venc.J18</v>
      </c>
      <c r="AF33" s="37" t="s">
        <v>157</v>
      </c>
      <c r="AG33" s="65" t="str">
        <f t="shared" ca="1" si="5"/>
        <v>Venc.J19</v>
      </c>
      <c r="AH33" s="74"/>
    </row>
    <row r="34" spans="4:34" ht="13" thickBot="1">
      <c r="D34">
        <v>14</v>
      </c>
      <c r="E34" s="10"/>
      <c r="F34" s="11"/>
      <c r="G34" s="10"/>
      <c r="H34" s="14"/>
      <c r="I34" s="10"/>
      <c r="J34" s="10"/>
      <c r="K34" s="10"/>
      <c r="L34" s="10"/>
      <c r="M34" s="10"/>
      <c r="N34" s="14"/>
      <c r="O34" s="10"/>
      <c r="T34">
        <v>30</v>
      </c>
      <c r="U34" s="71" t="s">
        <v>306</v>
      </c>
      <c r="V34" t="s">
        <v>77</v>
      </c>
      <c r="W34" s="72" t="s">
        <v>307</v>
      </c>
      <c r="Z34" s="34"/>
      <c r="AA34" s="40"/>
      <c r="AB34" s="40"/>
      <c r="AC34" s="38" t="s">
        <v>159</v>
      </c>
      <c r="AD34" s="48">
        <v>26</v>
      </c>
      <c r="AE34" s="53" t="str">
        <f t="shared" ca="1" si="4"/>
        <v>Venc.J20</v>
      </c>
      <c r="AF34" s="37" t="s">
        <v>157</v>
      </c>
      <c r="AG34" s="65" t="str">
        <f t="shared" ca="1" si="5"/>
        <v>Venc.J21</v>
      </c>
      <c r="AH34" s="74"/>
    </row>
    <row r="35" spans="4:34" ht="13" thickBot="1">
      <c r="E35" s="12"/>
      <c r="F35" s="13" t="s">
        <v>214</v>
      </c>
      <c r="G35" s="9" t="str">
        <f>IF(OR(F34="",F36=""),"",+IF(F34&gt;F36,E34,E36))</f>
        <v/>
      </c>
      <c r="H35" s="16"/>
      <c r="I35" s="10"/>
      <c r="J35" s="10"/>
      <c r="K35" s="10"/>
      <c r="L35" s="10"/>
      <c r="M35" s="10"/>
      <c r="N35" s="14"/>
      <c r="O35" s="10"/>
      <c r="T35">
        <v>31</v>
      </c>
      <c r="U35" s="28" t="s">
        <v>105</v>
      </c>
      <c r="V35" t="s">
        <v>77</v>
      </c>
      <c r="W35" s="29" t="s">
        <v>106</v>
      </c>
      <c r="Z35" s="34"/>
      <c r="AA35" s="40"/>
      <c r="AB35" s="40"/>
      <c r="AC35" s="38" t="s">
        <v>159</v>
      </c>
      <c r="AD35" s="48">
        <v>27</v>
      </c>
      <c r="AE35" s="53" t="str">
        <f t="shared" ca="1" si="4"/>
        <v>Venc.J22</v>
      </c>
      <c r="AF35" s="37" t="s">
        <v>157</v>
      </c>
      <c r="AG35" s="65" t="str">
        <f t="shared" ca="1" si="5"/>
        <v>Venc.J23</v>
      </c>
      <c r="AH35" s="74"/>
    </row>
    <row r="36" spans="4:34" ht="13" thickBot="1">
      <c r="D36">
        <v>15</v>
      </c>
      <c r="E36" s="9"/>
      <c r="F36" s="16"/>
      <c r="G36" s="10"/>
      <c r="H36" s="10"/>
      <c r="I36" s="10"/>
      <c r="J36" s="10"/>
      <c r="K36" s="10"/>
      <c r="L36" s="10"/>
      <c r="M36" s="10"/>
      <c r="N36" s="14"/>
      <c r="O36" s="10"/>
      <c r="U36" s="29"/>
      <c r="W36" s="28"/>
      <c r="Z36" s="34"/>
      <c r="AA36" s="40"/>
      <c r="AB36" s="40"/>
      <c r="AC36" s="38" t="s">
        <v>159</v>
      </c>
      <c r="AD36" s="48">
        <v>28</v>
      </c>
      <c r="AE36" s="53" t="str">
        <f t="shared" ca="1" si="4"/>
        <v>Venc.J24</v>
      </c>
      <c r="AF36" s="37" t="s">
        <v>157</v>
      </c>
      <c r="AG36" s="65" t="str">
        <f t="shared" ca="1" si="5"/>
        <v>Venc.J25</v>
      </c>
      <c r="AH36" s="74"/>
    </row>
    <row r="37" spans="4:34" ht="13" thickBot="1">
      <c r="E37" s="10"/>
      <c r="F37" s="10"/>
      <c r="G37" s="10"/>
      <c r="H37" s="10"/>
      <c r="I37" s="10"/>
      <c r="J37" s="10"/>
      <c r="K37" s="10"/>
      <c r="L37" s="10"/>
      <c r="M37" s="77" t="s">
        <v>278</v>
      </c>
      <c r="N37" s="70" t="s">
        <v>205</v>
      </c>
      <c r="O37" s="9" t="str">
        <f>IF(OR(N21="",N53=""),"",+IF(N21&gt;N53,M21,M53))</f>
        <v/>
      </c>
      <c r="U37" s="29"/>
      <c r="Z37" s="34"/>
      <c r="AA37" s="40"/>
      <c r="AB37" s="40"/>
      <c r="AC37" s="38" t="s">
        <v>159</v>
      </c>
      <c r="AD37" s="48">
        <v>29</v>
      </c>
      <c r="AE37" s="53" t="str">
        <f t="shared" ca="1" si="4"/>
        <v>Venc.J26</v>
      </c>
      <c r="AF37" s="37" t="s">
        <v>157</v>
      </c>
      <c r="AG37" s="65" t="str">
        <f t="shared" ca="1" si="5"/>
        <v>Venc.J27</v>
      </c>
      <c r="AH37" s="74"/>
    </row>
    <row r="38" spans="4:34" ht="13" thickBot="1">
      <c r="D38">
        <v>16</v>
      </c>
      <c r="E38" s="10"/>
      <c r="F38" s="11"/>
      <c r="G38" s="10"/>
      <c r="H38" s="10"/>
      <c r="I38" s="10"/>
      <c r="J38" s="10"/>
      <c r="K38" s="10"/>
      <c r="L38" s="10"/>
      <c r="M38" s="10"/>
      <c r="N38" s="14"/>
      <c r="O38" s="10"/>
      <c r="Z38" s="34"/>
      <c r="AA38" s="40"/>
      <c r="AB38" s="40"/>
      <c r="AC38" s="38" t="s">
        <v>159</v>
      </c>
      <c r="AD38" s="48">
        <v>30</v>
      </c>
      <c r="AE38" s="53" t="str">
        <f t="shared" ca="1" si="4"/>
        <v>Perd.J28</v>
      </c>
      <c r="AF38" s="37" t="s">
        <v>157</v>
      </c>
      <c r="AG38" s="65" t="str">
        <f t="shared" ca="1" si="5"/>
        <v>Perd.J29</v>
      </c>
      <c r="AH38" s="74"/>
    </row>
    <row r="39" spans="4:34" ht="13" thickBot="1">
      <c r="E39" s="12"/>
      <c r="F39" s="13" t="s">
        <v>217</v>
      </c>
      <c r="G39" s="9" t="str">
        <f>IF(OR(F38="",F40=""),"",+IF(F38&gt;F40,E38,E40))</f>
        <v/>
      </c>
      <c r="H39" s="17"/>
      <c r="I39" s="10"/>
      <c r="J39" s="10"/>
      <c r="K39" s="10"/>
      <c r="L39" s="10"/>
      <c r="M39" s="10"/>
      <c r="N39" s="14"/>
      <c r="O39" s="10"/>
      <c r="U39" s="29"/>
      <c r="Z39" s="34"/>
      <c r="AA39" s="40"/>
      <c r="AB39" s="40"/>
      <c r="AC39" s="38" t="s">
        <v>159</v>
      </c>
      <c r="AD39" s="48">
        <v>31</v>
      </c>
      <c r="AE39" s="53" t="str">
        <f t="shared" ca="1" si="4"/>
        <v>Venc.J28</v>
      </c>
      <c r="AF39" s="37" t="s">
        <v>157</v>
      </c>
      <c r="AG39" s="65" t="str">
        <f t="shared" ca="1" si="5"/>
        <v>Venc.J29</v>
      </c>
      <c r="AH39" s="74"/>
    </row>
    <row r="40" spans="4:34" ht="13" thickBot="1">
      <c r="D40">
        <v>17</v>
      </c>
      <c r="E40" s="9"/>
      <c r="F40" s="16"/>
      <c r="G40" s="10"/>
      <c r="H40" s="14"/>
      <c r="I40" s="10"/>
      <c r="J40" s="10"/>
      <c r="K40" s="10"/>
      <c r="L40" s="10"/>
      <c r="M40" s="10"/>
      <c r="N40" s="14"/>
      <c r="O40" s="10"/>
      <c r="Z40" s="42"/>
      <c r="AA40" s="43"/>
      <c r="AB40" s="43"/>
      <c r="AC40" s="43"/>
      <c r="AD40" s="61"/>
      <c r="AE40" s="62"/>
      <c r="AF40" s="63"/>
      <c r="AG40" s="60"/>
      <c r="AH40" s="75"/>
    </row>
    <row r="41" spans="4:34" ht="13" thickBot="1">
      <c r="E41" s="10"/>
      <c r="F41" s="10"/>
      <c r="G41" s="10"/>
      <c r="H41" s="14" t="s">
        <v>242</v>
      </c>
      <c r="I41" s="9" t="str">
        <f>IF(OR(H39="",H43=""),"",+IF(H39&gt;H43,G39,G43))</f>
        <v/>
      </c>
      <c r="J41" s="17"/>
      <c r="K41" s="10"/>
      <c r="L41" s="10"/>
      <c r="M41" s="10"/>
      <c r="N41" s="14"/>
      <c r="O41" s="10"/>
    </row>
    <row r="42" spans="4:34" ht="13" thickBot="1">
      <c r="D42">
        <v>18</v>
      </c>
      <c r="E42" s="10"/>
      <c r="F42" s="11"/>
      <c r="G42" s="10"/>
      <c r="H42" s="14"/>
      <c r="I42" s="10"/>
      <c r="J42" s="13"/>
      <c r="K42" s="10"/>
      <c r="L42" s="10"/>
      <c r="M42" s="10"/>
      <c r="N42" s="14"/>
      <c r="O42" s="10"/>
    </row>
    <row r="43" spans="4:34" ht="13" thickBot="1">
      <c r="E43" s="12"/>
      <c r="F43" s="13" t="s">
        <v>219</v>
      </c>
      <c r="G43" s="9" t="str">
        <f>IF(OR(F42="",F44=""),"",+IF(F42&gt;F44,E42,E44))</f>
        <v/>
      </c>
      <c r="H43" s="16"/>
      <c r="I43" s="10"/>
      <c r="J43" s="14"/>
      <c r="K43" s="10"/>
      <c r="L43" s="10"/>
      <c r="M43" s="10"/>
      <c r="N43" s="14"/>
      <c r="O43" s="10"/>
    </row>
    <row r="44" spans="4:34" ht="13" thickBot="1">
      <c r="D44">
        <v>19</v>
      </c>
      <c r="E44" s="9"/>
      <c r="F44" s="16"/>
      <c r="G44" s="10"/>
      <c r="H44" s="10"/>
      <c r="I44" s="10"/>
      <c r="J44" s="14"/>
      <c r="K44" s="10"/>
      <c r="L44" s="10"/>
      <c r="M44" s="10"/>
      <c r="N44" s="14"/>
      <c r="O44" s="10"/>
    </row>
    <row r="45" spans="4:34" ht="13" thickBot="1">
      <c r="E45" s="10"/>
      <c r="F45" s="10"/>
      <c r="G45" s="10"/>
      <c r="H45" s="10"/>
      <c r="I45" s="10"/>
      <c r="J45" s="14" t="s">
        <v>254</v>
      </c>
      <c r="K45" s="9" t="str">
        <f>IF(OR(J41="",J49=""),"",+IF(J41&gt;J49,I41,I49))</f>
        <v/>
      </c>
      <c r="L45" s="17"/>
      <c r="M45" s="10"/>
      <c r="N45" s="14"/>
      <c r="O45" s="10"/>
    </row>
    <row r="46" spans="4:34" ht="13" thickBot="1">
      <c r="D46">
        <v>20</v>
      </c>
      <c r="E46" s="10"/>
      <c r="F46" s="11"/>
      <c r="G46" s="10"/>
      <c r="H46" s="10"/>
      <c r="I46" s="10"/>
      <c r="J46" s="14"/>
      <c r="K46" s="10"/>
      <c r="L46" s="13"/>
      <c r="M46" s="10"/>
      <c r="N46" s="14"/>
      <c r="O46" s="10"/>
    </row>
    <row r="47" spans="4:34" ht="13" thickBot="1">
      <c r="E47" s="12"/>
      <c r="F47" s="13" t="s">
        <v>221</v>
      </c>
      <c r="G47" s="9" t="str">
        <f>IF(OR(F46="",F48=""),"",+IF(F46&gt;F48,E46,E48))</f>
        <v/>
      </c>
      <c r="H47" s="17"/>
      <c r="I47" s="10"/>
      <c r="J47" s="14"/>
      <c r="K47" s="10"/>
      <c r="L47" s="14"/>
      <c r="M47" s="10"/>
      <c r="N47" s="14"/>
      <c r="O47" s="10"/>
    </row>
    <row r="48" spans="4:34" ht="13" thickBot="1">
      <c r="D48">
        <v>21</v>
      </c>
      <c r="E48" s="9"/>
      <c r="F48" s="16"/>
      <c r="G48" s="10"/>
      <c r="H48" s="14"/>
      <c r="I48" s="10"/>
      <c r="J48" s="14"/>
      <c r="K48" s="10"/>
      <c r="L48" s="14"/>
      <c r="M48" s="10"/>
      <c r="N48" s="14"/>
      <c r="O48" s="10"/>
    </row>
    <row r="49" spans="4:15" ht="13" thickBot="1">
      <c r="E49" s="10"/>
      <c r="F49" s="10"/>
      <c r="G49" s="10"/>
      <c r="H49" s="14" t="s">
        <v>244</v>
      </c>
      <c r="I49" s="9" t="str">
        <f>IF(OR(H47="",H51=""),"",+IF(H47&gt;H51,G47,G51))</f>
        <v/>
      </c>
      <c r="J49" s="16"/>
      <c r="K49" s="10"/>
      <c r="L49" s="14"/>
      <c r="M49" s="10"/>
      <c r="N49" s="14"/>
      <c r="O49" s="10"/>
    </row>
    <row r="50" spans="4:15" ht="13" thickBot="1">
      <c r="D50">
        <v>22</v>
      </c>
      <c r="E50" s="10"/>
      <c r="F50" s="11"/>
      <c r="G50" s="10"/>
      <c r="H50" s="14"/>
      <c r="I50" s="10"/>
      <c r="J50" s="10"/>
      <c r="K50" s="10"/>
      <c r="L50" s="14"/>
      <c r="M50" s="10"/>
      <c r="N50" s="14"/>
      <c r="O50" s="10"/>
    </row>
    <row r="51" spans="4:15" ht="13" thickBot="1">
      <c r="E51" s="12"/>
      <c r="F51" s="13" t="s">
        <v>223</v>
      </c>
      <c r="G51" s="9" t="str">
        <f>IF(OR(F50="",F52=""),"",+IF(F50&gt;F52,E50,E52))</f>
        <v/>
      </c>
      <c r="H51" s="16"/>
      <c r="I51" s="10"/>
      <c r="J51" s="10"/>
      <c r="K51" s="10"/>
      <c r="L51" s="14"/>
      <c r="M51" s="10"/>
      <c r="N51" s="14"/>
      <c r="O51" s="10"/>
    </row>
    <row r="52" spans="4:15" ht="13" thickBot="1">
      <c r="D52">
        <v>23</v>
      </c>
      <c r="E52" s="9"/>
      <c r="F52" s="16"/>
      <c r="G52" s="10"/>
      <c r="H52" s="10"/>
      <c r="I52" s="10"/>
      <c r="J52" s="10"/>
      <c r="K52" s="10"/>
      <c r="L52" s="14"/>
      <c r="M52" s="10"/>
      <c r="N52" s="14"/>
      <c r="O52" s="10"/>
    </row>
    <row r="53" spans="4:15" ht="13" thickBot="1">
      <c r="E53" s="10"/>
      <c r="F53" s="10"/>
      <c r="G53" s="10"/>
      <c r="H53" s="10"/>
      <c r="I53" s="10"/>
      <c r="J53" s="10"/>
      <c r="K53" s="10"/>
      <c r="L53" s="14" t="s">
        <v>260</v>
      </c>
      <c r="M53" s="9" t="str">
        <f>IF(OR(L45="",L61=""),"",+IF(L45&gt;L61,K45,K61))</f>
        <v/>
      </c>
      <c r="N53" s="16"/>
      <c r="O53" s="10"/>
    </row>
    <row r="54" spans="4:15" ht="13" thickBot="1">
      <c r="D54">
        <v>24</v>
      </c>
      <c r="E54" s="10"/>
      <c r="F54" s="11"/>
      <c r="G54" s="10"/>
      <c r="H54" s="10"/>
      <c r="I54" s="10"/>
      <c r="J54" s="10"/>
      <c r="K54" s="10"/>
      <c r="L54" s="14"/>
      <c r="M54" s="10"/>
      <c r="N54" s="10"/>
      <c r="O54" s="10"/>
    </row>
    <row r="55" spans="4:15" ht="13" thickBot="1">
      <c r="E55" s="12"/>
      <c r="F55" s="13" t="s">
        <v>225</v>
      </c>
      <c r="G55" s="9" t="str">
        <f>IF(OR(F54="",F56=""),"",+IF(F54&gt;F56,E54,E56))</f>
        <v/>
      </c>
      <c r="H55" s="17"/>
      <c r="I55" s="10"/>
      <c r="J55" s="10"/>
      <c r="K55" s="10"/>
      <c r="L55" s="14"/>
      <c r="M55" s="10"/>
      <c r="N55" s="10"/>
      <c r="O55" s="10"/>
    </row>
    <row r="56" spans="4:15" ht="13" thickBot="1">
      <c r="D56">
        <v>25</v>
      </c>
      <c r="E56" s="9"/>
      <c r="F56" s="16"/>
      <c r="G56" s="10"/>
      <c r="H56" s="14"/>
      <c r="I56" s="10"/>
      <c r="J56" s="10"/>
      <c r="K56" s="10"/>
      <c r="L56" s="14"/>
      <c r="M56" s="10"/>
      <c r="N56" s="10"/>
      <c r="O56" s="10"/>
    </row>
    <row r="57" spans="4:15" ht="13" thickBot="1">
      <c r="E57" s="10"/>
      <c r="F57" s="10"/>
      <c r="G57" s="10"/>
      <c r="H57" s="14" t="s">
        <v>246</v>
      </c>
      <c r="I57" s="9" t="str">
        <f>IF(OR(H55="",H59=""),"",+IF(H55&gt;H59,G55,G59))</f>
        <v/>
      </c>
      <c r="J57" s="17"/>
      <c r="K57" s="10"/>
      <c r="L57" s="14"/>
      <c r="M57" s="10"/>
      <c r="N57" s="10"/>
      <c r="O57" s="10"/>
    </row>
    <row r="58" spans="4:15" ht="13" thickBot="1">
      <c r="D58">
        <v>26</v>
      </c>
      <c r="E58" s="10"/>
      <c r="F58" s="11"/>
      <c r="G58" s="10"/>
      <c r="H58" s="14"/>
      <c r="I58" s="10"/>
      <c r="J58" s="13"/>
      <c r="K58" s="10"/>
      <c r="L58" s="14"/>
      <c r="M58" s="10"/>
      <c r="N58" s="10"/>
      <c r="O58" s="10"/>
    </row>
    <row r="59" spans="4:15" ht="13" thickBot="1">
      <c r="E59" s="12"/>
      <c r="F59" s="13" t="s">
        <v>227</v>
      </c>
      <c r="G59" s="9" t="str">
        <f>IF(OR(F58="",F60=""),"",+IF(F58&gt;F60,E58,E60))</f>
        <v/>
      </c>
      <c r="H59" s="16"/>
      <c r="I59" s="10"/>
      <c r="J59" s="14"/>
      <c r="K59" s="10"/>
      <c r="L59" s="14"/>
      <c r="M59" s="10"/>
      <c r="N59" s="10"/>
      <c r="O59" s="10"/>
    </row>
    <row r="60" spans="4:15" ht="13" thickBot="1">
      <c r="D60">
        <v>27</v>
      </c>
      <c r="E60" s="9"/>
      <c r="F60" s="16"/>
      <c r="G60" s="10"/>
      <c r="H60" s="10"/>
      <c r="I60" s="10"/>
      <c r="J60" s="14"/>
      <c r="K60" s="10"/>
      <c r="L60" s="14"/>
      <c r="M60" s="10"/>
      <c r="N60" s="10"/>
      <c r="O60" s="10"/>
    </row>
    <row r="61" spans="4:15" ht="13" thickBot="1">
      <c r="E61" s="10"/>
      <c r="F61" s="10"/>
      <c r="G61" s="10"/>
      <c r="H61" s="10"/>
      <c r="I61" s="10"/>
      <c r="J61" s="14" t="s">
        <v>256</v>
      </c>
      <c r="K61" s="9" t="str">
        <f>IF(OR(J57="",J65=""),"",+IF(J57&gt;J65,I57,I65))</f>
        <v/>
      </c>
      <c r="L61" s="16"/>
      <c r="M61" s="10"/>
      <c r="N61" s="10"/>
      <c r="O61" s="10"/>
    </row>
    <row r="62" spans="4:15" ht="13" thickBot="1">
      <c r="D62">
        <v>28</v>
      </c>
      <c r="E62" s="10"/>
      <c r="F62" s="11"/>
      <c r="G62" s="10"/>
      <c r="H62" s="10"/>
      <c r="I62" s="10"/>
      <c r="J62" s="14"/>
      <c r="K62" s="10"/>
      <c r="L62" s="10"/>
      <c r="M62" s="10"/>
      <c r="N62" s="10"/>
      <c r="O62" s="10"/>
    </row>
    <row r="63" spans="4:15" ht="13" thickBot="1">
      <c r="E63" s="12"/>
      <c r="F63" s="13" t="s">
        <v>229</v>
      </c>
      <c r="G63" s="9" t="str">
        <f>IF(OR(F62="",F64=""),"",+IF(F62&gt;F64,E62,E64))</f>
        <v/>
      </c>
      <c r="H63" s="17"/>
      <c r="I63" s="10"/>
      <c r="J63" s="14"/>
      <c r="K63" s="10"/>
      <c r="L63" s="10"/>
      <c r="M63" s="10"/>
      <c r="N63" s="10"/>
      <c r="O63" s="10"/>
    </row>
    <row r="64" spans="4:15" ht="13" thickBot="1">
      <c r="D64">
        <v>29</v>
      </c>
      <c r="E64" s="9"/>
      <c r="F64" s="16"/>
      <c r="G64" s="10"/>
      <c r="H64" s="14"/>
      <c r="I64" s="10"/>
      <c r="J64" s="14"/>
      <c r="K64" s="10"/>
      <c r="L64" s="10"/>
      <c r="M64" s="10"/>
      <c r="N64" s="10"/>
      <c r="O64" s="10"/>
    </row>
    <row r="65" spans="4:15" ht="13" thickBot="1">
      <c r="E65" s="10"/>
      <c r="F65" s="10"/>
      <c r="G65" s="10"/>
      <c r="H65" s="14" t="s">
        <v>248</v>
      </c>
      <c r="I65" s="9" t="str">
        <f>IF(OR(H63="",H67=""),"",+IF(H63&gt;H67,G63,G67))</f>
        <v/>
      </c>
      <c r="J65" s="16"/>
      <c r="K65" s="10"/>
      <c r="L65" s="10"/>
      <c r="M65" s="10"/>
      <c r="N65" s="10"/>
      <c r="O65" s="10"/>
    </row>
    <row r="66" spans="4:15" ht="13" thickBot="1">
      <c r="D66">
        <v>30</v>
      </c>
      <c r="E66" s="10"/>
      <c r="F66" s="11"/>
      <c r="G66" s="10"/>
      <c r="H66" s="14"/>
      <c r="I66" s="10"/>
      <c r="J66" s="10"/>
      <c r="K66" s="10"/>
      <c r="L66" s="10"/>
      <c r="M66" s="9" t="str">
        <f>IF(OR(M21="",M53=""),"",+IF(L13&gt;L29,K29,K13))</f>
        <v/>
      </c>
      <c r="N66" s="17"/>
      <c r="O66" s="10"/>
    </row>
    <row r="67" spans="4:15" ht="13" thickBot="1">
      <c r="E67" s="12"/>
      <c r="F67" s="13" t="s">
        <v>232</v>
      </c>
      <c r="G67" s="9" t="str">
        <f>IF(OR(F66="",F68=""),"",+IF(F66&gt;F68,E66,E68))</f>
        <v/>
      </c>
      <c r="H67" s="16"/>
      <c r="I67" s="10"/>
      <c r="J67" s="10"/>
      <c r="K67" s="10"/>
      <c r="L67" s="10"/>
      <c r="M67" s="10"/>
      <c r="N67" s="13"/>
      <c r="O67" s="10"/>
    </row>
    <row r="68" spans="4:15" ht="13" thickBot="1">
      <c r="D68">
        <v>31</v>
      </c>
      <c r="E68" s="9"/>
      <c r="F68" s="16"/>
      <c r="G68" s="10"/>
      <c r="H68" s="10"/>
      <c r="I68" s="10"/>
      <c r="J68" s="10"/>
      <c r="K68" s="10"/>
      <c r="L68" s="10"/>
      <c r="M68" s="10"/>
      <c r="N68" s="14"/>
      <c r="O68" s="10"/>
    </row>
    <row r="69" spans="4:15">
      <c r="M69" s="10"/>
      <c r="N69" s="14"/>
      <c r="O69" s="10"/>
    </row>
    <row r="70" spans="4:15">
      <c r="M70" s="10"/>
      <c r="N70" s="14"/>
      <c r="O70" s="10"/>
    </row>
    <row r="71" spans="4:15">
      <c r="M71" s="10"/>
      <c r="N71" s="14"/>
      <c r="O71" s="10"/>
    </row>
    <row r="72" spans="4:15">
      <c r="M72" s="10"/>
      <c r="N72" s="14"/>
      <c r="O72" s="10"/>
    </row>
    <row r="73" spans="4:15">
      <c r="M73" s="10"/>
      <c r="N73" s="14"/>
      <c r="O73" s="10"/>
    </row>
    <row r="74" spans="4:15" ht="13" thickBot="1">
      <c r="M74" s="77" t="s">
        <v>279</v>
      </c>
      <c r="N74" s="70" t="s">
        <v>201</v>
      </c>
      <c r="O74" s="9" t="str">
        <f>IF(OR(N66="",N82=""),"",+IF(N66&gt;N82,M66,M82))</f>
        <v/>
      </c>
    </row>
    <row r="75" spans="4:15">
      <c r="M75" s="10"/>
      <c r="N75" s="14"/>
      <c r="O75" s="10"/>
    </row>
    <row r="76" spans="4:15">
      <c r="M76" s="10"/>
      <c r="N76" s="14"/>
      <c r="O76" s="10"/>
    </row>
    <row r="77" spans="4:15">
      <c r="M77" s="10"/>
      <c r="N77" s="14"/>
      <c r="O77" s="10"/>
    </row>
    <row r="78" spans="4:15">
      <c r="M78" s="10"/>
      <c r="N78" s="14"/>
      <c r="O78" s="10"/>
    </row>
    <row r="79" spans="4:15">
      <c r="M79" s="10"/>
      <c r="N79" s="14"/>
      <c r="O79" s="10"/>
    </row>
    <row r="80" spans="4:15">
      <c r="M80" s="10"/>
      <c r="N80" s="14"/>
      <c r="O80" s="10"/>
    </row>
    <row r="81" spans="13:15">
      <c r="M81" s="10"/>
      <c r="N81" s="14"/>
      <c r="O81" s="10"/>
    </row>
    <row r="82" spans="13:15" ht="13" thickBot="1">
      <c r="M82" s="9" t="str">
        <f>IF(OR(M21="",M53=""),"",+IF(L45&gt;L61,K61,K45))</f>
        <v/>
      </c>
      <c r="N82" s="16"/>
      <c r="O82" s="10"/>
    </row>
    <row r="83" spans="13:15">
      <c r="M83" s="10"/>
      <c r="N83" s="10"/>
      <c r="O83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verticalDpi="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Plan28"/>
  <dimension ref="D4:AH82"/>
  <sheetViews>
    <sheetView showGridLines="0" topLeftCell="A42" zoomScale="75" workbookViewId="0">
      <selection activeCell="I14" sqref="I14"/>
    </sheetView>
  </sheetViews>
  <sheetFormatPr defaultColWidth="9.1171875" defaultRowHeight="12.7"/>
  <cols>
    <col min="4" max="4" width="5.87890625" customWidth="1"/>
    <col min="5" max="5" width="24.1171875" bestFit="1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64453125" customWidth="1"/>
    <col min="13" max="13" width="15.64453125" customWidth="1"/>
    <col min="14" max="14" width="3.64453125" customWidth="1"/>
    <col min="15" max="15" width="16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70" t="s">
        <v>232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LOOKUP(AD9,T$5:T$79,U$5:U$41)</f>
        <v>0</v>
      </c>
      <c r="AF9" s="37" t="s">
        <v>157</v>
      </c>
      <c r="AG9" s="65">
        <f t="shared" ref="AG9:AG19" ca="1" si="1">LOOKUP(AD9,T$5:T$79,W$5:W$42)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2"/>
      <c r="J10" s="13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84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E34</f>
        <v>0</v>
      </c>
      <c r="V11" t="s">
        <v>77</v>
      </c>
      <c r="W11" s="29">
        <f>E36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E38</f>
        <v>0</v>
      </c>
      <c r="V12" t="s">
        <v>77</v>
      </c>
      <c r="W12" s="29">
        <f>E40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 ht="13" thickBot="1">
      <c r="E13" s="10"/>
      <c r="F13" s="10"/>
      <c r="G13" s="10"/>
      <c r="H13" s="10"/>
      <c r="I13" s="10"/>
      <c r="J13" s="70" t="s">
        <v>248</v>
      </c>
      <c r="K13" s="9" t="str">
        <f>IF(OR(J10="",J17=""),"",+IF(J10&gt;J17,I9,I17))</f>
        <v/>
      </c>
      <c r="L13" s="11"/>
      <c r="M13" s="10"/>
      <c r="N13" s="10"/>
      <c r="O13" s="10"/>
      <c r="T13">
        <v>9</v>
      </c>
      <c r="U13" s="28">
        <f>E42</f>
        <v>0</v>
      </c>
      <c r="V13" t="s">
        <v>77</v>
      </c>
      <c r="W13" s="29">
        <f>E44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  <c r="AH13" s="74"/>
    </row>
    <row r="14" spans="4:34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E46</f>
        <v>0</v>
      </c>
      <c r="V14" t="s">
        <v>77</v>
      </c>
      <c r="W14" s="29">
        <f>E48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  <c r="AH14" s="74"/>
    </row>
    <row r="15" spans="4:34" ht="13" thickBot="1">
      <c r="E15" s="12"/>
      <c r="F15" s="84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E50</f>
        <v>0</v>
      </c>
      <c r="V15" t="s">
        <v>77</v>
      </c>
      <c r="W15" s="29">
        <f>E52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  <c r="AH15" s="74"/>
    </row>
    <row r="16" spans="4:34" ht="13" thickBot="1">
      <c r="D16">
        <v>5</v>
      </c>
      <c r="E16" s="10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E54</f>
        <v>0</v>
      </c>
      <c r="V16" t="s">
        <v>77</v>
      </c>
      <c r="W16" s="29">
        <f>E56</f>
        <v>0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  <c r="AH16" s="74"/>
    </row>
    <row r="17" spans="4:34" ht="13" thickBot="1">
      <c r="E17" s="12"/>
      <c r="F17" s="10"/>
      <c r="G17" s="10"/>
      <c r="H17" s="70" t="s">
        <v>234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E58</f>
        <v>0</v>
      </c>
      <c r="V17" t="s">
        <v>77</v>
      </c>
      <c r="W17" s="29">
        <f>E60</f>
        <v>0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  <c r="AH17" s="74"/>
    </row>
    <row r="18" spans="4:34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>
        <f>E62</f>
        <v>0</v>
      </c>
      <c r="V18" t="s">
        <v>77</v>
      </c>
      <c r="W18" s="29">
        <f>E64</f>
        <v>0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>
        <f t="shared" ca="1" si="1"/>
        <v>0</v>
      </c>
      <c r="AH18" s="74"/>
    </row>
    <row r="19" spans="4:34" ht="13" thickBot="1">
      <c r="E19" s="12"/>
      <c r="F19" s="84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>
        <f>E7</f>
        <v>0</v>
      </c>
      <c r="V19" t="s">
        <v>77</v>
      </c>
      <c r="W19" s="29" t="s">
        <v>78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>
        <f t="shared" ca="1" si="1"/>
        <v>0</v>
      </c>
      <c r="AH19" s="74"/>
    </row>
    <row r="20" spans="4:34" ht="13" thickBot="1">
      <c r="D20">
        <v>7</v>
      </c>
      <c r="E20" s="10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 t="s">
        <v>160</v>
      </c>
      <c r="V20" t="s">
        <v>77</v>
      </c>
      <c r="W20" s="29" t="s">
        <v>161</v>
      </c>
      <c r="Z20" s="34"/>
      <c r="AA20" s="40"/>
      <c r="AB20" s="40"/>
      <c r="AC20" s="38" t="s">
        <v>159</v>
      </c>
      <c r="AD20" s="48">
        <v>12</v>
      </c>
      <c r="AE20" s="53">
        <f t="shared" ref="AE20:AE30" ca="1" si="2">LOOKUP(AD20,T$5:T$79,U$5:U$41)</f>
        <v>0</v>
      </c>
      <c r="AF20" s="37" t="s">
        <v>157</v>
      </c>
      <c r="AG20" s="65">
        <f t="shared" ref="AG20:AG30" ca="1" si="3">LOOKUP(AD20,T$5:T$79,W$5:W$42)</f>
        <v>0</v>
      </c>
      <c r="AH20" s="74"/>
    </row>
    <row r="21" spans="4:34" ht="13" thickBot="1">
      <c r="E21" s="12"/>
      <c r="F21" s="10"/>
      <c r="G21" s="10"/>
      <c r="H21" s="10"/>
      <c r="I21" s="10"/>
      <c r="J21" s="10"/>
      <c r="K21" s="10"/>
      <c r="L21" s="70" t="s">
        <v>256</v>
      </c>
      <c r="M21" s="9" t="str">
        <f>IF(OR(L13="",L29=""),"",+IF(L13&gt;L29,K13,K29))</f>
        <v/>
      </c>
      <c r="N21" s="17"/>
      <c r="O21" s="10"/>
      <c r="T21">
        <v>17</v>
      </c>
      <c r="U21" s="28" t="s">
        <v>81</v>
      </c>
      <c r="V21" t="s">
        <v>77</v>
      </c>
      <c r="W21" s="29" t="s">
        <v>162</v>
      </c>
      <c r="Z21" s="34"/>
      <c r="AA21" s="40"/>
      <c r="AB21" s="40"/>
      <c r="AC21" s="38" t="s">
        <v>159</v>
      </c>
      <c r="AD21" s="48">
        <v>13</v>
      </c>
      <c r="AE21" s="53">
        <f t="shared" ca="1" si="2"/>
        <v>0</v>
      </c>
      <c r="AF21" s="37" t="s">
        <v>157</v>
      </c>
      <c r="AG21" s="65">
        <f t="shared" ca="1" si="3"/>
        <v>0</v>
      </c>
      <c r="AH21" s="74"/>
    </row>
    <row r="22" spans="4:34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 t="s">
        <v>163</v>
      </c>
      <c r="V22" t="s">
        <v>77</v>
      </c>
      <c r="W22" s="29" t="s">
        <v>84</v>
      </c>
      <c r="Z22" s="34"/>
      <c r="AA22" s="40"/>
      <c r="AB22" s="40"/>
      <c r="AC22" s="38" t="s">
        <v>159</v>
      </c>
      <c r="AD22" s="48">
        <v>14</v>
      </c>
      <c r="AE22" s="53">
        <f t="shared" ca="1" si="2"/>
        <v>0</v>
      </c>
      <c r="AF22" s="37" t="s">
        <v>157</v>
      </c>
      <c r="AG22" s="65">
        <f t="shared" ca="1" si="3"/>
        <v>0</v>
      </c>
      <c r="AH22" s="74"/>
    </row>
    <row r="23" spans="4:34" ht="13" thickBot="1">
      <c r="E23" s="12"/>
      <c r="F23" s="84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71" t="s">
        <v>164</v>
      </c>
      <c r="W23" s="72" t="s">
        <v>86</v>
      </c>
      <c r="Z23" s="34"/>
      <c r="AA23" s="40"/>
      <c r="AB23" s="40"/>
      <c r="AC23" s="38" t="s">
        <v>159</v>
      </c>
      <c r="AD23" s="48">
        <v>15</v>
      </c>
      <c r="AE23" s="53">
        <f t="shared" ca="1" si="2"/>
        <v>0</v>
      </c>
      <c r="AF23" s="37" t="s">
        <v>157</v>
      </c>
      <c r="AG23" s="65" t="str">
        <f t="shared" ca="1" si="3"/>
        <v>Venc.J1</v>
      </c>
      <c r="AH23" s="74"/>
    </row>
    <row r="24" spans="4:34" ht="13" thickBot="1">
      <c r="D24">
        <v>9</v>
      </c>
      <c r="E24" s="10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71" t="s">
        <v>87</v>
      </c>
      <c r="V24" t="s">
        <v>77</v>
      </c>
      <c r="W24" s="72" t="s">
        <v>88</v>
      </c>
      <c r="Z24" s="34"/>
      <c r="AA24" s="40"/>
      <c r="AB24" s="40"/>
      <c r="AC24" s="38" t="s">
        <v>159</v>
      </c>
      <c r="AD24" s="48">
        <v>16</v>
      </c>
      <c r="AE24" s="53" t="str">
        <f t="shared" ca="1" si="2"/>
        <v>Venc.J2</v>
      </c>
      <c r="AF24" s="37" t="s">
        <v>157</v>
      </c>
      <c r="AG24" s="65" t="str">
        <f t="shared" ca="1" si="3"/>
        <v>Venc.J3</v>
      </c>
      <c r="AH24" s="74"/>
    </row>
    <row r="25" spans="4:34" ht="13" thickBot="1">
      <c r="E25" s="12"/>
      <c r="F25" s="10"/>
      <c r="G25" s="10"/>
      <c r="H25" s="70" t="s">
        <v>236</v>
      </c>
      <c r="I25" s="9" t="str">
        <f>IF(OR(H23="",H27=""),"",+IF(H23&gt;H27,G23,G27))</f>
        <v/>
      </c>
      <c r="J25" s="11"/>
      <c r="K25" s="10"/>
      <c r="L25" s="14"/>
      <c r="M25" s="10"/>
      <c r="N25" s="14"/>
      <c r="O25" s="10"/>
      <c r="T25">
        <v>21</v>
      </c>
      <c r="U25" s="71" t="s">
        <v>89</v>
      </c>
      <c r="V25" t="s">
        <v>77</v>
      </c>
      <c r="W25" s="72" t="s">
        <v>90</v>
      </c>
      <c r="Z25" s="34"/>
      <c r="AA25" s="40"/>
      <c r="AB25" s="40"/>
      <c r="AC25" s="38" t="s">
        <v>159</v>
      </c>
      <c r="AD25" s="48">
        <v>17</v>
      </c>
      <c r="AE25" s="53" t="str">
        <f t="shared" ca="1" si="2"/>
        <v>Venc.J4</v>
      </c>
      <c r="AF25" s="37" t="s">
        <v>157</v>
      </c>
      <c r="AG25" s="65" t="str">
        <f t="shared" ca="1" si="3"/>
        <v>Venc.J5</v>
      </c>
      <c r="AH25" s="74"/>
    </row>
    <row r="26" spans="4:34" ht="13" thickBot="1">
      <c r="D26">
        <v>10</v>
      </c>
      <c r="E26" s="10"/>
      <c r="F26" s="11"/>
      <c r="G26" s="10"/>
      <c r="H26" s="14"/>
      <c r="I26" s="10"/>
      <c r="J26" s="13"/>
      <c r="K26" s="10"/>
      <c r="L26" s="14"/>
      <c r="M26" s="10"/>
      <c r="N26" s="14"/>
      <c r="O26" s="10"/>
      <c r="T26">
        <v>22</v>
      </c>
      <c r="U26" s="71" t="s">
        <v>91</v>
      </c>
      <c r="V26" t="s">
        <v>77</v>
      </c>
      <c r="W26" s="29">
        <f>G67</f>
        <v>0</v>
      </c>
      <c r="Z26" s="34"/>
      <c r="AA26" s="40"/>
      <c r="AB26" s="40"/>
      <c r="AC26" s="38" t="s">
        <v>159</v>
      </c>
      <c r="AD26" s="48">
        <v>18</v>
      </c>
      <c r="AE26" s="53" t="str">
        <f t="shared" ca="1" si="2"/>
        <v>Venc.J6</v>
      </c>
      <c r="AF26" s="37" t="s">
        <v>157</v>
      </c>
      <c r="AG26" s="65" t="str">
        <f t="shared" ca="1" si="3"/>
        <v>Venc.J7</v>
      </c>
      <c r="AH26" s="74"/>
    </row>
    <row r="27" spans="4:34" ht="13" thickBot="1">
      <c r="E27" s="12"/>
      <c r="F27" s="84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 t="s">
        <v>92</v>
      </c>
      <c r="V27" t="s">
        <v>77</v>
      </c>
      <c r="W27" s="29" t="s">
        <v>165</v>
      </c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Venc.J8</v>
      </c>
      <c r="AF27" s="37" t="s">
        <v>157</v>
      </c>
      <c r="AG27" s="65" t="str">
        <f t="shared" ca="1" si="3"/>
        <v>Venc.J9</v>
      </c>
      <c r="AH27" s="74"/>
    </row>
    <row r="28" spans="4:34" ht="13" thickBot="1">
      <c r="D28">
        <v>11</v>
      </c>
      <c r="E28" s="10"/>
      <c r="F28" s="16"/>
      <c r="G28" s="10"/>
      <c r="H28" s="10"/>
      <c r="I28" s="10"/>
      <c r="J28" s="14"/>
      <c r="K28" s="10"/>
      <c r="L28" s="14"/>
      <c r="M28" s="10"/>
      <c r="N28" s="14"/>
      <c r="O28" s="10"/>
      <c r="T28">
        <v>24</v>
      </c>
      <c r="U28" s="28" t="s">
        <v>94</v>
      </c>
      <c r="V28" t="s">
        <v>77</v>
      </c>
      <c r="W28" s="29" t="s">
        <v>95</v>
      </c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Venc.J10</v>
      </c>
      <c r="AF28" s="37" t="s">
        <v>157</v>
      </c>
      <c r="AG28" s="65" t="str">
        <f t="shared" ca="1" si="3"/>
        <v>Venc.J11</v>
      </c>
      <c r="AH28" s="74"/>
    </row>
    <row r="29" spans="4:34" ht="13" thickBot="1">
      <c r="E29" s="12"/>
      <c r="F29" s="10"/>
      <c r="G29" s="10"/>
      <c r="H29" s="10"/>
      <c r="I29" s="10"/>
      <c r="J29" s="70" t="s">
        <v>250</v>
      </c>
      <c r="K29" s="9" t="str">
        <f>IF(OR(J25="",J33=""),"",+IF(J25&gt;J33,I25,I33))</f>
        <v/>
      </c>
      <c r="L29" s="16"/>
      <c r="M29" s="10"/>
      <c r="N29" s="14"/>
      <c r="O29" s="10"/>
      <c r="T29">
        <v>25</v>
      </c>
      <c r="U29" s="28" t="s">
        <v>96</v>
      </c>
      <c r="V29" t="s">
        <v>77</v>
      </c>
      <c r="W29" s="29" t="s">
        <v>97</v>
      </c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Venc.J12</v>
      </c>
      <c r="AF29" s="37" t="s">
        <v>157</v>
      </c>
      <c r="AG29" s="65" t="str">
        <f t="shared" ca="1" si="3"/>
        <v>Venc.J13</v>
      </c>
      <c r="AH29" s="74"/>
    </row>
    <row r="30" spans="4:34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 t="s">
        <v>98</v>
      </c>
      <c r="V30" t="s">
        <v>77</v>
      </c>
      <c r="W30" s="29" t="s">
        <v>99</v>
      </c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Venc.J14</v>
      </c>
      <c r="AF30" s="37" t="s">
        <v>157</v>
      </c>
      <c r="AG30" s="65">
        <f t="shared" ca="1" si="3"/>
        <v>0</v>
      </c>
      <c r="AH30" s="74"/>
    </row>
    <row r="31" spans="4:34" ht="13" thickBot="1">
      <c r="E31" s="12"/>
      <c r="F31" s="84" t="s">
        <v>212</v>
      </c>
      <c r="G31" s="9" t="str">
        <f>IF(OR(F30="",F32=""),"",+IF(F30&gt;F32,E30,E32))</f>
        <v/>
      </c>
      <c r="H31" s="17"/>
      <c r="I31" s="10"/>
      <c r="J31" s="14"/>
      <c r="K31" s="10"/>
      <c r="L31" s="10"/>
      <c r="M31" s="10"/>
      <c r="N31" s="14"/>
      <c r="O31" s="10"/>
      <c r="T31">
        <v>27</v>
      </c>
      <c r="U31" s="28" t="s">
        <v>100</v>
      </c>
      <c r="V31" t="s">
        <v>77</v>
      </c>
      <c r="W31" s="29" t="s">
        <v>101</v>
      </c>
      <c r="Z31" s="34"/>
      <c r="AA31" s="40"/>
      <c r="AB31" s="40"/>
      <c r="AC31" s="38" t="s">
        <v>159</v>
      </c>
      <c r="AD31" s="48">
        <v>23</v>
      </c>
      <c r="AE31" s="53" t="str">
        <f t="shared" ref="AE31:AE38" ca="1" si="4">LOOKUP(AD31,T$5:T$79,U$5:U$41)</f>
        <v>Venc.J15</v>
      </c>
      <c r="AF31" s="37" t="s">
        <v>157</v>
      </c>
      <c r="AG31" s="65" t="str">
        <f t="shared" ref="AG31:AG38" ca="1" si="5">LOOKUP(AD31,T$5:T$79,W$5:W$42)</f>
        <v>Venc.J16</v>
      </c>
      <c r="AH31" s="74"/>
    </row>
    <row r="32" spans="4:34" ht="13" thickBot="1">
      <c r="D32">
        <v>13</v>
      </c>
      <c r="E32" s="10"/>
      <c r="F32" s="16"/>
      <c r="G32" s="10"/>
      <c r="H32" s="14"/>
      <c r="I32" s="10"/>
      <c r="J32" s="14"/>
      <c r="K32" s="10"/>
      <c r="L32" s="10"/>
      <c r="M32" s="10"/>
      <c r="N32" s="14"/>
      <c r="O32" s="10"/>
      <c r="T32">
        <v>28</v>
      </c>
      <c r="U32" s="28" t="s">
        <v>102</v>
      </c>
      <c r="V32" t="s">
        <v>77</v>
      </c>
      <c r="W32" s="29" t="s">
        <v>103</v>
      </c>
      <c r="Z32" s="34"/>
      <c r="AA32" s="40"/>
      <c r="AB32" s="40"/>
      <c r="AC32" s="38" t="s">
        <v>159</v>
      </c>
      <c r="AD32" s="48">
        <v>24</v>
      </c>
      <c r="AE32" s="53" t="str">
        <f t="shared" ca="1" si="4"/>
        <v>Venc.J17</v>
      </c>
      <c r="AF32" s="37" t="s">
        <v>157</v>
      </c>
      <c r="AG32" s="65" t="str">
        <f t="shared" ca="1" si="5"/>
        <v>Venc.J18</v>
      </c>
      <c r="AH32" s="74"/>
    </row>
    <row r="33" spans="4:34" ht="13" thickBot="1">
      <c r="E33" s="12"/>
      <c r="F33" s="10"/>
      <c r="G33" s="10"/>
      <c r="H33" s="70" t="s">
        <v>238</v>
      </c>
      <c r="I33" s="9" t="str">
        <f>IF(OR(H31="",H35=""),"",+IF(H31&gt;H35,G31,G35))</f>
        <v/>
      </c>
      <c r="J33" s="16"/>
      <c r="K33" s="10"/>
      <c r="L33" s="10"/>
      <c r="M33" s="10"/>
      <c r="N33" s="14"/>
      <c r="O33" s="10"/>
      <c r="T33">
        <v>29</v>
      </c>
      <c r="U33" s="71" t="s">
        <v>304</v>
      </c>
      <c r="V33" t="s">
        <v>77</v>
      </c>
      <c r="W33" s="72" t="s">
        <v>305</v>
      </c>
      <c r="Z33" s="34"/>
      <c r="AA33" s="40"/>
      <c r="AB33" s="40"/>
      <c r="AC33" s="38" t="s">
        <v>159</v>
      </c>
      <c r="AD33" s="48">
        <v>25</v>
      </c>
      <c r="AE33" s="53" t="str">
        <f t="shared" ca="1" si="4"/>
        <v>Venc.J19</v>
      </c>
      <c r="AF33" s="37" t="s">
        <v>157</v>
      </c>
      <c r="AG33" s="65" t="str">
        <f t="shared" ca="1" si="5"/>
        <v>Venc.J20</v>
      </c>
      <c r="AH33" s="74"/>
    </row>
    <row r="34" spans="4:34" ht="13" thickBot="1">
      <c r="D34">
        <v>14</v>
      </c>
      <c r="E34" s="10"/>
      <c r="F34" s="11"/>
      <c r="G34" s="10"/>
      <c r="H34" s="14"/>
      <c r="I34" s="10"/>
      <c r="J34" s="10"/>
      <c r="K34" s="10"/>
      <c r="L34" s="10"/>
      <c r="M34" s="10"/>
      <c r="N34" s="14"/>
      <c r="O34" s="10"/>
      <c r="T34">
        <v>30</v>
      </c>
      <c r="U34" s="28" t="s">
        <v>104</v>
      </c>
      <c r="V34" t="s">
        <v>77</v>
      </c>
      <c r="W34" s="29" t="s">
        <v>105</v>
      </c>
      <c r="Z34" s="34"/>
      <c r="AA34" s="40"/>
      <c r="AB34" s="40"/>
      <c r="AC34" s="38" t="s">
        <v>159</v>
      </c>
      <c r="AD34" s="48">
        <v>26</v>
      </c>
      <c r="AE34" s="53" t="str">
        <f t="shared" ca="1" si="4"/>
        <v>Venc.J21</v>
      </c>
      <c r="AF34" s="37" t="s">
        <v>157</v>
      </c>
      <c r="AG34" s="65" t="str">
        <f t="shared" ca="1" si="5"/>
        <v>Venc.J22</v>
      </c>
      <c r="AH34" s="74"/>
    </row>
    <row r="35" spans="4:34" ht="13" thickBot="1">
      <c r="E35" s="12"/>
      <c r="F35" s="84" t="s">
        <v>214</v>
      </c>
      <c r="G35" s="9" t="str">
        <f>IF(OR(F34="",F36=""),"",+IF(F34&gt;F36,E34,E36))</f>
        <v/>
      </c>
      <c r="H35" s="16"/>
      <c r="I35" s="10"/>
      <c r="J35" s="10"/>
      <c r="K35" s="10"/>
      <c r="L35" s="10"/>
      <c r="M35" s="10"/>
      <c r="N35" s="14"/>
      <c r="O35" s="10"/>
      <c r="U35" s="29"/>
      <c r="W35" s="28"/>
      <c r="Z35" s="34"/>
      <c r="AA35" s="40"/>
      <c r="AB35" s="40"/>
      <c r="AC35" s="38" t="s">
        <v>159</v>
      </c>
      <c r="AD35" s="48">
        <v>27</v>
      </c>
      <c r="AE35" s="53" t="str">
        <f t="shared" ca="1" si="4"/>
        <v>Venc.J23</v>
      </c>
      <c r="AF35" s="37" t="s">
        <v>157</v>
      </c>
      <c r="AG35" s="65" t="str">
        <f t="shared" ca="1" si="5"/>
        <v>Venc.J24</v>
      </c>
      <c r="AH35" s="74"/>
    </row>
    <row r="36" spans="4:34" ht="13" thickBot="1">
      <c r="D36">
        <v>15</v>
      </c>
      <c r="E36" s="9"/>
      <c r="F36" s="16"/>
      <c r="G36" s="10"/>
      <c r="H36" s="10"/>
      <c r="I36" s="10"/>
      <c r="J36" s="10"/>
      <c r="K36" s="10"/>
      <c r="L36" s="10"/>
      <c r="M36" s="10"/>
      <c r="N36" s="14"/>
      <c r="O36" s="10"/>
      <c r="U36" s="29"/>
      <c r="W36" s="28"/>
      <c r="Z36" s="34"/>
      <c r="AA36" s="40"/>
      <c r="AB36" s="40"/>
      <c r="AC36" s="38" t="s">
        <v>159</v>
      </c>
      <c r="AD36" s="48">
        <v>28</v>
      </c>
      <c r="AE36" s="53" t="str">
        <f t="shared" ca="1" si="4"/>
        <v>Venc.J25</v>
      </c>
      <c r="AF36" s="37" t="s">
        <v>157</v>
      </c>
      <c r="AG36" s="65" t="str">
        <f t="shared" ca="1" si="5"/>
        <v>Venc.J26</v>
      </c>
      <c r="AH36" s="74"/>
    </row>
    <row r="37" spans="4:34">
      <c r="E37" s="10"/>
      <c r="F37" s="10"/>
      <c r="G37" s="10"/>
      <c r="H37" s="10"/>
      <c r="I37" s="10"/>
      <c r="J37" s="10"/>
      <c r="K37" s="10"/>
      <c r="L37" s="10"/>
      <c r="M37" s="10"/>
      <c r="N37" s="14"/>
      <c r="O37" s="10"/>
      <c r="U37" s="29"/>
      <c r="W37" s="28"/>
      <c r="Z37" s="34"/>
      <c r="AA37" s="40"/>
      <c r="AB37" s="40"/>
      <c r="AC37" s="38" t="s">
        <v>159</v>
      </c>
      <c r="AD37" s="48">
        <v>29</v>
      </c>
      <c r="AE37" s="53" t="str">
        <f t="shared" ca="1" si="4"/>
        <v>Perd.J27</v>
      </c>
      <c r="AF37" s="37" t="s">
        <v>157</v>
      </c>
      <c r="AG37" s="65" t="str">
        <f t="shared" ca="1" si="5"/>
        <v>Perd..J28</v>
      </c>
      <c r="AH37" s="74"/>
    </row>
    <row r="38" spans="4:34" ht="13" thickBot="1">
      <c r="D38">
        <v>16</v>
      </c>
      <c r="E38" s="10"/>
      <c r="F38" s="11"/>
      <c r="G38" s="10"/>
      <c r="H38" s="10"/>
      <c r="I38" s="10"/>
      <c r="J38" s="10"/>
      <c r="K38" s="10"/>
      <c r="L38" s="10"/>
      <c r="M38" s="77" t="s">
        <v>278</v>
      </c>
      <c r="N38" s="70" t="s">
        <v>201</v>
      </c>
      <c r="O38" s="9" t="str">
        <f>IF(OR(N21="",N53=""),"",+IF(N21&gt;N53,M21,M53))</f>
        <v/>
      </c>
      <c r="U38" s="29"/>
      <c r="Z38" s="34"/>
      <c r="AA38" s="40"/>
      <c r="AB38" s="40"/>
      <c r="AC38" s="38" t="s">
        <v>159</v>
      </c>
      <c r="AD38" s="48">
        <v>30</v>
      </c>
      <c r="AE38" s="53" t="str">
        <f t="shared" ca="1" si="4"/>
        <v>Venc.J27</v>
      </c>
      <c r="AF38" s="37" t="s">
        <v>157</v>
      </c>
      <c r="AG38" s="65" t="str">
        <f t="shared" ca="1" si="5"/>
        <v>Venc.J28</v>
      </c>
      <c r="AH38" s="74"/>
    </row>
    <row r="39" spans="4:34" ht="13" thickBot="1">
      <c r="E39" s="12"/>
      <c r="F39" s="84" t="s">
        <v>217</v>
      </c>
      <c r="G39" s="10" t="str">
        <f>IF(OR(F38="",F40=""),"",+IF(F38&gt;F40,E38,E40))</f>
        <v/>
      </c>
      <c r="H39" s="17"/>
      <c r="I39" s="10"/>
      <c r="J39" s="10"/>
      <c r="K39" s="10"/>
      <c r="L39" s="10"/>
      <c r="M39" s="10"/>
      <c r="N39" s="14"/>
      <c r="O39" s="10"/>
      <c r="Z39" s="42"/>
      <c r="AA39" s="43"/>
      <c r="AB39" s="43"/>
      <c r="AC39" s="43"/>
      <c r="AD39" s="61"/>
      <c r="AE39" s="62"/>
      <c r="AF39" s="63"/>
      <c r="AG39" s="60"/>
      <c r="AH39" s="75"/>
    </row>
    <row r="40" spans="4:34" ht="13" thickBot="1">
      <c r="D40">
        <v>17</v>
      </c>
      <c r="E40" s="9"/>
      <c r="F40" s="16"/>
      <c r="G40" s="12"/>
      <c r="H40" s="13"/>
      <c r="I40" s="9" t="str">
        <f>IF(OR(G39="",G43=""),"",+IF(H39&gt;H43,G39,G43))</f>
        <v/>
      </c>
      <c r="J40" s="11"/>
      <c r="K40" s="10"/>
      <c r="L40" s="10"/>
      <c r="M40" s="10"/>
      <c r="N40" s="14"/>
      <c r="O40" s="10"/>
      <c r="U40" s="29"/>
    </row>
    <row r="41" spans="4:34">
      <c r="E41" s="10"/>
      <c r="F41" s="10"/>
      <c r="G41" s="10"/>
      <c r="H41" s="70" t="s">
        <v>240</v>
      </c>
      <c r="I41" s="12"/>
      <c r="J41" s="13"/>
      <c r="K41" s="10"/>
      <c r="L41" s="10"/>
      <c r="M41" s="10"/>
      <c r="N41" s="14"/>
      <c r="O41" s="10"/>
    </row>
    <row r="42" spans="4:34" ht="13" thickBot="1">
      <c r="D42">
        <v>18</v>
      </c>
      <c r="E42" s="10"/>
      <c r="F42" s="11"/>
      <c r="G42" s="10"/>
      <c r="H42" s="14"/>
      <c r="I42" s="10"/>
      <c r="J42" s="14"/>
      <c r="K42" s="10"/>
      <c r="L42" s="10"/>
      <c r="M42" s="10"/>
      <c r="N42" s="14"/>
      <c r="O42" s="10"/>
    </row>
    <row r="43" spans="4:34" ht="13" thickBot="1">
      <c r="E43" s="12"/>
      <c r="F43" s="84" t="s">
        <v>219</v>
      </c>
      <c r="G43" s="9" t="str">
        <f>IF(OR(F42="",F44=""),"",+IF(F42&gt;F44,E42,E44))</f>
        <v/>
      </c>
      <c r="H43" s="16"/>
      <c r="I43" s="10"/>
      <c r="J43" s="14"/>
      <c r="K43" s="10"/>
      <c r="L43" s="10"/>
      <c r="M43" s="10"/>
      <c r="N43" s="14"/>
      <c r="O43" s="10"/>
    </row>
    <row r="44" spans="4:34" ht="13" thickBot="1">
      <c r="D44">
        <v>19</v>
      </c>
      <c r="E44" s="9"/>
      <c r="F44" s="16"/>
      <c r="G44" s="10"/>
      <c r="H44" s="10"/>
      <c r="I44" s="10"/>
      <c r="J44" s="70" t="s">
        <v>252</v>
      </c>
      <c r="K44" s="10"/>
      <c r="L44" s="11"/>
      <c r="M44" s="10"/>
      <c r="N44" s="14"/>
      <c r="O44" s="10"/>
    </row>
    <row r="45" spans="4:34">
      <c r="E45" s="12"/>
      <c r="F45" s="10"/>
      <c r="G45" s="10"/>
      <c r="H45" s="10"/>
      <c r="I45" s="10"/>
      <c r="J45" s="14"/>
      <c r="K45" s="12"/>
      <c r="L45" s="13"/>
      <c r="M45" s="10"/>
      <c r="N45" s="14"/>
      <c r="O45" s="10"/>
    </row>
    <row r="46" spans="4:34" ht="13" thickBot="1">
      <c r="D46">
        <v>20</v>
      </c>
      <c r="E46" s="10"/>
      <c r="F46" s="11"/>
      <c r="G46" s="10"/>
      <c r="H46" s="10"/>
      <c r="I46" s="10"/>
      <c r="J46" s="14"/>
      <c r="K46" s="10"/>
      <c r="L46" s="14"/>
      <c r="M46" s="10"/>
      <c r="N46" s="14"/>
      <c r="O46" s="10"/>
    </row>
    <row r="47" spans="4:34" ht="13" thickBot="1">
      <c r="E47" s="12"/>
      <c r="F47" s="84" t="s">
        <v>221</v>
      </c>
      <c r="G47" s="10" t="str">
        <f>IF(OR(F46="",F48=""),"",+IF(F46&gt;F48,E46,E48))</f>
        <v/>
      </c>
      <c r="H47" s="17"/>
      <c r="I47" s="10"/>
      <c r="J47" s="14"/>
      <c r="K47" s="10"/>
      <c r="L47" s="14"/>
      <c r="M47" s="10"/>
      <c r="N47" s="14"/>
      <c r="O47" s="10"/>
    </row>
    <row r="48" spans="4:34" ht="13" thickBot="1">
      <c r="D48">
        <v>21</v>
      </c>
      <c r="E48" s="9"/>
      <c r="F48" s="16"/>
      <c r="G48" s="12"/>
      <c r="H48" s="13"/>
      <c r="I48" s="10"/>
      <c r="J48" s="14"/>
      <c r="K48" s="10"/>
      <c r="L48" s="14"/>
      <c r="M48" s="10"/>
      <c r="N48" s="14"/>
      <c r="O48" s="10"/>
    </row>
    <row r="49" spans="4:15" ht="13" thickBot="1">
      <c r="E49" s="12"/>
      <c r="F49" s="10"/>
      <c r="G49" s="10"/>
      <c r="H49" s="70" t="s">
        <v>242</v>
      </c>
      <c r="I49" s="9" t="str">
        <f>IF(OR(G47="",G51=""),"",+IF(H47&gt;H51,G47,G51))</f>
        <v/>
      </c>
      <c r="J49" s="16"/>
      <c r="K49" s="10"/>
      <c r="L49" s="14"/>
      <c r="M49" s="10"/>
      <c r="N49" s="14"/>
      <c r="O49" s="10"/>
    </row>
    <row r="50" spans="4:15" ht="13" thickBot="1">
      <c r="D50">
        <v>22</v>
      </c>
      <c r="E50" s="10"/>
      <c r="F50" s="11"/>
      <c r="G50" s="10"/>
      <c r="H50" s="14"/>
      <c r="I50" s="10"/>
      <c r="J50" s="10"/>
      <c r="K50" s="10"/>
      <c r="L50" s="14"/>
      <c r="M50" s="10"/>
      <c r="N50" s="14"/>
      <c r="O50" s="10"/>
    </row>
    <row r="51" spans="4:15" ht="13" thickBot="1">
      <c r="E51" s="12"/>
      <c r="F51" s="84" t="s">
        <v>223</v>
      </c>
      <c r="G51" s="9" t="str">
        <f>IF(OR(F50="",F52=""),"",+IF(F50&gt;F52,E50,E52))</f>
        <v/>
      </c>
      <c r="H51" s="16"/>
      <c r="I51" s="10"/>
      <c r="J51" s="10"/>
      <c r="K51" s="10"/>
      <c r="L51" s="14"/>
      <c r="M51" s="10"/>
      <c r="N51" s="14"/>
      <c r="O51" s="10"/>
    </row>
    <row r="52" spans="4:15" ht="13" thickBot="1">
      <c r="D52">
        <v>23</v>
      </c>
      <c r="E52" s="9"/>
      <c r="F52" s="16"/>
      <c r="G52" s="10"/>
      <c r="H52" s="10"/>
      <c r="I52" s="10"/>
      <c r="J52" s="10"/>
      <c r="K52" s="10"/>
      <c r="L52" s="14"/>
      <c r="M52" s="10"/>
      <c r="N52" s="14"/>
      <c r="O52" s="10"/>
    </row>
    <row r="53" spans="4:15" ht="13" thickBot="1">
      <c r="E53" s="12"/>
      <c r="F53" s="10"/>
      <c r="G53" s="10"/>
      <c r="H53" s="10"/>
      <c r="I53" s="10"/>
      <c r="J53" s="10"/>
      <c r="K53" s="10"/>
      <c r="L53" s="70" t="s">
        <v>258</v>
      </c>
      <c r="M53" s="18"/>
      <c r="N53" s="16"/>
      <c r="O53" s="10"/>
    </row>
    <row r="54" spans="4:15" ht="13" thickBot="1">
      <c r="D54">
        <v>24</v>
      </c>
      <c r="E54" s="10"/>
      <c r="F54" s="11"/>
      <c r="G54" s="10"/>
      <c r="H54" s="10"/>
      <c r="I54" s="10"/>
      <c r="J54" s="10"/>
      <c r="K54" s="10"/>
      <c r="L54" s="14"/>
      <c r="M54" s="10"/>
      <c r="N54" s="10"/>
      <c r="O54" s="10"/>
    </row>
    <row r="55" spans="4:15" ht="13" thickBot="1">
      <c r="E55" s="12"/>
      <c r="F55" s="84" t="s">
        <v>225</v>
      </c>
      <c r="G55" s="10" t="str">
        <f>IF(OR(F54="",F56=""),"",+IF(F54&gt;F56,E54,E56))</f>
        <v/>
      </c>
      <c r="H55" s="17"/>
      <c r="I55" s="10"/>
      <c r="J55" s="10"/>
      <c r="K55" s="10"/>
      <c r="L55" s="14"/>
      <c r="M55" s="10"/>
      <c r="N55" s="10"/>
      <c r="O55" s="10"/>
    </row>
    <row r="56" spans="4:15" ht="13" thickBot="1">
      <c r="D56">
        <v>25</v>
      </c>
      <c r="E56" s="9"/>
      <c r="F56" s="16"/>
      <c r="G56" s="12"/>
      <c r="H56" s="13"/>
      <c r="I56" s="10"/>
      <c r="J56" s="10"/>
      <c r="K56" s="10"/>
      <c r="L56" s="14"/>
      <c r="M56" s="10"/>
      <c r="N56" s="10"/>
      <c r="O56" s="10"/>
    </row>
    <row r="57" spans="4:15" ht="13" thickBot="1">
      <c r="E57" s="12"/>
      <c r="F57" s="10"/>
      <c r="G57" s="10"/>
      <c r="H57" s="70" t="s">
        <v>244</v>
      </c>
      <c r="I57" s="9" t="str">
        <f>IF(OR(G55="",G59=""),"",+IF(H55&gt;H59,G55,G59))</f>
        <v/>
      </c>
      <c r="J57" s="17"/>
      <c r="K57" s="10"/>
      <c r="L57" s="14"/>
      <c r="M57" s="10"/>
      <c r="N57" s="10"/>
      <c r="O57" s="10"/>
    </row>
    <row r="58" spans="4:15" ht="13" thickBot="1">
      <c r="D58">
        <v>26</v>
      </c>
      <c r="E58" s="10"/>
      <c r="F58" s="11"/>
      <c r="G58" s="10"/>
      <c r="H58" s="14"/>
      <c r="I58" s="10"/>
      <c r="J58" s="14"/>
      <c r="K58" s="10"/>
      <c r="L58" s="14"/>
      <c r="M58" s="10"/>
      <c r="N58" s="10"/>
      <c r="O58" s="10"/>
    </row>
    <row r="59" spans="4:15" ht="13" thickBot="1">
      <c r="E59" s="12"/>
      <c r="F59" s="84" t="s">
        <v>227</v>
      </c>
      <c r="G59" s="9" t="str">
        <f>IF(OR(F58="",F60=""),"",+IF(F58&gt;F60,E58,E60))</f>
        <v/>
      </c>
      <c r="H59" s="16"/>
      <c r="I59" s="10"/>
      <c r="J59" s="14"/>
      <c r="K59" s="10"/>
      <c r="L59" s="14"/>
      <c r="M59" s="10"/>
      <c r="N59" s="10"/>
      <c r="O59" s="10"/>
    </row>
    <row r="60" spans="4:15" ht="13" thickBot="1">
      <c r="D60">
        <v>27</v>
      </c>
      <c r="E60" s="9"/>
      <c r="F60" s="16"/>
      <c r="G60" s="10"/>
      <c r="H60" s="10"/>
      <c r="I60" s="10"/>
      <c r="J60" s="14"/>
      <c r="K60" s="10"/>
      <c r="L60" s="14"/>
      <c r="M60" s="10"/>
      <c r="N60" s="10"/>
      <c r="O60" s="10"/>
    </row>
    <row r="61" spans="4:15" ht="13" thickBot="1">
      <c r="E61" s="12"/>
      <c r="F61" s="10"/>
      <c r="G61" s="10"/>
      <c r="H61" s="10"/>
      <c r="I61" s="10"/>
      <c r="J61" s="70" t="s">
        <v>254</v>
      </c>
      <c r="K61" s="9"/>
      <c r="L61" s="16"/>
      <c r="M61" s="10"/>
      <c r="N61" s="10"/>
      <c r="O61" s="10"/>
    </row>
    <row r="62" spans="4:15" ht="13" thickBot="1">
      <c r="D62">
        <v>28</v>
      </c>
      <c r="E62" s="10"/>
      <c r="F62" s="11"/>
      <c r="G62" s="10"/>
      <c r="H62" s="10"/>
      <c r="I62" s="10"/>
      <c r="J62" s="14"/>
      <c r="K62" s="10"/>
      <c r="L62" s="10"/>
      <c r="M62" s="10"/>
      <c r="N62" s="10"/>
      <c r="O62" s="10"/>
    </row>
    <row r="63" spans="4:15" ht="13" thickBot="1">
      <c r="E63" s="12"/>
      <c r="F63" s="84" t="s">
        <v>229</v>
      </c>
      <c r="G63" s="10" t="str">
        <f>IF(OR(F62="",F64=""),"",+IF(F62&gt;F64,E62,E64))</f>
        <v/>
      </c>
      <c r="H63" s="17"/>
      <c r="I63" s="10"/>
      <c r="J63" s="14"/>
      <c r="K63" s="10"/>
      <c r="L63" s="10"/>
      <c r="M63" s="10"/>
      <c r="N63" s="10"/>
      <c r="O63" s="10"/>
    </row>
    <row r="64" spans="4:15" ht="13" thickBot="1">
      <c r="D64">
        <v>29</v>
      </c>
      <c r="E64" s="9"/>
      <c r="F64" s="16"/>
      <c r="G64" s="12"/>
      <c r="H64" s="13"/>
      <c r="I64" s="10"/>
      <c r="J64" s="14"/>
      <c r="K64" s="10"/>
      <c r="L64" s="10"/>
      <c r="M64" s="10"/>
      <c r="N64" s="10"/>
      <c r="O64" s="10"/>
    </row>
    <row r="65" spans="4:15" ht="13" thickBot="1">
      <c r="E65" s="10"/>
      <c r="F65" s="10"/>
      <c r="G65" s="10"/>
      <c r="H65" s="70" t="s">
        <v>246</v>
      </c>
      <c r="I65" s="9" t="str">
        <f>IF(OR(G63="",G67=""),"",+IF(H63&gt;H67,G63,G67))</f>
        <v/>
      </c>
      <c r="J65" s="16"/>
      <c r="K65" s="10"/>
      <c r="L65" s="10"/>
      <c r="M65" s="9" t="str">
        <f>IF(OR(M21="",M53=""),"",+IF(L13&gt;L29,K29,K13))</f>
        <v/>
      </c>
      <c r="N65" s="11"/>
      <c r="O65" s="10"/>
    </row>
    <row r="66" spans="4:15">
      <c r="E66" s="10"/>
      <c r="F66" s="10"/>
      <c r="G66" s="10"/>
      <c r="H66" s="14"/>
      <c r="I66" s="10"/>
      <c r="J66" s="10"/>
      <c r="K66" s="10"/>
      <c r="L66" s="10"/>
      <c r="M66" s="10"/>
      <c r="N66" s="13"/>
      <c r="O66" s="10"/>
    </row>
    <row r="67" spans="4:15" ht="13" thickBot="1">
      <c r="D67">
        <v>30</v>
      </c>
      <c r="E67" s="9"/>
      <c r="F67" s="9"/>
      <c r="G67" s="9">
        <f>E67</f>
        <v>0</v>
      </c>
      <c r="H67" s="16"/>
      <c r="I67" s="10"/>
      <c r="J67" s="10"/>
      <c r="K67" s="10"/>
      <c r="L67" s="10"/>
      <c r="M67" s="10"/>
      <c r="N67" s="14"/>
      <c r="O67" s="10"/>
    </row>
    <row r="68" spans="4:15">
      <c r="E68" s="10"/>
      <c r="F68" s="10"/>
      <c r="G68" s="10"/>
      <c r="H68" s="10"/>
      <c r="I68" s="10"/>
      <c r="J68" s="10"/>
      <c r="K68" s="10"/>
      <c r="L68" s="10"/>
      <c r="M68" s="10"/>
      <c r="N68" s="14"/>
      <c r="O68" s="10"/>
    </row>
    <row r="69" spans="4:15">
      <c r="M69" s="10"/>
      <c r="N69" s="14"/>
      <c r="O69" s="10"/>
    </row>
    <row r="70" spans="4:15">
      <c r="M70" s="10"/>
      <c r="N70" s="14"/>
      <c r="O70" s="10"/>
    </row>
    <row r="71" spans="4:15">
      <c r="M71" s="10"/>
      <c r="N71" s="14"/>
      <c r="O71" s="10"/>
    </row>
    <row r="72" spans="4:15">
      <c r="M72" s="10"/>
      <c r="N72" s="14"/>
      <c r="O72" s="10"/>
    </row>
    <row r="73" spans="4:15" ht="13" thickBot="1">
      <c r="M73" s="77" t="s">
        <v>279</v>
      </c>
      <c r="N73" s="70" t="s">
        <v>260</v>
      </c>
      <c r="O73" s="9" t="str">
        <f>IF(OR(N65="",N81=""),"",+IF(N65&gt;N81,M65,M81))</f>
        <v/>
      </c>
    </row>
    <row r="74" spans="4:15">
      <c r="M74" s="10"/>
      <c r="N74" s="14"/>
      <c r="O74" s="10"/>
    </row>
    <row r="75" spans="4:15">
      <c r="M75" s="10"/>
      <c r="N75" s="14"/>
      <c r="O75" s="10"/>
    </row>
    <row r="76" spans="4:15">
      <c r="M76" s="10"/>
      <c r="N76" s="14"/>
      <c r="O76" s="10"/>
    </row>
    <row r="77" spans="4:15">
      <c r="M77" s="10"/>
      <c r="N77" s="14"/>
      <c r="O77" s="10"/>
    </row>
    <row r="78" spans="4:15">
      <c r="M78" s="10"/>
      <c r="N78" s="14"/>
      <c r="O78" s="10"/>
    </row>
    <row r="79" spans="4:15">
      <c r="M79" s="10"/>
      <c r="N79" s="14"/>
      <c r="O79" s="10"/>
    </row>
    <row r="80" spans="4:15">
      <c r="M80" s="10"/>
      <c r="N80" s="14"/>
      <c r="O80" s="10"/>
    </row>
    <row r="81" spans="13:15" ht="13" thickBot="1">
      <c r="M81" s="9" t="str">
        <f>IF(OR(M21="",M53=""),"",+IF(L44&gt;L61,K61,K44))</f>
        <v/>
      </c>
      <c r="N81" s="16"/>
      <c r="O81" s="10"/>
    </row>
    <row r="82" spans="13:15">
      <c r="M82" s="10"/>
      <c r="N82" s="10"/>
      <c r="O82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Plan27"/>
  <dimension ref="D4:AH80"/>
  <sheetViews>
    <sheetView showGridLines="0" topLeftCell="A21" zoomScale="75" workbookViewId="0">
      <selection activeCell="I14" sqref="I14"/>
    </sheetView>
  </sheetViews>
  <sheetFormatPr defaultRowHeight="12.7"/>
  <cols>
    <col min="5" max="5" width="21.41015625" bestFit="1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87890625" customWidth="1"/>
    <col min="13" max="13" width="16.41015625" customWidth="1"/>
    <col min="14" max="14" width="3.64453125" customWidth="1"/>
    <col min="15" max="15" width="15.11718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229</v>
      </c>
      <c r="I9" s="9" t="str">
        <f>IF(OR(H7="",H11=""),"",+IF(H7&gt;H11,G7,G11))</f>
        <v/>
      </c>
      <c r="J9" s="10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LOOKUP(AD9,T$5:T$78,U$5:U$39)</f>
        <v>0</v>
      </c>
      <c r="AF9" s="37" t="s">
        <v>157</v>
      </c>
      <c r="AG9" s="65">
        <f t="shared" ref="AG9:AG19" ca="1" si="1">LOOKUP(AD9,T$5:T$78,W$5:W$40)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2"/>
      <c r="J10" s="15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E39</f>
        <v>0</v>
      </c>
      <c r="V11" t="s">
        <v>77</v>
      </c>
      <c r="W11" s="29">
        <f>E41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E43</f>
        <v>0</v>
      </c>
      <c r="V12" t="s">
        <v>77</v>
      </c>
      <c r="W12" s="29">
        <f>E45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 ht="13" thickBot="1">
      <c r="E13" s="10"/>
      <c r="F13" s="10"/>
      <c r="G13" s="10"/>
      <c r="H13" s="10"/>
      <c r="I13" s="10"/>
      <c r="J13" s="14" t="s">
        <v>246</v>
      </c>
      <c r="K13" s="9" t="str">
        <f>IF(OR(J10="",J17=""),"",+IF(J10&gt;J17,I9,I17))</f>
        <v/>
      </c>
      <c r="L13" s="17"/>
      <c r="M13" s="10"/>
      <c r="N13" s="10"/>
      <c r="O13" s="10"/>
      <c r="T13">
        <v>9</v>
      </c>
      <c r="U13" s="28">
        <f>E47</f>
        <v>0</v>
      </c>
      <c r="V13" t="s">
        <v>77</v>
      </c>
      <c r="W13" s="29">
        <f>E49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  <c r="AH13" s="74"/>
    </row>
    <row r="14" spans="4:34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E51</f>
        <v>0</v>
      </c>
      <c r="V14" t="s">
        <v>77</v>
      </c>
      <c r="W14" s="29">
        <f>E53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  <c r="AH14" s="74"/>
    </row>
    <row r="15" spans="4:34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E55</f>
        <v>0</v>
      </c>
      <c r="V15" t="s">
        <v>77</v>
      </c>
      <c r="W15" s="29">
        <f>E57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  <c r="AH15" s="74"/>
    </row>
    <row r="16" spans="4:34" ht="13" thickBot="1">
      <c r="D16">
        <v>5</v>
      </c>
      <c r="E16" s="10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E59</f>
        <v>0</v>
      </c>
      <c r="V16" t="s">
        <v>77</v>
      </c>
      <c r="W16" s="29">
        <f>E61</f>
        <v>0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  <c r="AH16" s="74"/>
    </row>
    <row r="17" spans="4:34" ht="13" thickBot="1">
      <c r="E17" s="12"/>
      <c r="F17" s="10"/>
      <c r="G17" s="10"/>
      <c r="H17" s="14" t="s">
        <v>232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E63</f>
        <v>0</v>
      </c>
      <c r="V17" t="s">
        <v>77</v>
      </c>
      <c r="W17" s="29">
        <f>E65</f>
        <v>0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  <c r="AH17" s="74"/>
    </row>
    <row r="18" spans="4:34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>
        <f>E7</f>
        <v>0</v>
      </c>
      <c r="V18" t="s">
        <v>77</v>
      </c>
      <c r="W18" s="29" t="s">
        <v>78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>
        <f t="shared" ca="1" si="1"/>
        <v>0</v>
      </c>
      <c r="AH18" s="74"/>
    </row>
    <row r="19" spans="4:34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 t="s">
        <v>160</v>
      </c>
      <c r="V19" t="s">
        <v>77</v>
      </c>
      <c r="W19" s="29" t="s">
        <v>161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>
        <f t="shared" ca="1" si="1"/>
        <v>0</v>
      </c>
      <c r="AH19" s="74"/>
    </row>
    <row r="20" spans="4:34" ht="13" thickBot="1">
      <c r="D20">
        <v>7</v>
      </c>
      <c r="E20" s="10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 t="s">
        <v>81</v>
      </c>
      <c r="V20" t="s">
        <v>77</v>
      </c>
      <c r="W20" s="29" t="s">
        <v>162</v>
      </c>
      <c r="Z20" s="34"/>
      <c r="AA20" s="40"/>
      <c r="AB20" s="40"/>
      <c r="AC20" s="38" t="s">
        <v>159</v>
      </c>
      <c r="AD20" s="48">
        <v>12</v>
      </c>
      <c r="AE20" s="53">
        <f t="shared" ref="AE20:AE30" ca="1" si="2">LOOKUP(AD20,T$5:T$78,U$5:U$39)</f>
        <v>0</v>
      </c>
      <c r="AF20" s="37" t="s">
        <v>157</v>
      </c>
      <c r="AG20" s="65">
        <f t="shared" ref="AG20:AG30" ca="1" si="3">LOOKUP(AD20,T$5:T$78,W$5:W$40)</f>
        <v>0</v>
      </c>
      <c r="AH20" s="74"/>
    </row>
    <row r="21" spans="4:34" ht="13" thickBot="1">
      <c r="E21" s="12"/>
      <c r="F21" s="10"/>
      <c r="G21" s="10"/>
      <c r="H21" s="10"/>
      <c r="I21" s="10"/>
      <c r="J21" s="10"/>
      <c r="K21" s="10"/>
      <c r="L21" s="14" t="s">
        <v>254</v>
      </c>
      <c r="M21" s="9" t="str">
        <f>IF(OR(L13="",L28=""),"",+IF(L13&gt;L28,K13,K28))</f>
        <v/>
      </c>
      <c r="N21" s="17"/>
      <c r="O21" s="10"/>
      <c r="T21">
        <v>17</v>
      </c>
      <c r="U21" s="28" t="s">
        <v>163</v>
      </c>
      <c r="V21" t="s">
        <v>77</v>
      </c>
      <c r="W21" s="29">
        <f>E34</f>
        <v>0</v>
      </c>
      <c r="Z21" s="34"/>
      <c r="AA21" s="40"/>
      <c r="AB21" s="40"/>
      <c r="AC21" s="38" t="s">
        <v>159</v>
      </c>
      <c r="AD21" s="48">
        <v>13</v>
      </c>
      <c r="AE21" s="53">
        <f t="shared" ca="1" si="2"/>
        <v>0</v>
      </c>
      <c r="AF21" s="37" t="s">
        <v>157</v>
      </c>
      <c r="AG21" s="65">
        <f t="shared" ca="1" si="3"/>
        <v>0</v>
      </c>
      <c r="AH21" s="74"/>
    </row>
    <row r="22" spans="4:34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>
        <f>E36</f>
        <v>0</v>
      </c>
      <c r="W22" s="29" t="s">
        <v>84</v>
      </c>
      <c r="Z22" s="34"/>
      <c r="AA22" s="40"/>
      <c r="AB22" s="40"/>
      <c r="AC22" s="38" t="s">
        <v>159</v>
      </c>
      <c r="AD22" s="48">
        <v>14</v>
      </c>
      <c r="AE22" s="53">
        <f t="shared" ca="1" si="2"/>
        <v>0</v>
      </c>
      <c r="AF22" s="37" t="s">
        <v>157</v>
      </c>
      <c r="AG22" s="65" t="str">
        <f t="shared" ca="1" si="3"/>
        <v>Venc.J1</v>
      </c>
      <c r="AH22" s="74"/>
    </row>
    <row r="23" spans="4:34" ht="13" thickBot="1">
      <c r="E23" s="12"/>
      <c r="F23" s="13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28" t="s">
        <v>164</v>
      </c>
      <c r="V23" t="s">
        <v>77</v>
      </c>
      <c r="W23" s="29" t="s">
        <v>86</v>
      </c>
      <c r="Z23" s="34"/>
      <c r="AA23" s="40"/>
      <c r="AB23" s="40"/>
      <c r="AC23" s="38" t="s">
        <v>159</v>
      </c>
      <c r="AD23" s="48">
        <v>15</v>
      </c>
      <c r="AE23" s="53" t="str">
        <f t="shared" ca="1" si="2"/>
        <v>Venc.J2</v>
      </c>
      <c r="AF23" s="37" t="s">
        <v>157</v>
      </c>
      <c r="AG23" s="65" t="str">
        <f t="shared" ca="1" si="3"/>
        <v>Venc.J3</v>
      </c>
      <c r="AH23" s="74"/>
    </row>
    <row r="24" spans="4:34" ht="13" thickBot="1">
      <c r="D24">
        <v>9</v>
      </c>
      <c r="E24" s="10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28" t="s">
        <v>87</v>
      </c>
      <c r="V24" t="s">
        <v>77</v>
      </c>
      <c r="W24" s="29" t="s">
        <v>88</v>
      </c>
      <c r="Z24" s="34"/>
      <c r="AA24" s="40"/>
      <c r="AB24" s="40"/>
      <c r="AC24" s="38" t="s">
        <v>159</v>
      </c>
      <c r="AD24" s="48">
        <v>16</v>
      </c>
      <c r="AE24" s="53" t="str">
        <f t="shared" ca="1" si="2"/>
        <v>Venc.J4</v>
      </c>
      <c r="AF24" s="37" t="s">
        <v>157</v>
      </c>
      <c r="AG24" s="65" t="str">
        <f t="shared" ca="1" si="3"/>
        <v>Venc.J5</v>
      </c>
      <c r="AH24" s="74"/>
    </row>
    <row r="25" spans="4:34" ht="13" thickBot="1">
      <c r="E25" s="12"/>
      <c r="F25" s="10"/>
      <c r="G25" s="10"/>
      <c r="H25" s="14" t="s">
        <v>234</v>
      </c>
      <c r="I25" s="9" t="str">
        <f>IF(OR(H23="",H27=""),"",+IF(H23&gt;H27,G23,G27))</f>
        <v/>
      </c>
      <c r="J25" s="17"/>
      <c r="K25" s="10"/>
      <c r="L25" s="14"/>
      <c r="M25" s="10"/>
      <c r="N25" s="14"/>
      <c r="O25" s="10"/>
      <c r="T25">
        <v>21</v>
      </c>
      <c r="U25" s="28" t="s">
        <v>89</v>
      </c>
      <c r="V25" t="s">
        <v>77</v>
      </c>
      <c r="W25" s="29" t="s">
        <v>90</v>
      </c>
      <c r="Z25" s="34"/>
      <c r="AA25" s="40"/>
      <c r="AB25" s="40"/>
      <c r="AC25" s="38" t="s">
        <v>159</v>
      </c>
      <c r="AD25" s="48">
        <v>17</v>
      </c>
      <c r="AE25" s="53" t="str">
        <f t="shared" ca="1" si="2"/>
        <v>Venc.J6</v>
      </c>
      <c r="AF25" s="37" t="s">
        <v>157</v>
      </c>
      <c r="AG25" s="65">
        <f t="shared" ca="1" si="3"/>
        <v>0</v>
      </c>
      <c r="AH25" s="74"/>
    </row>
    <row r="26" spans="4:34" ht="13" thickBot="1">
      <c r="D26">
        <v>10</v>
      </c>
      <c r="E26" s="10"/>
      <c r="F26" s="11"/>
      <c r="G26" s="10"/>
      <c r="H26" s="14"/>
      <c r="I26" s="10"/>
      <c r="J26" s="14"/>
      <c r="K26" s="10"/>
      <c r="L26" s="14"/>
      <c r="M26" s="10"/>
      <c r="N26" s="14"/>
      <c r="O26" s="10"/>
      <c r="T26">
        <v>22</v>
      </c>
      <c r="U26" s="28" t="s">
        <v>91</v>
      </c>
      <c r="V26" t="s">
        <v>77</v>
      </c>
      <c r="W26" s="29" t="s">
        <v>92</v>
      </c>
      <c r="Z26" s="34"/>
      <c r="AA26" s="40"/>
      <c r="AB26" s="40"/>
      <c r="AC26" s="38" t="s">
        <v>159</v>
      </c>
      <c r="AD26" s="48">
        <v>18</v>
      </c>
      <c r="AE26" s="53">
        <f t="shared" ca="1" si="2"/>
        <v>0</v>
      </c>
      <c r="AF26" s="37" t="s">
        <v>157</v>
      </c>
      <c r="AG26" s="65" t="str">
        <f t="shared" ca="1" si="3"/>
        <v>Venc.J7</v>
      </c>
      <c r="AH26" s="74"/>
    </row>
    <row r="27" spans="4:34" ht="13" thickBot="1">
      <c r="E27" s="12"/>
      <c r="F27" s="13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 t="s">
        <v>165</v>
      </c>
      <c r="V27" t="s">
        <v>77</v>
      </c>
      <c r="W27" s="29" t="s">
        <v>94</v>
      </c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Venc.J8</v>
      </c>
      <c r="AF27" s="37" t="s">
        <v>157</v>
      </c>
      <c r="AG27" s="65" t="str">
        <f t="shared" ca="1" si="3"/>
        <v>Venc.J9</v>
      </c>
      <c r="AH27" s="74"/>
    </row>
    <row r="28" spans="4:34" ht="13" thickBot="1">
      <c r="D28">
        <v>11</v>
      </c>
      <c r="E28" s="10"/>
      <c r="F28" s="16"/>
      <c r="G28" s="10"/>
      <c r="H28" s="10"/>
      <c r="I28" s="10"/>
      <c r="J28" s="14" t="s">
        <v>248</v>
      </c>
      <c r="K28" s="9" t="str">
        <f>IF(OR(J25="",J33=""),"",+IF(J25&gt;J33,I25,I33))</f>
        <v/>
      </c>
      <c r="L28" s="16"/>
      <c r="M28" s="10"/>
      <c r="N28" s="14"/>
      <c r="O28" s="10"/>
      <c r="T28">
        <v>24</v>
      </c>
      <c r="U28" s="28" t="s">
        <v>95</v>
      </c>
      <c r="V28" t="s">
        <v>77</v>
      </c>
      <c r="W28" s="29" t="s">
        <v>96</v>
      </c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Venc.J10</v>
      </c>
      <c r="AF28" s="37" t="s">
        <v>157</v>
      </c>
      <c r="AG28" s="65" t="str">
        <f t="shared" ca="1" si="3"/>
        <v>Venc.J11</v>
      </c>
      <c r="AH28" s="74"/>
    </row>
    <row r="29" spans="4:34">
      <c r="E29" s="12"/>
      <c r="F29" s="10"/>
      <c r="G29" s="10"/>
      <c r="H29" s="10"/>
      <c r="I29" s="10"/>
      <c r="J29" s="14"/>
      <c r="K29" s="10"/>
      <c r="L29" s="10"/>
      <c r="M29" s="10"/>
      <c r="N29" s="14"/>
      <c r="O29" s="10"/>
      <c r="T29">
        <v>25</v>
      </c>
      <c r="U29" s="28" t="s">
        <v>97</v>
      </c>
      <c r="V29" t="s">
        <v>77</v>
      </c>
      <c r="W29" s="29" t="s">
        <v>98</v>
      </c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Venc.J12</v>
      </c>
      <c r="AF29" s="37" t="s">
        <v>157</v>
      </c>
      <c r="AG29" s="65" t="str">
        <f t="shared" ca="1" si="3"/>
        <v>Venc.J13</v>
      </c>
      <c r="AH29" s="74"/>
    </row>
    <row r="30" spans="4:34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 t="s">
        <v>99</v>
      </c>
      <c r="V30" t="s">
        <v>77</v>
      </c>
      <c r="W30" s="29" t="s">
        <v>100</v>
      </c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Venc.J14</v>
      </c>
      <c r="AF30" s="37" t="s">
        <v>157</v>
      </c>
      <c r="AG30" s="65" t="str">
        <f t="shared" ca="1" si="3"/>
        <v>Venc.J15</v>
      </c>
      <c r="AH30" s="74"/>
    </row>
    <row r="31" spans="4:34" ht="13" thickBot="1">
      <c r="E31" s="12"/>
      <c r="F31" s="13" t="s">
        <v>212</v>
      </c>
      <c r="G31" s="9" t="str">
        <f>IF(OR(F30="",F32=""),"",+IF(F30&gt;F32,E30,E32))</f>
        <v/>
      </c>
      <c r="H31" s="11"/>
      <c r="I31" s="10"/>
      <c r="J31" s="14"/>
      <c r="K31" s="10"/>
      <c r="L31" s="10"/>
      <c r="M31" s="10"/>
      <c r="N31" s="14"/>
      <c r="O31" s="10"/>
      <c r="T31">
        <v>27</v>
      </c>
      <c r="U31" s="28" t="s">
        <v>101</v>
      </c>
      <c r="V31" t="s">
        <v>77</v>
      </c>
      <c r="W31" s="29" t="s">
        <v>102</v>
      </c>
      <c r="Z31" s="34"/>
      <c r="AA31" s="40"/>
      <c r="AB31" s="40"/>
      <c r="AC31" s="38" t="s">
        <v>159</v>
      </c>
      <c r="AD31" s="48">
        <v>23</v>
      </c>
      <c r="AE31" s="53" t="str">
        <f t="shared" ref="AE31:AE37" ca="1" si="4">LOOKUP(AD31,T$5:T$78,U$5:U$39)</f>
        <v>Venc.J16</v>
      </c>
      <c r="AF31" s="37" t="s">
        <v>157</v>
      </c>
      <c r="AG31" s="65" t="str">
        <f t="shared" ref="AG31:AG37" ca="1" si="5">LOOKUP(AD31,T$5:T$78,W$5:W$40)</f>
        <v>Venc.J17</v>
      </c>
      <c r="AH31" s="74"/>
    </row>
    <row r="32" spans="4:34" ht="13" thickBot="1">
      <c r="D32">
        <v>13</v>
      </c>
      <c r="E32" s="9"/>
      <c r="F32" s="16"/>
      <c r="G32" s="10"/>
      <c r="H32" s="13"/>
      <c r="I32" s="10"/>
      <c r="J32" s="14"/>
      <c r="K32" s="10"/>
      <c r="L32" s="10"/>
      <c r="M32" s="10"/>
      <c r="N32" s="14"/>
      <c r="O32" s="10"/>
      <c r="T32">
        <v>28</v>
      </c>
      <c r="U32" s="71" t="s">
        <v>302</v>
      </c>
      <c r="V32" t="s">
        <v>77</v>
      </c>
      <c r="W32" s="72" t="s">
        <v>303</v>
      </c>
      <c r="Z32" s="34"/>
      <c r="AA32" s="40"/>
      <c r="AB32" s="40"/>
      <c r="AC32" s="38" t="s">
        <v>159</v>
      </c>
      <c r="AD32" s="48">
        <v>24</v>
      </c>
      <c r="AE32" s="53" t="str">
        <f t="shared" ca="1" si="4"/>
        <v>Venc.J18</v>
      </c>
      <c r="AF32" s="37" t="s">
        <v>157</v>
      </c>
      <c r="AG32" s="65" t="str">
        <f t="shared" ca="1" si="5"/>
        <v>Venc.J19</v>
      </c>
      <c r="AH32" s="74"/>
    </row>
    <row r="33" spans="4:34" ht="13" thickBot="1">
      <c r="E33" s="10"/>
      <c r="F33" s="10"/>
      <c r="G33" s="10"/>
      <c r="H33" s="14" t="s">
        <v>236</v>
      </c>
      <c r="I33" s="9" t="str">
        <f>IF(OR(H31="",H34=""),"",+IF(H31&gt;H34,G31,E34))</f>
        <v/>
      </c>
      <c r="J33" s="16"/>
      <c r="K33" s="10"/>
      <c r="L33" s="10"/>
      <c r="M33" s="10"/>
      <c r="N33" s="14"/>
      <c r="O33" s="10"/>
      <c r="T33">
        <v>29</v>
      </c>
      <c r="U33" s="28" t="s">
        <v>103</v>
      </c>
      <c r="V33" t="s">
        <v>77</v>
      </c>
      <c r="W33" s="29" t="s">
        <v>104</v>
      </c>
      <c r="Z33" s="34"/>
      <c r="AA33" s="40"/>
      <c r="AB33" s="40"/>
      <c r="AC33" s="38" t="s">
        <v>159</v>
      </c>
      <c r="AD33" s="48">
        <v>25</v>
      </c>
      <c r="AE33" s="53" t="str">
        <f t="shared" ca="1" si="4"/>
        <v>Venc.J20</v>
      </c>
      <c r="AF33" s="37" t="s">
        <v>157</v>
      </c>
      <c r="AG33" s="65" t="str">
        <f t="shared" ca="1" si="5"/>
        <v>Venc.J21</v>
      </c>
      <c r="AH33" s="74"/>
    </row>
    <row r="34" spans="4:34" ht="13" thickBot="1">
      <c r="D34">
        <v>14</v>
      </c>
      <c r="E34" s="9"/>
      <c r="F34" s="9"/>
      <c r="G34" s="9">
        <f>E34</f>
        <v>0</v>
      </c>
      <c r="H34" s="16"/>
      <c r="I34" s="10"/>
      <c r="J34" s="10"/>
      <c r="K34" s="10"/>
      <c r="L34" s="10"/>
      <c r="M34" s="10"/>
      <c r="N34" s="14"/>
      <c r="O34" s="10"/>
      <c r="U34" s="29"/>
      <c r="W34" s="28"/>
      <c r="Z34" s="34"/>
      <c r="AA34" s="40"/>
      <c r="AB34" s="40"/>
      <c r="AC34" s="38" t="s">
        <v>159</v>
      </c>
      <c r="AD34" s="48">
        <v>26</v>
      </c>
      <c r="AE34" s="53" t="str">
        <f t="shared" ca="1" si="4"/>
        <v>Venc.J22</v>
      </c>
      <c r="AF34" s="37" t="s">
        <v>157</v>
      </c>
      <c r="AG34" s="65" t="str">
        <f t="shared" ca="1" si="5"/>
        <v>Venc.J23</v>
      </c>
      <c r="AH34" s="74"/>
    </row>
    <row r="35" spans="4:34" ht="13" thickBot="1">
      <c r="E35" s="10"/>
      <c r="F35" s="10"/>
      <c r="G35" s="10"/>
      <c r="H35" s="10"/>
      <c r="I35" s="10"/>
      <c r="J35" s="10"/>
      <c r="K35" s="10"/>
      <c r="L35" s="10"/>
      <c r="M35" s="77" t="s">
        <v>278</v>
      </c>
      <c r="N35" s="70" t="s">
        <v>260</v>
      </c>
      <c r="O35" s="9" t="str">
        <f>IF(OR(N21="",N50=""),"",+IF(N21&gt;N50,M21,M50))</f>
        <v/>
      </c>
      <c r="U35" s="29"/>
      <c r="W35" s="28"/>
      <c r="Z35" s="34"/>
      <c r="AA35" s="40"/>
      <c r="AB35" s="40"/>
      <c r="AC35" s="38" t="s">
        <v>159</v>
      </c>
      <c r="AD35" s="48">
        <v>27</v>
      </c>
      <c r="AE35" s="53" t="str">
        <f t="shared" ca="1" si="4"/>
        <v>Venc.J24</v>
      </c>
      <c r="AF35" s="37" t="s">
        <v>157</v>
      </c>
      <c r="AG35" s="65" t="str">
        <f t="shared" ca="1" si="5"/>
        <v>Venc.J25</v>
      </c>
      <c r="AH35" s="74"/>
    </row>
    <row r="36" spans="4:34" ht="13" thickBot="1">
      <c r="D36">
        <v>15</v>
      </c>
      <c r="E36" s="10"/>
      <c r="F36" s="9"/>
      <c r="G36" s="9">
        <f>E36</f>
        <v>0</v>
      </c>
      <c r="H36" s="11"/>
      <c r="I36" s="10"/>
      <c r="J36" s="10"/>
      <c r="K36" s="10"/>
      <c r="L36" s="10"/>
      <c r="M36" s="10"/>
      <c r="N36" s="14"/>
      <c r="O36" s="10"/>
      <c r="U36" s="29"/>
      <c r="Z36" s="34"/>
      <c r="AA36" s="40"/>
      <c r="AB36" s="40"/>
      <c r="AC36" s="38" t="s">
        <v>159</v>
      </c>
      <c r="AD36" s="48">
        <v>28</v>
      </c>
      <c r="AE36" s="53" t="str">
        <f t="shared" ca="1" si="4"/>
        <v>Perd.J26</v>
      </c>
      <c r="AF36" s="37" t="s">
        <v>157</v>
      </c>
      <c r="AG36" s="65" t="str">
        <f t="shared" ca="1" si="5"/>
        <v>Perd..J27</v>
      </c>
      <c r="AH36" s="74"/>
    </row>
    <row r="37" spans="4:34">
      <c r="E37" s="12"/>
      <c r="F37" s="10"/>
      <c r="G37" s="10"/>
      <c r="H37" s="13"/>
      <c r="I37" s="10"/>
      <c r="J37" s="10"/>
      <c r="K37" s="10"/>
      <c r="L37" s="10"/>
      <c r="M37" s="10"/>
      <c r="N37" s="14"/>
      <c r="O37" s="10"/>
      <c r="Z37" s="34"/>
      <c r="AA37" s="40"/>
      <c r="AB37" s="40"/>
      <c r="AC37" s="38" t="s">
        <v>159</v>
      </c>
      <c r="AD37" s="48">
        <v>29</v>
      </c>
      <c r="AE37" s="53" t="str">
        <f t="shared" ca="1" si="4"/>
        <v>Venc.J26</v>
      </c>
      <c r="AF37" s="37" t="s">
        <v>157</v>
      </c>
      <c r="AG37" s="65" t="str">
        <f t="shared" ca="1" si="5"/>
        <v>Venc.J27</v>
      </c>
      <c r="AH37" s="74"/>
    </row>
    <row r="38" spans="4:34" ht="13" thickBot="1">
      <c r="E38" s="10"/>
      <c r="F38" s="10"/>
      <c r="G38" s="10"/>
      <c r="H38" s="14" t="s">
        <v>238</v>
      </c>
      <c r="I38" s="9" t="str">
        <f>IF(OR(H36="",H40=""),"",+IF(H36&gt;H40,G36,G40))</f>
        <v/>
      </c>
      <c r="J38" s="10"/>
      <c r="K38" s="10"/>
      <c r="L38" s="10"/>
      <c r="M38" s="10"/>
      <c r="N38" s="14"/>
      <c r="O38" s="10"/>
      <c r="U38" s="29"/>
      <c r="Z38" s="42"/>
      <c r="AA38" s="43"/>
      <c r="AB38" s="43"/>
      <c r="AC38" s="43"/>
      <c r="AD38" s="61"/>
      <c r="AE38" s="62"/>
      <c r="AF38" s="63"/>
      <c r="AG38" s="60"/>
      <c r="AH38" s="75"/>
    </row>
    <row r="39" spans="4:34" ht="13" thickBot="1">
      <c r="D39">
        <v>16</v>
      </c>
      <c r="E39" s="10"/>
      <c r="F39" s="11"/>
      <c r="G39" s="10"/>
      <c r="H39" s="14"/>
      <c r="I39" s="12"/>
      <c r="J39" s="15"/>
      <c r="K39" s="10"/>
      <c r="L39" s="10"/>
      <c r="M39" s="10"/>
      <c r="N39" s="14"/>
      <c r="O39" s="10"/>
    </row>
    <row r="40" spans="4:34" ht="13" thickBot="1">
      <c r="E40" s="12"/>
      <c r="F40" s="13" t="s">
        <v>214</v>
      </c>
      <c r="G40" s="9" t="str">
        <f>IF(OR(F39="",F41=""),"",+IF(F39&gt;F41,E39,E41))</f>
        <v/>
      </c>
      <c r="H40" s="16"/>
      <c r="I40" s="10"/>
      <c r="J40" s="14"/>
      <c r="K40" s="10"/>
      <c r="L40" s="10"/>
      <c r="M40" s="10"/>
      <c r="N40" s="14"/>
      <c r="O40" s="10"/>
    </row>
    <row r="41" spans="4:34" ht="13" thickBot="1">
      <c r="D41">
        <v>17</v>
      </c>
      <c r="E41" s="9"/>
      <c r="F41" s="16"/>
      <c r="G41" s="10"/>
      <c r="H41" s="10"/>
      <c r="I41" s="10"/>
      <c r="J41" s="14"/>
      <c r="K41" s="10"/>
      <c r="L41" s="10"/>
      <c r="M41" s="10"/>
      <c r="N41" s="14"/>
      <c r="O41" s="10"/>
    </row>
    <row r="42" spans="4:34" ht="13" thickBot="1">
      <c r="E42" s="10"/>
      <c r="F42" s="10"/>
      <c r="G42" s="10"/>
      <c r="H42" s="10"/>
      <c r="I42" s="10"/>
      <c r="J42" s="14" t="s">
        <v>250</v>
      </c>
      <c r="K42" s="9" t="str">
        <f>IF(OR(J39="",J46=""),"",+IF(J39&gt;J46,I38,I46))</f>
        <v/>
      </c>
      <c r="L42" s="17"/>
      <c r="M42" s="10"/>
      <c r="N42" s="14"/>
      <c r="O42" s="10"/>
    </row>
    <row r="43" spans="4:34" ht="13" thickBot="1">
      <c r="D43">
        <v>18</v>
      </c>
      <c r="E43" s="10"/>
      <c r="F43" s="11"/>
      <c r="G43" s="10"/>
      <c r="H43" s="10"/>
      <c r="I43" s="10"/>
      <c r="J43" s="14"/>
      <c r="K43" s="10"/>
      <c r="L43" s="13"/>
      <c r="M43" s="10"/>
      <c r="N43" s="14"/>
      <c r="O43" s="10"/>
    </row>
    <row r="44" spans="4:34" ht="13" thickBot="1">
      <c r="E44" s="12"/>
      <c r="F44" s="13" t="s">
        <v>217</v>
      </c>
      <c r="G44" s="9" t="str">
        <f>IF(OR(F43="",F45=""),"",+IF(F43&gt;F45,E43,E45))</f>
        <v/>
      </c>
      <c r="H44" s="17"/>
      <c r="I44" s="10"/>
      <c r="J44" s="14"/>
      <c r="K44" s="10"/>
      <c r="L44" s="14"/>
      <c r="M44" s="10"/>
      <c r="N44" s="14"/>
      <c r="O44" s="10"/>
    </row>
    <row r="45" spans="4:34" ht="13" thickBot="1">
      <c r="D45">
        <v>19</v>
      </c>
      <c r="E45" s="10"/>
      <c r="F45" s="16"/>
      <c r="G45" s="10"/>
      <c r="H45" s="14"/>
      <c r="I45" s="10"/>
      <c r="J45" s="14"/>
      <c r="K45" s="10"/>
      <c r="L45" s="14"/>
      <c r="M45" s="10"/>
      <c r="N45" s="14"/>
      <c r="O45" s="10"/>
    </row>
    <row r="46" spans="4:34" ht="13" thickBot="1">
      <c r="E46" s="12"/>
      <c r="F46" s="10"/>
      <c r="G46" s="10"/>
      <c r="H46" s="14" t="s">
        <v>240</v>
      </c>
      <c r="I46" s="9" t="str">
        <f>IF(OR(H44="",H48=""),"",+IF(H44&gt;H48,G44,G48))</f>
        <v/>
      </c>
      <c r="J46" s="16"/>
      <c r="K46" s="10"/>
      <c r="L46" s="14"/>
      <c r="M46" s="10"/>
      <c r="N46" s="14"/>
      <c r="O46" s="10"/>
    </row>
    <row r="47" spans="4:34" ht="13" thickBot="1">
      <c r="D47">
        <v>20</v>
      </c>
      <c r="E47" s="10"/>
      <c r="F47" s="11"/>
      <c r="G47" s="10"/>
      <c r="H47" s="14"/>
      <c r="I47" s="10"/>
      <c r="J47" s="10"/>
      <c r="K47" s="10"/>
      <c r="L47" s="14"/>
      <c r="M47" s="10"/>
      <c r="N47" s="14"/>
      <c r="O47" s="10"/>
    </row>
    <row r="48" spans="4:34" ht="13" thickBot="1">
      <c r="E48" s="12"/>
      <c r="F48" s="13" t="s">
        <v>219</v>
      </c>
      <c r="G48" s="9" t="str">
        <f>IF(OR(F47="",F49=""),"",+IF(F47&gt;F49,E47,E49))</f>
        <v/>
      </c>
      <c r="H48" s="16"/>
      <c r="I48" s="10"/>
      <c r="J48" s="10"/>
      <c r="K48" s="10"/>
      <c r="L48" s="14"/>
      <c r="M48" s="10"/>
      <c r="N48" s="14"/>
      <c r="O48" s="10"/>
    </row>
    <row r="49" spans="4:15" ht="13" thickBot="1">
      <c r="D49">
        <v>21</v>
      </c>
      <c r="E49" s="10"/>
      <c r="F49" s="16"/>
      <c r="G49" s="10"/>
      <c r="H49" s="10"/>
      <c r="I49" s="10"/>
      <c r="J49" s="10"/>
      <c r="K49" s="10"/>
      <c r="L49" s="14"/>
      <c r="M49" s="10"/>
      <c r="N49" s="14"/>
      <c r="O49" s="10"/>
    </row>
    <row r="50" spans="4:15" ht="13" thickBot="1">
      <c r="E50" s="12"/>
      <c r="F50" s="10"/>
      <c r="G50" s="10"/>
      <c r="H50" s="10"/>
      <c r="I50" s="10"/>
      <c r="J50" s="10"/>
      <c r="K50" s="10"/>
      <c r="L50" s="14" t="s">
        <v>256</v>
      </c>
      <c r="M50" s="9" t="str">
        <f>IF(OR(L42="",L58=""),"",+IF(L42&gt;L58,K42,K58))</f>
        <v/>
      </c>
      <c r="N50" s="16"/>
      <c r="O50" s="10"/>
    </row>
    <row r="51" spans="4:15" ht="13" thickBot="1">
      <c r="D51">
        <v>22</v>
      </c>
      <c r="E51" s="10"/>
      <c r="F51" s="11"/>
      <c r="G51" s="10"/>
      <c r="H51" s="10"/>
      <c r="I51" s="10"/>
      <c r="J51" s="10"/>
      <c r="K51" s="10"/>
      <c r="L51" s="14"/>
      <c r="M51" s="10"/>
      <c r="N51" s="10"/>
      <c r="O51" s="10"/>
    </row>
    <row r="52" spans="4:15" ht="13" thickBot="1">
      <c r="E52" s="12"/>
      <c r="F52" s="13" t="s">
        <v>221</v>
      </c>
      <c r="G52" s="9" t="str">
        <f>IF(OR(F51="",F53=""),"",+IF(F51&gt;F53,E51,E53))</f>
        <v/>
      </c>
      <c r="H52" s="17"/>
      <c r="I52" s="10"/>
      <c r="J52" s="10"/>
      <c r="K52" s="10"/>
      <c r="L52" s="14"/>
      <c r="M52" s="10"/>
      <c r="N52" s="10"/>
      <c r="O52" s="10"/>
    </row>
    <row r="53" spans="4:15" ht="13" thickBot="1">
      <c r="D53">
        <v>23</v>
      </c>
      <c r="E53" s="10"/>
      <c r="F53" s="16"/>
      <c r="G53" s="10"/>
      <c r="H53" s="14"/>
      <c r="I53" s="10"/>
      <c r="J53" s="10"/>
      <c r="K53" s="10"/>
      <c r="L53" s="14"/>
      <c r="M53" s="10"/>
      <c r="N53" s="10"/>
      <c r="O53" s="10"/>
    </row>
    <row r="54" spans="4:15" ht="13" thickBot="1">
      <c r="E54" s="12"/>
      <c r="F54" s="10"/>
      <c r="G54" s="10"/>
      <c r="H54" s="14" t="s">
        <v>242</v>
      </c>
      <c r="I54" s="9" t="str">
        <f>IF(OR(H52="",H56=""),"",+IF(H52&gt;H56,G52,G56))</f>
        <v/>
      </c>
      <c r="J54" s="17"/>
      <c r="K54" s="10"/>
      <c r="L54" s="14"/>
      <c r="M54" s="10"/>
      <c r="N54" s="10"/>
      <c r="O54" s="10"/>
    </row>
    <row r="55" spans="4:15" ht="13" thickBot="1">
      <c r="D55">
        <v>24</v>
      </c>
      <c r="E55" s="10"/>
      <c r="F55" s="11"/>
      <c r="G55" s="10"/>
      <c r="H55" s="14"/>
      <c r="I55" s="10"/>
      <c r="J55" s="13"/>
      <c r="K55" s="10"/>
      <c r="L55" s="14"/>
      <c r="M55" s="10"/>
      <c r="N55" s="10"/>
      <c r="O55" s="10"/>
    </row>
    <row r="56" spans="4:15" ht="13" thickBot="1">
      <c r="E56" s="12"/>
      <c r="F56" s="13" t="s">
        <v>223</v>
      </c>
      <c r="G56" s="9" t="str">
        <f>IF(OR(F55="",F57=""),"",+IF(F55&gt;F57,E55,E57))</f>
        <v/>
      </c>
      <c r="H56" s="16"/>
      <c r="I56" s="10"/>
      <c r="J56" s="14"/>
      <c r="K56" s="10"/>
      <c r="L56" s="14"/>
      <c r="M56" s="10"/>
      <c r="N56" s="10"/>
      <c r="O56" s="10"/>
    </row>
    <row r="57" spans="4:15" ht="13" thickBot="1">
      <c r="D57">
        <v>25</v>
      </c>
      <c r="E57" s="10"/>
      <c r="F57" s="16"/>
      <c r="G57" s="10"/>
      <c r="H57" s="10"/>
      <c r="I57" s="10"/>
      <c r="J57" s="14"/>
      <c r="K57" s="10"/>
      <c r="L57" s="14"/>
      <c r="M57" s="10"/>
      <c r="N57" s="10"/>
      <c r="O57" s="10"/>
    </row>
    <row r="58" spans="4:15" ht="13" thickBot="1">
      <c r="E58" s="12"/>
      <c r="F58" s="10"/>
      <c r="G58" s="10"/>
      <c r="H58" s="10"/>
      <c r="I58" s="10"/>
      <c r="J58" s="14" t="s">
        <v>252</v>
      </c>
      <c r="K58" s="9" t="str">
        <f>IF(OR(J54="",J62=""),"",+IF(J54&gt;J62,I54,I62))</f>
        <v/>
      </c>
      <c r="L58" s="16"/>
      <c r="M58" s="10"/>
      <c r="N58" s="10"/>
      <c r="O58" s="10"/>
    </row>
    <row r="59" spans="4:15" ht="13" thickBot="1">
      <c r="D59">
        <v>26</v>
      </c>
      <c r="E59" s="10"/>
      <c r="F59" s="11"/>
      <c r="G59" s="10"/>
      <c r="H59" s="10"/>
      <c r="I59" s="10"/>
      <c r="J59" s="14"/>
      <c r="K59" s="10"/>
      <c r="L59" s="10"/>
      <c r="M59" s="10"/>
      <c r="N59" s="10"/>
      <c r="O59" s="10"/>
    </row>
    <row r="60" spans="4:15" ht="13" thickBot="1">
      <c r="E60" s="12"/>
      <c r="F60" s="13" t="s">
        <v>225</v>
      </c>
      <c r="G60" s="9" t="str">
        <f>IF(OR(F59="",F61=""),"",+IF(F59&gt;F61,E59,E61))</f>
        <v/>
      </c>
      <c r="H60" s="17"/>
      <c r="I60" s="10"/>
      <c r="J60" s="14"/>
      <c r="K60" s="10"/>
      <c r="L60" s="10"/>
      <c r="M60" s="10"/>
      <c r="N60" s="10"/>
      <c r="O60" s="10"/>
    </row>
    <row r="61" spans="4:15" ht="13" thickBot="1">
      <c r="D61">
        <v>27</v>
      </c>
      <c r="E61" s="10"/>
      <c r="F61" s="16"/>
      <c r="G61" s="10"/>
      <c r="H61" s="14"/>
      <c r="I61" s="10"/>
      <c r="J61" s="14"/>
      <c r="K61" s="10"/>
      <c r="L61" s="10"/>
      <c r="M61" s="10"/>
      <c r="N61" s="10"/>
      <c r="O61" s="10"/>
    </row>
    <row r="62" spans="4:15" ht="13" thickBot="1">
      <c r="E62" s="12"/>
      <c r="F62" s="10"/>
      <c r="G62" s="10"/>
      <c r="H62" s="14" t="s">
        <v>244</v>
      </c>
      <c r="I62" s="9" t="str">
        <f>IF(OR(H60="",H64=""),"",+IF(H60&gt;H64,G60,G64))</f>
        <v/>
      </c>
      <c r="J62" s="16"/>
      <c r="K62" s="10"/>
      <c r="L62" s="10"/>
      <c r="M62" s="10"/>
      <c r="N62" s="10"/>
      <c r="O62" s="10"/>
    </row>
    <row r="63" spans="4:15" ht="13" thickBot="1">
      <c r="D63">
        <v>28</v>
      </c>
      <c r="E63" s="10"/>
      <c r="F63" s="11"/>
      <c r="G63" s="10"/>
      <c r="H63" s="14"/>
      <c r="I63" s="10"/>
      <c r="J63" s="10"/>
      <c r="K63" s="10"/>
      <c r="L63" s="10"/>
      <c r="M63" s="10"/>
      <c r="N63" s="10"/>
      <c r="O63" s="10"/>
    </row>
    <row r="64" spans="4:15" ht="13" thickBot="1">
      <c r="E64" s="12"/>
      <c r="F64" s="13" t="s">
        <v>227</v>
      </c>
      <c r="G64" s="9" t="str">
        <f>IF(OR(F63="",F65=""),"",+IF(F63&gt;F65,E63,E65))</f>
        <v/>
      </c>
      <c r="H64" s="16"/>
      <c r="I64" s="10"/>
      <c r="J64" s="10"/>
      <c r="K64" s="10"/>
      <c r="L64" s="10"/>
      <c r="M64" s="9" t="str">
        <f>IF(OR(M21="",M50=""),"",+IF(L13&gt;L28,K28,K13))</f>
        <v/>
      </c>
      <c r="N64" s="17"/>
      <c r="O64" s="10"/>
    </row>
    <row r="65" spans="4:15" ht="13" thickBot="1">
      <c r="D65">
        <v>29</v>
      </c>
      <c r="E65" s="9"/>
      <c r="F65" s="16"/>
      <c r="G65" s="10"/>
      <c r="H65" s="10"/>
      <c r="I65" s="10"/>
      <c r="J65" s="10"/>
      <c r="K65" s="10"/>
      <c r="L65" s="10"/>
      <c r="M65" s="10"/>
      <c r="N65" s="13"/>
      <c r="O65" s="10"/>
    </row>
    <row r="66" spans="4:15">
      <c r="M66" s="10"/>
      <c r="N66" s="14"/>
      <c r="O66" s="10"/>
    </row>
    <row r="67" spans="4:15">
      <c r="M67" s="10"/>
      <c r="N67" s="14"/>
      <c r="O67" s="10"/>
    </row>
    <row r="68" spans="4:15">
      <c r="M68" s="10"/>
      <c r="N68" s="14"/>
      <c r="O68" s="10"/>
    </row>
    <row r="69" spans="4:15">
      <c r="M69" s="10"/>
      <c r="N69" s="14"/>
      <c r="O69" s="10"/>
    </row>
    <row r="70" spans="4:15">
      <c r="M70" s="10"/>
      <c r="N70" s="14"/>
      <c r="O70" s="10"/>
    </row>
    <row r="71" spans="4:15">
      <c r="M71" s="10"/>
      <c r="N71" s="14"/>
      <c r="O71" s="10"/>
    </row>
    <row r="72" spans="4:15" ht="13" thickBot="1">
      <c r="M72" s="77" t="s">
        <v>279</v>
      </c>
      <c r="N72" s="70" t="s">
        <v>258</v>
      </c>
      <c r="O72" s="9" t="str">
        <f>IF(OR(N64="",N79=""),"",+IF(N64&gt;N79,M64,M79))</f>
        <v/>
      </c>
    </row>
    <row r="73" spans="4:15">
      <c r="M73" s="10"/>
      <c r="N73" s="14"/>
      <c r="O73" s="10"/>
    </row>
    <row r="74" spans="4:15">
      <c r="M74" s="10"/>
      <c r="N74" s="14"/>
      <c r="O74" s="10"/>
    </row>
    <row r="75" spans="4:15">
      <c r="M75" s="10"/>
      <c r="N75" s="14"/>
      <c r="O75" s="10"/>
    </row>
    <row r="76" spans="4:15">
      <c r="M76" s="10"/>
      <c r="N76" s="14"/>
      <c r="O76" s="10"/>
    </row>
    <row r="77" spans="4:15">
      <c r="M77" s="10"/>
      <c r="N77" s="14"/>
      <c r="O77" s="10"/>
    </row>
    <row r="78" spans="4:15">
      <c r="M78" s="10"/>
      <c r="N78" s="14"/>
      <c r="O78" s="10"/>
    </row>
    <row r="79" spans="4:15" ht="13" thickBot="1">
      <c r="M79" s="9" t="str">
        <f>IF(OR(M21="",M50=""),"",+IF(L42&gt;L58,K58,K42))</f>
        <v/>
      </c>
      <c r="N79" s="16"/>
      <c r="O79" s="10"/>
    </row>
    <row r="80" spans="4:15">
      <c r="M80" s="10"/>
      <c r="N80" s="10"/>
      <c r="O80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Plan26"/>
  <dimension ref="D4:AH80"/>
  <sheetViews>
    <sheetView showGridLines="0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87890625" customWidth="1"/>
    <col min="13" max="13" width="16.41015625" customWidth="1"/>
    <col min="14" max="14" width="4" customWidth="1"/>
    <col min="15" max="15" width="15.644531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E18</f>
        <v>0</v>
      </c>
      <c r="V7" t="s">
        <v>77</v>
      </c>
      <c r="W7" s="29">
        <f>E20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E22</f>
        <v>0</v>
      </c>
      <c r="V8" t="s">
        <v>77</v>
      </c>
      <c r="W8" s="29">
        <f>E24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227</v>
      </c>
      <c r="I9" s="9" t="str">
        <f>IF(OR(H7="",H11=""),"",+IF(H7&gt;H11,G7,G11))</f>
        <v/>
      </c>
      <c r="J9" s="10"/>
      <c r="K9" s="10"/>
      <c r="L9" s="10"/>
      <c r="M9" s="10"/>
      <c r="N9" s="10"/>
      <c r="O9" s="10"/>
      <c r="T9">
        <v>5</v>
      </c>
      <c r="U9" s="28">
        <f>E26</f>
        <v>0</v>
      </c>
      <c r="V9" t="s">
        <v>77</v>
      </c>
      <c r="W9" s="29">
        <f>E28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LOOKUP(AD9,T$5:T$78,U$5:U$38)</f>
        <v>0</v>
      </c>
      <c r="AF9" s="37" t="s">
        <v>157</v>
      </c>
      <c r="AG9" s="65">
        <f t="shared" ref="AG9:AG19" ca="1" si="1">LOOKUP(AD9,T$5:T$78,W$5:W$39)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2"/>
      <c r="J10" s="15"/>
      <c r="K10" s="10"/>
      <c r="L10" s="10"/>
      <c r="M10" s="10"/>
      <c r="N10" s="10"/>
      <c r="O10" s="10"/>
      <c r="T10">
        <v>6</v>
      </c>
      <c r="U10" s="28">
        <f>E30</f>
        <v>0</v>
      </c>
      <c r="V10" t="s">
        <v>77</v>
      </c>
      <c r="W10" s="29">
        <f>E32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E39</f>
        <v>0</v>
      </c>
      <c r="V11" t="s">
        <v>77</v>
      </c>
      <c r="W11" s="29">
        <f>E41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9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E43</f>
        <v>0</v>
      </c>
      <c r="V12" t="s">
        <v>77</v>
      </c>
      <c r="W12" s="29">
        <f>E45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 ht="13" thickBot="1">
      <c r="E13" s="10"/>
      <c r="F13" s="10"/>
      <c r="G13" s="10"/>
      <c r="H13" s="10"/>
      <c r="I13" s="10"/>
      <c r="J13" s="14" t="s">
        <v>244</v>
      </c>
      <c r="K13" s="9" t="str">
        <f>IF(OR(J10="",J17=""),"",+IF(J10&gt;J17,I9,I17))</f>
        <v/>
      </c>
      <c r="L13" s="17"/>
      <c r="M13" s="10"/>
      <c r="N13" s="10"/>
      <c r="O13" s="10"/>
      <c r="T13">
        <v>9</v>
      </c>
      <c r="U13" s="28">
        <f>E47</f>
        <v>0</v>
      </c>
      <c r="V13" t="s">
        <v>77</v>
      </c>
      <c r="W13" s="29">
        <f>E49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  <c r="AH13" s="74"/>
    </row>
    <row r="14" spans="4:34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E51</f>
        <v>0</v>
      </c>
      <c r="V14" t="s">
        <v>77</v>
      </c>
      <c r="W14" s="29">
        <f>E53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  <c r="AH14" s="74"/>
    </row>
    <row r="15" spans="4:34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 s="10"/>
      <c r="O15" s="10"/>
      <c r="T15">
        <v>11</v>
      </c>
      <c r="U15" s="28">
        <f>E55</f>
        <v>0</v>
      </c>
      <c r="V15" t="s">
        <v>77</v>
      </c>
      <c r="W15" s="29">
        <f>E57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  <c r="AH15" s="74"/>
    </row>
    <row r="16" spans="4:34" ht="13" thickBot="1">
      <c r="D16">
        <v>5</v>
      </c>
      <c r="E16" s="10"/>
      <c r="F16" s="16"/>
      <c r="G16" s="10"/>
      <c r="H16" s="14"/>
      <c r="I16" s="10"/>
      <c r="J16" s="14"/>
      <c r="K16" s="10"/>
      <c r="L16" s="14"/>
      <c r="M16" s="10"/>
      <c r="N16" s="10"/>
      <c r="O16" s="10"/>
      <c r="T16">
        <v>12</v>
      </c>
      <c r="U16" s="28">
        <f>E59</f>
        <v>0</v>
      </c>
      <c r="V16" t="s">
        <v>77</v>
      </c>
      <c r="W16" s="29">
        <f>E61</f>
        <v>0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  <c r="AH16" s="74"/>
    </row>
    <row r="17" spans="4:34" ht="13" thickBot="1">
      <c r="E17" s="12"/>
      <c r="F17" s="10"/>
      <c r="G17" s="10"/>
      <c r="H17" s="14" t="s">
        <v>229</v>
      </c>
      <c r="I17" s="9" t="str">
        <f>IF(OR(H15="",H19=""),"",+IF(H15&gt;H19,G15,G19))</f>
        <v/>
      </c>
      <c r="J17" s="16"/>
      <c r="K17" s="10"/>
      <c r="L17" s="14"/>
      <c r="M17" s="10"/>
      <c r="N17" s="10"/>
      <c r="O17" s="10"/>
      <c r="T17">
        <v>13</v>
      </c>
      <c r="U17" s="28">
        <f>E7</f>
        <v>0</v>
      </c>
      <c r="V17" t="s">
        <v>77</v>
      </c>
      <c r="W17" s="29" t="s">
        <v>78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  <c r="AH17" s="74"/>
    </row>
    <row r="18" spans="4:34" ht="13" thickBot="1">
      <c r="D18">
        <v>6</v>
      </c>
      <c r="E18" s="10"/>
      <c r="F18" s="11"/>
      <c r="G18" s="10"/>
      <c r="H18" s="14"/>
      <c r="I18" s="10"/>
      <c r="J18" s="10"/>
      <c r="K18" s="10"/>
      <c r="L18" s="14"/>
      <c r="M18" s="10"/>
      <c r="N18" s="10"/>
      <c r="O18" s="10"/>
      <c r="T18">
        <v>14</v>
      </c>
      <c r="U18" s="28" t="s">
        <v>160</v>
      </c>
      <c r="V18" t="s">
        <v>77</v>
      </c>
      <c r="W18" s="29" t="s">
        <v>161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>
        <f t="shared" ca="1" si="1"/>
        <v>0</v>
      </c>
      <c r="AH18" s="74"/>
    </row>
    <row r="19" spans="4:34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N19" s="10"/>
      <c r="O19" s="10"/>
      <c r="T19">
        <v>15</v>
      </c>
      <c r="U19" s="28" t="s">
        <v>81</v>
      </c>
      <c r="V19" t="s">
        <v>77</v>
      </c>
      <c r="W19" s="29" t="s">
        <v>162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>
        <f t="shared" ca="1" si="1"/>
        <v>0</v>
      </c>
      <c r="AH19" s="74"/>
    </row>
    <row r="20" spans="4:34" ht="13" thickBot="1">
      <c r="D20">
        <v>7</v>
      </c>
      <c r="E20" s="10"/>
      <c r="F20" s="16"/>
      <c r="G20" s="10"/>
      <c r="H20" s="10"/>
      <c r="I20" s="10"/>
      <c r="J20" s="10"/>
      <c r="K20" s="10"/>
      <c r="L20" s="14"/>
      <c r="M20" s="10"/>
      <c r="N20" s="10"/>
      <c r="O20" s="10"/>
      <c r="T20">
        <v>16</v>
      </c>
      <c r="U20" s="28" t="s">
        <v>163</v>
      </c>
      <c r="V20" t="s">
        <v>77</v>
      </c>
      <c r="W20" s="29">
        <f>E34</f>
        <v>0</v>
      </c>
      <c r="Z20" s="34"/>
      <c r="AA20" s="40"/>
      <c r="AB20" s="40"/>
      <c r="AC20" s="38" t="s">
        <v>159</v>
      </c>
      <c r="AD20" s="48">
        <v>12</v>
      </c>
      <c r="AE20" s="53">
        <f t="shared" ref="AE20:AE30" ca="1" si="2">LOOKUP(AD20,T$5:T$78,U$5:U$38)</f>
        <v>0</v>
      </c>
      <c r="AF20" s="37" t="s">
        <v>157</v>
      </c>
      <c r="AG20" s="65">
        <f t="shared" ref="AG20:AG30" ca="1" si="3">LOOKUP(AD20,T$5:T$78,W$5:W$39)</f>
        <v>0</v>
      </c>
      <c r="AH20" s="74"/>
    </row>
    <row r="21" spans="4:34" ht="13" thickBot="1">
      <c r="E21" s="12"/>
      <c r="F21" s="10"/>
      <c r="G21" s="10"/>
      <c r="H21" s="10"/>
      <c r="I21" s="10"/>
      <c r="J21" s="10"/>
      <c r="K21" s="10"/>
      <c r="L21" s="14" t="s">
        <v>252</v>
      </c>
      <c r="M21" s="9" t="str">
        <f>IF(OR(L13="",L28=""),"",+IF(L13&gt;L28,K13,K28))</f>
        <v/>
      </c>
      <c r="N21" s="17"/>
      <c r="O21" s="10"/>
      <c r="T21">
        <v>17</v>
      </c>
      <c r="U21" s="28">
        <f>E36</f>
        <v>0</v>
      </c>
      <c r="W21" s="29" t="s">
        <v>84</v>
      </c>
      <c r="Z21" s="34"/>
      <c r="AA21" s="40"/>
      <c r="AB21" s="40"/>
      <c r="AC21" s="38" t="s">
        <v>159</v>
      </c>
      <c r="AD21" s="48">
        <v>13</v>
      </c>
      <c r="AE21" s="53">
        <f t="shared" ca="1" si="2"/>
        <v>0</v>
      </c>
      <c r="AF21" s="37" t="s">
        <v>157</v>
      </c>
      <c r="AG21" s="65" t="str">
        <f t="shared" ca="1" si="3"/>
        <v>Venc.J1</v>
      </c>
      <c r="AH21" s="74"/>
    </row>
    <row r="22" spans="4:34" ht="13" thickBot="1">
      <c r="D22">
        <v>8</v>
      </c>
      <c r="E22" s="10"/>
      <c r="F22" s="11"/>
      <c r="G22" s="10"/>
      <c r="H22" s="10"/>
      <c r="I22" s="10"/>
      <c r="J22" s="10"/>
      <c r="K22" s="10"/>
      <c r="L22" s="14"/>
      <c r="M22" s="10"/>
      <c r="N22" s="14"/>
      <c r="O22" s="10"/>
      <c r="T22">
        <v>18</v>
      </c>
      <c r="U22" s="28" t="s">
        <v>164</v>
      </c>
      <c r="V22" t="s">
        <v>77</v>
      </c>
      <c r="W22" s="29" t="s">
        <v>86</v>
      </c>
      <c r="Z22" s="34"/>
      <c r="AA22" s="40"/>
      <c r="AB22" s="40"/>
      <c r="AC22" s="38" t="s">
        <v>159</v>
      </c>
      <c r="AD22" s="48">
        <v>14</v>
      </c>
      <c r="AE22" s="53" t="str">
        <f t="shared" ca="1" si="2"/>
        <v>Venc.J2</v>
      </c>
      <c r="AF22" s="37" t="s">
        <v>157</v>
      </c>
      <c r="AG22" s="65" t="str">
        <f t="shared" ca="1" si="3"/>
        <v>Venc.J3</v>
      </c>
      <c r="AH22" s="74"/>
    </row>
    <row r="23" spans="4:34" ht="13" thickBot="1">
      <c r="E23" s="12"/>
      <c r="F23" s="13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N23" s="14"/>
      <c r="O23" s="10"/>
      <c r="T23">
        <v>19</v>
      </c>
      <c r="U23" s="28" t="s">
        <v>87</v>
      </c>
      <c r="V23" t="s">
        <v>77</v>
      </c>
      <c r="W23" s="29" t="s">
        <v>88</v>
      </c>
      <c r="Z23" s="34"/>
      <c r="AA23" s="40"/>
      <c r="AB23" s="40"/>
      <c r="AC23" s="38" t="s">
        <v>159</v>
      </c>
      <c r="AD23" s="48">
        <v>15</v>
      </c>
      <c r="AE23" s="53" t="str">
        <f t="shared" ca="1" si="2"/>
        <v>Venc.J4</v>
      </c>
      <c r="AF23" s="37" t="s">
        <v>157</v>
      </c>
      <c r="AG23" s="65" t="str">
        <f t="shared" ca="1" si="3"/>
        <v>Venc.J5</v>
      </c>
      <c r="AH23" s="74"/>
    </row>
    <row r="24" spans="4:34" ht="13" thickBot="1">
      <c r="D24">
        <v>9</v>
      </c>
      <c r="E24" s="10"/>
      <c r="F24" s="16"/>
      <c r="G24" s="10"/>
      <c r="H24" s="14"/>
      <c r="I24" s="10"/>
      <c r="J24" s="10"/>
      <c r="K24" s="10"/>
      <c r="L24" s="14"/>
      <c r="M24" s="10"/>
      <c r="N24" s="14"/>
      <c r="O24" s="10"/>
      <c r="T24">
        <v>20</v>
      </c>
      <c r="U24" s="28" t="s">
        <v>89</v>
      </c>
      <c r="V24" t="s">
        <v>77</v>
      </c>
      <c r="W24" s="29">
        <f>E63</f>
        <v>0</v>
      </c>
      <c r="Z24" s="34"/>
      <c r="AA24" s="40"/>
      <c r="AB24" s="40"/>
      <c r="AC24" s="38" t="s">
        <v>159</v>
      </c>
      <c r="AD24" s="48">
        <v>16</v>
      </c>
      <c r="AE24" s="53" t="str">
        <f t="shared" ca="1" si="2"/>
        <v>Venc.J6</v>
      </c>
      <c r="AF24" s="37" t="s">
        <v>157</v>
      </c>
      <c r="AG24" s="65">
        <f t="shared" ca="1" si="3"/>
        <v>0</v>
      </c>
      <c r="AH24" s="74"/>
    </row>
    <row r="25" spans="4:34" ht="13" thickBot="1">
      <c r="E25" s="12"/>
      <c r="F25" s="10"/>
      <c r="G25" s="10"/>
      <c r="H25" s="14" t="s">
        <v>232</v>
      </c>
      <c r="I25" s="9" t="str">
        <f>IF(OR(H23="",H27=""),"",+IF(H23&gt;H27,G23,G27))</f>
        <v/>
      </c>
      <c r="J25" s="17"/>
      <c r="K25" s="10"/>
      <c r="L25" s="14"/>
      <c r="M25" s="10"/>
      <c r="N25" s="14"/>
      <c r="O25" s="10"/>
      <c r="T25">
        <v>21</v>
      </c>
      <c r="U25" s="28" t="s">
        <v>90</v>
      </c>
      <c r="V25" t="s">
        <v>77</v>
      </c>
      <c r="W25" s="29" t="s">
        <v>91</v>
      </c>
      <c r="Z25" s="34"/>
      <c r="AA25" s="40"/>
      <c r="AB25" s="40"/>
      <c r="AC25" s="38" t="s">
        <v>159</v>
      </c>
      <c r="AD25" s="48">
        <v>17</v>
      </c>
      <c r="AE25" s="53">
        <f t="shared" ca="1" si="2"/>
        <v>0</v>
      </c>
      <c r="AF25" s="37" t="s">
        <v>157</v>
      </c>
      <c r="AG25" s="65" t="str">
        <f t="shared" ca="1" si="3"/>
        <v>Venc.J7</v>
      </c>
      <c r="AH25" s="74"/>
    </row>
    <row r="26" spans="4:34" ht="13" thickBot="1">
      <c r="D26">
        <v>10</v>
      </c>
      <c r="E26" s="10"/>
      <c r="F26" s="11"/>
      <c r="G26" s="10"/>
      <c r="H26" s="14"/>
      <c r="I26" s="10"/>
      <c r="J26" s="14"/>
      <c r="K26" s="10"/>
      <c r="L26" s="14"/>
      <c r="M26" s="10"/>
      <c r="N26" s="14"/>
      <c r="O26" s="10"/>
      <c r="T26">
        <v>22</v>
      </c>
      <c r="U26" s="28" t="s">
        <v>92</v>
      </c>
      <c r="V26" t="s">
        <v>77</v>
      </c>
      <c r="W26" s="29" t="s">
        <v>165</v>
      </c>
      <c r="Z26" s="34"/>
      <c r="AA26" s="40"/>
      <c r="AB26" s="40"/>
      <c r="AC26" s="38" t="s">
        <v>159</v>
      </c>
      <c r="AD26" s="48">
        <v>18</v>
      </c>
      <c r="AE26" s="53" t="str">
        <f t="shared" ca="1" si="2"/>
        <v>Venc.J8</v>
      </c>
      <c r="AF26" s="37" t="s">
        <v>157</v>
      </c>
      <c r="AG26" s="65" t="str">
        <f t="shared" ca="1" si="3"/>
        <v>Venc.J9</v>
      </c>
      <c r="AH26" s="74"/>
    </row>
    <row r="27" spans="4:34" ht="13" thickBot="1">
      <c r="E27" s="12"/>
      <c r="F27" s="13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  <c r="N27" s="14"/>
      <c r="O27" s="10"/>
      <c r="T27">
        <v>23</v>
      </c>
      <c r="U27" s="28" t="s">
        <v>94</v>
      </c>
      <c r="V27" t="s">
        <v>77</v>
      </c>
      <c r="W27" s="29" t="s">
        <v>95</v>
      </c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Venc.J10</v>
      </c>
      <c r="AF27" s="37" t="s">
        <v>157</v>
      </c>
      <c r="AG27" s="65" t="str">
        <f t="shared" ca="1" si="3"/>
        <v>Venc.J11</v>
      </c>
      <c r="AH27" s="74"/>
    </row>
    <row r="28" spans="4:34" ht="13" thickBot="1">
      <c r="D28">
        <v>11</v>
      </c>
      <c r="E28" s="10"/>
      <c r="F28" s="16"/>
      <c r="G28" s="10"/>
      <c r="H28" s="10"/>
      <c r="I28" s="10"/>
      <c r="J28" s="14" t="s">
        <v>246</v>
      </c>
      <c r="K28" s="9" t="str">
        <f>IF(OR(J25="",J33=""),"",+IF(J25&gt;J33,I25,I33))</f>
        <v/>
      </c>
      <c r="L28" s="16"/>
      <c r="M28" s="10"/>
      <c r="N28" s="14"/>
      <c r="O28" s="10"/>
      <c r="T28">
        <v>24</v>
      </c>
      <c r="U28" s="28" t="s">
        <v>96</v>
      </c>
      <c r="V28" t="s">
        <v>77</v>
      </c>
      <c r="W28" s="29" t="s">
        <v>97</v>
      </c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Venc.J12</v>
      </c>
      <c r="AF28" s="37" t="s">
        <v>157</v>
      </c>
      <c r="AG28" s="65">
        <f t="shared" ca="1" si="3"/>
        <v>0</v>
      </c>
      <c r="AH28" s="74"/>
    </row>
    <row r="29" spans="4:34">
      <c r="E29" s="12"/>
      <c r="F29" s="10"/>
      <c r="G29" s="10"/>
      <c r="H29" s="10"/>
      <c r="I29" s="10"/>
      <c r="J29" s="14"/>
      <c r="K29" s="10"/>
      <c r="L29" s="10"/>
      <c r="M29" s="10"/>
      <c r="N29" s="14"/>
      <c r="O29" s="10"/>
      <c r="T29">
        <v>25</v>
      </c>
      <c r="U29" s="28" t="s">
        <v>98</v>
      </c>
      <c r="V29" t="s">
        <v>77</v>
      </c>
      <c r="W29" s="29" t="s">
        <v>99</v>
      </c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Venc.J13</v>
      </c>
      <c r="AF29" s="37" t="s">
        <v>157</v>
      </c>
      <c r="AG29" s="65" t="str">
        <f t="shared" ca="1" si="3"/>
        <v>Venc.J14</v>
      </c>
      <c r="AH29" s="74"/>
    </row>
    <row r="30" spans="4:34" ht="13" thickBot="1">
      <c r="D30">
        <v>12</v>
      </c>
      <c r="E30" s="10"/>
      <c r="F30" s="11"/>
      <c r="G30" s="10"/>
      <c r="H30" s="10"/>
      <c r="I30" s="10"/>
      <c r="J30" s="14"/>
      <c r="K30" s="10"/>
      <c r="L30" s="10"/>
      <c r="M30" s="10"/>
      <c r="N30" s="14"/>
      <c r="O30" s="10"/>
      <c r="T30">
        <v>26</v>
      </c>
      <c r="U30" s="28" t="s">
        <v>100</v>
      </c>
      <c r="V30" t="s">
        <v>77</v>
      </c>
      <c r="W30" s="29" t="s">
        <v>101</v>
      </c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Venc.J15</v>
      </c>
      <c r="AF30" s="37" t="s">
        <v>157</v>
      </c>
      <c r="AG30" s="65" t="str">
        <f t="shared" ca="1" si="3"/>
        <v>Venc.J16</v>
      </c>
      <c r="AH30" s="74"/>
    </row>
    <row r="31" spans="4:34" ht="13" thickBot="1">
      <c r="E31" s="12"/>
      <c r="F31" s="13" t="s">
        <v>212</v>
      </c>
      <c r="G31" s="9" t="str">
        <f>IF(OR(F30="",F32=""),"",+IF(F30&gt;F32,E30,E32))</f>
        <v/>
      </c>
      <c r="H31" s="11"/>
      <c r="I31" s="10"/>
      <c r="J31" s="14"/>
      <c r="K31" s="10"/>
      <c r="L31" s="10"/>
      <c r="M31" s="10"/>
      <c r="N31" s="14"/>
      <c r="O31" s="10"/>
      <c r="T31">
        <v>27</v>
      </c>
      <c r="U31" s="28" t="s">
        <v>301</v>
      </c>
      <c r="V31" t="s">
        <v>77</v>
      </c>
      <c r="W31" s="29" t="s">
        <v>302</v>
      </c>
      <c r="Z31" s="34"/>
      <c r="AA31" s="40"/>
      <c r="AB31" s="40"/>
      <c r="AC31" s="38" t="s">
        <v>159</v>
      </c>
      <c r="AD31" s="48">
        <v>23</v>
      </c>
      <c r="AE31" s="53" t="str">
        <f t="shared" ref="AE31:AE36" ca="1" si="4">LOOKUP(AD31,T$5:T$78,U$5:U$38)</f>
        <v>Venc.J17</v>
      </c>
      <c r="AF31" s="37" t="s">
        <v>157</v>
      </c>
      <c r="AG31" s="65" t="str">
        <f t="shared" ref="AG31:AG36" ca="1" si="5">LOOKUP(AD31,T$5:T$78,W$5:W$39)</f>
        <v>Venc.J18</v>
      </c>
      <c r="AH31" s="74"/>
    </row>
    <row r="32" spans="4:34" ht="13" thickBot="1">
      <c r="D32">
        <v>13</v>
      </c>
      <c r="E32" s="9"/>
      <c r="F32" s="16"/>
      <c r="G32" s="10"/>
      <c r="H32" s="13"/>
      <c r="I32" s="10"/>
      <c r="J32" s="14"/>
      <c r="K32" s="10"/>
      <c r="L32" s="10"/>
      <c r="M32" s="10"/>
      <c r="N32" s="14"/>
      <c r="O32" s="10"/>
      <c r="T32">
        <v>28</v>
      </c>
      <c r="U32" s="28" t="s">
        <v>102</v>
      </c>
      <c r="V32" t="s">
        <v>77</v>
      </c>
      <c r="W32" s="29" t="s">
        <v>103</v>
      </c>
      <c r="Z32" s="34"/>
      <c r="AA32" s="40"/>
      <c r="AB32" s="40"/>
      <c r="AC32" s="38" t="s">
        <v>159</v>
      </c>
      <c r="AD32" s="48">
        <v>24</v>
      </c>
      <c r="AE32" s="53" t="str">
        <f t="shared" ca="1" si="4"/>
        <v>Venc.J19</v>
      </c>
      <c r="AF32" s="37" t="s">
        <v>157</v>
      </c>
      <c r="AG32" s="65" t="str">
        <f t="shared" ca="1" si="5"/>
        <v>Venc.J20</v>
      </c>
      <c r="AH32" s="74"/>
    </row>
    <row r="33" spans="4:34" ht="13" thickBot="1">
      <c r="E33" s="10"/>
      <c r="F33" s="10"/>
      <c r="G33" s="10"/>
      <c r="H33" s="14" t="s">
        <v>234</v>
      </c>
      <c r="I33" s="9" t="str">
        <f>IF(OR(H31="",H34=""),"",+IF(H31&gt;H34,G31,E34))</f>
        <v/>
      </c>
      <c r="J33" s="16"/>
      <c r="K33" s="10"/>
      <c r="L33" s="10"/>
      <c r="M33" s="10"/>
      <c r="N33" s="14"/>
      <c r="O33" s="10"/>
      <c r="U33" s="29"/>
      <c r="W33" s="28"/>
      <c r="Z33" s="34"/>
      <c r="AA33" s="40"/>
      <c r="AB33" s="40"/>
      <c r="AC33" s="38" t="s">
        <v>159</v>
      </c>
      <c r="AD33" s="48">
        <v>25</v>
      </c>
      <c r="AE33" s="53" t="str">
        <f t="shared" ca="1" si="4"/>
        <v>Venc.J21</v>
      </c>
      <c r="AF33" s="37" t="s">
        <v>157</v>
      </c>
      <c r="AG33" s="65" t="str">
        <f t="shared" ca="1" si="5"/>
        <v>Venc.J22</v>
      </c>
      <c r="AH33" s="74"/>
    </row>
    <row r="34" spans="4:34" ht="13" thickBot="1">
      <c r="D34">
        <v>14</v>
      </c>
      <c r="E34" s="9"/>
      <c r="F34" s="9"/>
      <c r="G34" s="9">
        <f>E34</f>
        <v>0</v>
      </c>
      <c r="H34" s="16"/>
      <c r="I34" s="10"/>
      <c r="J34" s="10"/>
      <c r="K34" s="10"/>
      <c r="L34" s="10"/>
      <c r="M34" s="10"/>
      <c r="N34" s="14"/>
      <c r="O34" s="10"/>
      <c r="U34" s="29"/>
      <c r="W34" s="28"/>
      <c r="Z34" s="34"/>
      <c r="AA34" s="40"/>
      <c r="AB34" s="40"/>
      <c r="AC34" s="38" t="s">
        <v>159</v>
      </c>
      <c r="AD34" s="48">
        <v>26</v>
      </c>
      <c r="AE34" s="53" t="str">
        <f t="shared" ca="1" si="4"/>
        <v>Venc.J23</v>
      </c>
      <c r="AF34" s="37" t="s">
        <v>157</v>
      </c>
      <c r="AG34" s="65" t="str">
        <f t="shared" ca="1" si="5"/>
        <v>Venc.J24</v>
      </c>
      <c r="AH34" s="74"/>
    </row>
    <row r="35" spans="4:34" ht="13" thickBot="1">
      <c r="E35" s="10"/>
      <c r="F35" s="10"/>
      <c r="G35" s="10"/>
      <c r="H35" s="10"/>
      <c r="I35" s="10"/>
      <c r="J35" s="10"/>
      <c r="K35" s="10"/>
      <c r="L35" s="10"/>
      <c r="M35" s="77" t="s">
        <v>278</v>
      </c>
      <c r="N35" s="14" t="s">
        <v>258</v>
      </c>
      <c r="O35" s="9" t="str">
        <f>IF(OR(N21="",N50=""),"",+IF(N21&gt;N50,M21,M50))</f>
        <v/>
      </c>
      <c r="U35" s="29"/>
      <c r="Z35" s="34"/>
      <c r="AA35" s="40"/>
      <c r="AB35" s="40"/>
      <c r="AC35" s="38" t="s">
        <v>159</v>
      </c>
      <c r="AD35" s="48">
        <v>27</v>
      </c>
      <c r="AE35" s="53" t="str">
        <f t="shared" ca="1" si="4"/>
        <v>Perd.J25</v>
      </c>
      <c r="AF35" s="37" t="s">
        <v>157</v>
      </c>
      <c r="AG35" s="65" t="str">
        <f t="shared" ca="1" si="5"/>
        <v>Perd.J26</v>
      </c>
      <c r="AH35" s="74"/>
    </row>
    <row r="36" spans="4:34" ht="13" thickBot="1">
      <c r="D36">
        <v>15</v>
      </c>
      <c r="E36" s="10"/>
      <c r="F36" s="9"/>
      <c r="G36" s="9">
        <f>E36</f>
        <v>0</v>
      </c>
      <c r="H36" s="11"/>
      <c r="I36" s="10"/>
      <c r="J36" s="10"/>
      <c r="K36" s="10"/>
      <c r="L36" s="10"/>
      <c r="M36" s="10"/>
      <c r="N36" s="14"/>
      <c r="O36" s="10"/>
      <c r="Z36" s="34"/>
      <c r="AA36" s="40"/>
      <c r="AB36" s="40"/>
      <c r="AC36" s="38" t="s">
        <v>159</v>
      </c>
      <c r="AD36" s="48">
        <v>28</v>
      </c>
      <c r="AE36" s="53" t="str">
        <f t="shared" ca="1" si="4"/>
        <v>Venc.J25</v>
      </c>
      <c r="AF36" s="37" t="s">
        <v>157</v>
      </c>
      <c r="AG36" s="65" t="str">
        <f t="shared" ca="1" si="5"/>
        <v>Venc.J26</v>
      </c>
      <c r="AH36" s="74"/>
    </row>
    <row r="37" spans="4:34" ht="13" thickBot="1">
      <c r="E37" s="12"/>
      <c r="F37" s="10"/>
      <c r="G37" s="10"/>
      <c r="H37" s="13"/>
      <c r="I37" s="10"/>
      <c r="J37" s="10"/>
      <c r="K37" s="10"/>
      <c r="L37" s="10"/>
      <c r="M37" s="10"/>
      <c r="N37" s="14"/>
      <c r="O37" s="10"/>
      <c r="U37" s="29"/>
      <c r="Z37" s="42"/>
      <c r="AA37" s="43"/>
      <c r="AB37" s="43"/>
      <c r="AC37" s="43"/>
      <c r="AD37" s="61"/>
      <c r="AE37" s="62"/>
      <c r="AF37" s="63"/>
      <c r="AG37" s="60"/>
      <c r="AH37" s="75"/>
    </row>
    <row r="38" spans="4:34" ht="13.35" thickTop="1" thickBot="1">
      <c r="E38" s="10"/>
      <c r="F38" s="10"/>
      <c r="G38" s="10"/>
      <c r="H38" s="14" t="s">
        <v>236</v>
      </c>
      <c r="I38" s="9" t="str">
        <f>IF(OR(H36="",H40=""),"",+IF(H36&gt;H40,G36,G40))</f>
        <v/>
      </c>
      <c r="J38" s="10"/>
      <c r="K38" s="10"/>
      <c r="L38" s="10"/>
      <c r="M38" s="10"/>
      <c r="N38" s="14"/>
      <c r="O38" s="10"/>
    </row>
    <row r="39" spans="4:34" ht="13" thickBot="1">
      <c r="D39">
        <v>16</v>
      </c>
      <c r="E39" s="10"/>
      <c r="F39" s="11"/>
      <c r="G39" s="10"/>
      <c r="H39" s="14"/>
      <c r="I39" s="12"/>
      <c r="J39" s="15"/>
      <c r="K39" s="10"/>
      <c r="L39" s="10"/>
      <c r="M39" s="10"/>
      <c r="N39" s="14"/>
      <c r="O39" s="10"/>
    </row>
    <row r="40" spans="4:34" ht="13" thickBot="1">
      <c r="E40" s="12"/>
      <c r="F40" s="13" t="s">
        <v>214</v>
      </c>
      <c r="G40" s="9" t="str">
        <f>IF(OR(F39="",F41=""),"",+IF(F39&gt;F41,E39,E41))</f>
        <v/>
      </c>
      <c r="H40" s="16"/>
      <c r="I40" s="10"/>
      <c r="J40" s="14"/>
      <c r="K40" s="10"/>
      <c r="L40" s="10"/>
      <c r="M40" s="10"/>
      <c r="N40" s="14"/>
      <c r="O40" s="10"/>
    </row>
    <row r="41" spans="4:34" ht="13" thickBot="1">
      <c r="D41">
        <v>17</v>
      </c>
      <c r="E41" s="9"/>
      <c r="F41" s="16"/>
      <c r="G41" s="10"/>
      <c r="H41" s="10"/>
      <c r="I41" s="10"/>
      <c r="J41" s="14"/>
      <c r="K41" s="10"/>
      <c r="L41" s="10"/>
      <c r="M41" s="10"/>
      <c r="N41" s="14"/>
      <c r="O41" s="10"/>
    </row>
    <row r="42" spans="4:34" ht="13" thickBot="1">
      <c r="E42" s="10"/>
      <c r="F42" s="10"/>
      <c r="G42" s="10"/>
      <c r="H42" s="10"/>
      <c r="I42" s="10"/>
      <c r="J42" s="14" t="s">
        <v>248</v>
      </c>
      <c r="K42" s="9" t="str">
        <f>IF(OR(J39="",J46=""),"",+IF(J39&gt;J46,I38,I46))</f>
        <v/>
      </c>
      <c r="L42" s="17"/>
      <c r="M42" s="10"/>
      <c r="N42" s="14"/>
      <c r="O42" s="10"/>
    </row>
    <row r="43" spans="4:34" ht="13" thickBot="1">
      <c r="D43">
        <v>18</v>
      </c>
      <c r="E43" s="10"/>
      <c r="F43" s="11"/>
      <c r="G43" s="10"/>
      <c r="H43" s="10"/>
      <c r="I43" s="10"/>
      <c r="J43" s="14"/>
      <c r="K43" s="10"/>
      <c r="L43" s="13"/>
      <c r="M43" s="10"/>
      <c r="N43" s="14"/>
      <c r="O43" s="10"/>
    </row>
    <row r="44" spans="4:34" ht="13" thickBot="1">
      <c r="E44" s="12"/>
      <c r="F44" s="13" t="s">
        <v>217</v>
      </c>
      <c r="G44" s="9" t="str">
        <f>IF(OR(F43="",F45=""),"",+IF(F43&gt;F45,E43,E45))</f>
        <v/>
      </c>
      <c r="H44" s="17"/>
      <c r="I44" s="10"/>
      <c r="J44" s="14"/>
      <c r="K44" s="10"/>
      <c r="L44" s="14"/>
      <c r="M44" s="10"/>
      <c r="N44" s="14"/>
      <c r="O44" s="10"/>
    </row>
    <row r="45" spans="4:34" ht="13" thickBot="1">
      <c r="D45">
        <v>19</v>
      </c>
      <c r="E45" s="10"/>
      <c r="F45" s="16"/>
      <c r="G45" s="10"/>
      <c r="H45" s="14"/>
      <c r="I45" s="10"/>
      <c r="J45" s="14"/>
      <c r="K45" s="10"/>
      <c r="L45" s="14"/>
      <c r="M45" s="10"/>
      <c r="N45" s="14"/>
      <c r="O45" s="10"/>
    </row>
    <row r="46" spans="4:34" ht="13" thickBot="1">
      <c r="E46" s="12"/>
      <c r="F46" s="10"/>
      <c r="G46" s="10"/>
      <c r="H46" s="14" t="s">
        <v>238</v>
      </c>
      <c r="I46" s="9" t="str">
        <f>IF(OR(H44="",H48=""),"",+IF(H44&gt;H48,G44,G48))</f>
        <v/>
      </c>
      <c r="J46" s="16"/>
      <c r="K46" s="10"/>
      <c r="L46" s="14"/>
      <c r="M46" s="10"/>
      <c r="N46" s="14"/>
      <c r="O46" s="10"/>
    </row>
    <row r="47" spans="4:34" ht="13" thickBot="1">
      <c r="D47">
        <v>20</v>
      </c>
      <c r="E47" s="10"/>
      <c r="F47" s="11"/>
      <c r="G47" s="10"/>
      <c r="H47" s="14"/>
      <c r="I47" s="10"/>
      <c r="J47" s="10"/>
      <c r="K47" s="10"/>
      <c r="L47" s="14"/>
      <c r="M47" s="10"/>
      <c r="N47" s="14"/>
      <c r="O47" s="10"/>
    </row>
    <row r="48" spans="4:34" ht="13" thickBot="1">
      <c r="E48" s="12"/>
      <c r="F48" s="13" t="s">
        <v>219</v>
      </c>
      <c r="G48" s="9" t="str">
        <f>IF(OR(F47="",F49=""),"",+IF(F47&gt;F49,E47,E49))</f>
        <v/>
      </c>
      <c r="H48" s="16"/>
      <c r="I48" s="10"/>
      <c r="J48" s="10"/>
      <c r="K48" s="10"/>
      <c r="L48" s="14"/>
      <c r="M48" s="10"/>
      <c r="N48" s="14"/>
      <c r="O48" s="10"/>
    </row>
    <row r="49" spans="4:15" ht="13" thickBot="1">
      <c r="D49">
        <v>21</v>
      </c>
      <c r="E49" s="10"/>
      <c r="F49" s="16"/>
      <c r="G49" s="10"/>
      <c r="H49" s="10"/>
      <c r="I49" s="10"/>
      <c r="J49" s="10"/>
      <c r="K49" s="10"/>
      <c r="L49" s="14"/>
      <c r="M49" s="10"/>
      <c r="N49" s="14"/>
      <c r="O49" s="10"/>
    </row>
    <row r="50" spans="4:15" ht="13" thickBot="1">
      <c r="E50" s="12"/>
      <c r="F50" s="10"/>
      <c r="G50" s="10"/>
      <c r="H50" s="10"/>
      <c r="I50" s="10"/>
      <c r="J50" s="10"/>
      <c r="K50" s="10"/>
      <c r="L50" s="14" t="s">
        <v>254</v>
      </c>
      <c r="M50" s="9" t="str">
        <f>IF(OR(L42="",L57=""),"",+IF(L42&gt;L57,K42,K57))</f>
        <v/>
      </c>
      <c r="N50" s="16"/>
      <c r="O50" s="10"/>
    </row>
    <row r="51" spans="4:15" ht="13" thickBot="1">
      <c r="D51">
        <v>22</v>
      </c>
      <c r="E51" s="10"/>
      <c r="F51" s="11"/>
      <c r="G51" s="10"/>
      <c r="H51" s="10"/>
      <c r="I51" s="10"/>
      <c r="J51" s="10"/>
      <c r="K51" s="10"/>
      <c r="L51" s="14"/>
      <c r="M51" s="10"/>
      <c r="N51" s="10"/>
      <c r="O51" s="10"/>
    </row>
    <row r="52" spans="4:15" ht="13" thickBot="1">
      <c r="E52" s="12"/>
      <c r="F52" s="13" t="s">
        <v>221</v>
      </c>
      <c r="G52" s="9" t="str">
        <f>IF(OR(F51="",F53=""),"",+IF(F51&gt;F53,E51,E53))</f>
        <v/>
      </c>
      <c r="H52" s="17"/>
      <c r="I52" s="10"/>
      <c r="J52" s="10"/>
      <c r="K52" s="10"/>
      <c r="L52" s="14"/>
      <c r="M52" s="10"/>
      <c r="N52" s="10"/>
      <c r="O52" s="10"/>
    </row>
    <row r="53" spans="4:15" ht="13" thickBot="1">
      <c r="D53">
        <v>23</v>
      </c>
      <c r="E53" s="10"/>
      <c r="F53" s="16"/>
      <c r="G53" s="10"/>
      <c r="H53" s="14"/>
      <c r="I53" s="10"/>
      <c r="J53" s="10"/>
      <c r="K53" s="10"/>
      <c r="L53" s="14"/>
      <c r="M53" s="10"/>
      <c r="N53" s="10"/>
      <c r="O53" s="10"/>
    </row>
    <row r="54" spans="4:15" ht="13" thickBot="1">
      <c r="E54" s="12"/>
      <c r="F54" s="10"/>
      <c r="G54" s="10"/>
      <c r="H54" s="14" t="s">
        <v>240</v>
      </c>
      <c r="I54" s="9" t="str">
        <f>IF(OR(H52="",H56=""),"",+IF(H52&gt;H56,G52,G56))</f>
        <v/>
      </c>
      <c r="J54" s="17"/>
      <c r="K54" s="10"/>
      <c r="L54" s="14"/>
      <c r="M54" s="10"/>
      <c r="N54" s="10"/>
      <c r="O54" s="10"/>
    </row>
    <row r="55" spans="4:15" ht="13" thickBot="1">
      <c r="D55">
        <v>24</v>
      </c>
      <c r="E55" s="10"/>
      <c r="F55" s="11"/>
      <c r="G55" s="10"/>
      <c r="H55" s="14"/>
      <c r="I55" s="10"/>
      <c r="J55" s="14"/>
      <c r="K55" s="10"/>
      <c r="L55" s="14"/>
      <c r="M55" s="10"/>
      <c r="N55" s="10"/>
      <c r="O55" s="10"/>
    </row>
    <row r="56" spans="4:15" ht="13" thickBot="1">
      <c r="E56" s="12"/>
      <c r="F56" s="13" t="s">
        <v>223</v>
      </c>
      <c r="G56" s="9" t="str">
        <f>IF(OR(F55="",F57=""),"",+IF(F55&gt;F57,E55,E57))</f>
        <v/>
      </c>
      <c r="H56" s="16"/>
      <c r="I56" s="10"/>
      <c r="J56" s="14"/>
      <c r="K56" s="10"/>
      <c r="L56" s="14"/>
      <c r="M56" s="10"/>
      <c r="N56" s="10"/>
      <c r="O56" s="10"/>
    </row>
    <row r="57" spans="4:15" ht="13" thickBot="1">
      <c r="D57">
        <v>25</v>
      </c>
      <c r="E57" s="10"/>
      <c r="F57" s="16"/>
      <c r="G57" s="10"/>
      <c r="H57" s="10"/>
      <c r="I57" s="10"/>
      <c r="J57" s="14" t="s">
        <v>250</v>
      </c>
      <c r="K57" s="9" t="str">
        <f>IF(OR(J54="",J62=""),"",+IF(J54&gt;J62,I54,I62))</f>
        <v/>
      </c>
      <c r="L57" s="16"/>
      <c r="M57" s="10"/>
      <c r="N57" s="10"/>
      <c r="O57" s="10"/>
    </row>
    <row r="58" spans="4:15">
      <c r="E58" s="12"/>
      <c r="F58" s="10"/>
      <c r="G58" s="10"/>
      <c r="H58" s="10"/>
      <c r="I58" s="10"/>
      <c r="J58" s="14"/>
      <c r="K58" s="10"/>
      <c r="L58" s="10"/>
      <c r="M58" s="10"/>
      <c r="N58" s="10"/>
      <c r="O58" s="10"/>
    </row>
    <row r="59" spans="4:15" ht="13" thickBot="1">
      <c r="D59">
        <v>26</v>
      </c>
      <c r="E59" s="10"/>
      <c r="F59" s="11"/>
      <c r="G59" s="10"/>
      <c r="H59" s="10"/>
      <c r="I59" s="10"/>
      <c r="J59" s="14"/>
      <c r="K59" s="10"/>
      <c r="L59" s="10"/>
      <c r="M59" s="10"/>
      <c r="N59" s="10"/>
      <c r="O59" s="10"/>
    </row>
    <row r="60" spans="4:15" ht="13" thickBot="1">
      <c r="E60" s="12"/>
      <c r="F60" s="13" t="s">
        <v>225</v>
      </c>
      <c r="G60" s="9" t="str">
        <f>IF(OR(F59="",F61=""),"",+IF(F59&gt;F61,E59,E61))</f>
        <v/>
      </c>
      <c r="H60" s="11"/>
      <c r="I60" s="10"/>
      <c r="J60" s="14"/>
      <c r="K60" s="10"/>
      <c r="L60" s="10"/>
      <c r="M60" s="10"/>
      <c r="N60" s="10"/>
      <c r="O60" s="10"/>
    </row>
    <row r="61" spans="4:15" ht="13" thickBot="1">
      <c r="D61">
        <v>27</v>
      </c>
      <c r="E61" s="9"/>
      <c r="F61" s="16"/>
      <c r="G61" s="10"/>
      <c r="H61" s="13"/>
      <c r="I61" s="10"/>
      <c r="J61" s="14"/>
      <c r="K61" s="10"/>
      <c r="L61" s="10"/>
      <c r="M61" s="10"/>
      <c r="N61" s="10"/>
      <c r="O61" s="10"/>
    </row>
    <row r="62" spans="4:15" ht="13" thickBot="1">
      <c r="E62" s="10"/>
      <c r="F62" s="10"/>
      <c r="G62" s="10"/>
      <c r="H62" s="14" t="s">
        <v>242</v>
      </c>
      <c r="I62" s="9" t="str">
        <f>IF(OR(H60="",H63=""),"",+IF(H60&gt;H63,G60,E63))</f>
        <v/>
      </c>
      <c r="J62" s="16"/>
      <c r="K62" s="10"/>
      <c r="L62" s="10"/>
      <c r="M62" s="10"/>
      <c r="N62" s="10"/>
      <c r="O62" s="10"/>
    </row>
    <row r="63" spans="4:15" ht="13" thickBot="1">
      <c r="D63">
        <v>28</v>
      </c>
      <c r="E63" s="9"/>
      <c r="F63" s="9"/>
      <c r="G63" s="9">
        <f>E63</f>
        <v>0</v>
      </c>
      <c r="H63" s="16"/>
      <c r="I63" s="10"/>
      <c r="J63" s="10"/>
      <c r="K63" s="10"/>
      <c r="L63" s="10"/>
      <c r="M63" s="10"/>
      <c r="N63" s="10"/>
      <c r="O63" s="10"/>
    </row>
    <row r="64" spans="4:15" ht="13" thickBot="1">
      <c r="E64" s="10"/>
      <c r="F64" s="10"/>
      <c r="G64" s="10"/>
      <c r="H64" s="10"/>
      <c r="I64" s="10"/>
      <c r="J64" s="10"/>
      <c r="K64" s="10"/>
      <c r="L64" s="10"/>
      <c r="M64" s="9" t="str">
        <f>IF(OR(M21="",M50=""),"",+IF(L13&gt;L28,K28,K13))</f>
        <v/>
      </c>
      <c r="N64" s="17"/>
      <c r="O64" s="10"/>
    </row>
    <row r="65" spans="5:15">
      <c r="E65" s="10"/>
      <c r="F65" s="10"/>
      <c r="G65" s="10"/>
      <c r="H65" s="10"/>
      <c r="I65" s="10"/>
      <c r="J65" s="10"/>
      <c r="K65" s="10"/>
      <c r="L65" s="10"/>
      <c r="M65" s="10"/>
      <c r="N65" s="13"/>
      <c r="O65" s="10"/>
    </row>
    <row r="66" spans="5:15">
      <c r="M66" s="10"/>
      <c r="N66" s="14"/>
      <c r="O66" s="10"/>
    </row>
    <row r="67" spans="5:15">
      <c r="M67" s="10"/>
      <c r="N67" s="14"/>
      <c r="O67" s="10"/>
    </row>
    <row r="68" spans="5:15">
      <c r="M68" s="10"/>
      <c r="N68" s="14"/>
      <c r="O68" s="10"/>
    </row>
    <row r="69" spans="5:15">
      <c r="M69" s="10"/>
      <c r="N69" s="14"/>
      <c r="O69" s="10"/>
    </row>
    <row r="70" spans="5:15">
      <c r="M70" s="10"/>
      <c r="N70" s="14"/>
      <c r="O70" s="10"/>
    </row>
    <row r="71" spans="5:15">
      <c r="M71" s="10"/>
      <c r="N71" s="14"/>
      <c r="O71" s="10"/>
    </row>
    <row r="72" spans="5:15" ht="13" thickBot="1">
      <c r="M72" s="77" t="s">
        <v>279</v>
      </c>
      <c r="N72" s="14" t="s">
        <v>256</v>
      </c>
      <c r="O72" s="9" t="str">
        <f>IF(OR(N64="",N79=""),"",+IF(N64&gt;N79,M64,M79))</f>
        <v/>
      </c>
    </row>
    <row r="73" spans="5:15">
      <c r="M73" s="10"/>
      <c r="N73" s="14"/>
      <c r="O73" s="10"/>
    </row>
    <row r="74" spans="5:15">
      <c r="M74" s="10"/>
      <c r="N74" s="14"/>
      <c r="O74" s="10"/>
    </row>
    <row r="75" spans="5:15">
      <c r="M75" s="10"/>
      <c r="N75" s="14"/>
      <c r="O75" s="10"/>
    </row>
    <row r="76" spans="5:15">
      <c r="M76" s="10"/>
      <c r="N76" s="14"/>
      <c r="O76" s="10"/>
    </row>
    <row r="77" spans="5:15">
      <c r="M77" s="10"/>
      <c r="N77" s="14"/>
      <c r="O77" s="10"/>
    </row>
    <row r="78" spans="5:15">
      <c r="M78" s="10"/>
      <c r="N78" s="14"/>
      <c r="O78" s="10"/>
    </row>
    <row r="79" spans="5:15" ht="13" thickBot="1">
      <c r="M79" s="9" t="str">
        <f>IF(OR(M21="",M50=""),"",+IF(L42&gt;L57,K57,K42))</f>
        <v/>
      </c>
      <c r="N79" s="16"/>
      <c r="O79" s="10"/>
    </row>
    <row r="80" spans="5:15">
      <c r="M80" s="10"/>
      <c r="N80" s="10"/>
      <c r="O80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verticalDpi="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Plan25"/>
  <dimension ref="D4:AH76"/>
  <sheetViews>
    <sheetView showGridLines="0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6.878906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E20</f>
        <v>0</v>
      </c>
      <c r="V7" t="s">
        <v>77</v>
      </c>
      <c r="W7" s="29">
        <f>E22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E24</f>
        <v>0</v>
      </c>
      <c r="V8" t="s">
        <v>77</v>
      </c>
      <c r="W8" s="29">
        <f>E26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225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E28</f>
        <v>0</v>
      </c>
      <c r="V9" t="s">
        <v>77</v>
      </c>
      <c r="W9" s="29">
        <f>E30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LOOKUP(AD9,T$5:T$78,U$5:U$37)</f>
        <v>0</v>
      </c>
      <c r="AF9" s="37" t="s">
        <v>157</v>
      </c>
      <c r="AG9" s="65">
        <f t="shared" ref="AG9:AG19" ca="1" si="1">LOOKUP(AD9,T$5:T$78,W$5:W$38)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E37</f>
        <v>0</v>
      </c>
      <c r="V10" t="s">
        <v>77</v>
      </c>
      <c r="W10" s="29">
        <f>E39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E41</f>
        <v>0</v>
      </c>
      <c r="V11" t="s">
        <v>77</v>
      </c>
      <c r="W11" s="29">
        <f>E43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10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E45</f>
        <v>0</v>
      </c>
      <c r="V12" t="s">
        <v>77</v>
      </c>
      <c r="W12" s="29">
        <f>E47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 ht="13" thickBot="1">
      <c r="E13" s="12"/>
      <c r="F13" s="10"/>
      <c r="G13" s="10"/>
      <c r="H13" s="10"/>
      <c r="I13" s="10"/>
      <c r="J13" s="14" t="s">
        <v>242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E49</f>
        <v>0</v>
      </c>
      <c r="V13" t="s">
        <v>77</v>
      </c>
      <c r="W13" s="29">
        <f>E51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  <c r="AH13" s="74"/>
    </row>
    <row r="14" spans="4:34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E53</f>
        <v>0</v>
      </c>
      <c r="V14" t="s">
        <v>77</v>
      </c>
      <c r="W14" s="29">
        <f>E55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  <c r="AH14" s="74"/>
    </row>
    <row r="15" spans="4:34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N15" s="10"/>
      <c r="O15" s="10"/>
      <c r="T15">
        <v>11</v>
      </c>
      <c r="U15" s="28">
        <f>E57</f>
        <v>0</v>
      </c>
      <c r="V15" t="s">
        <v>77</v>
      </c>
      <c r="W15" s="29">
        <f>E59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  <c r="AH15" s="74"/>
    </row>
    <row r="16" spans="4:34" ht="13" thickBot="1">
      <c r="D16">
        <v>5</v>
      </c>
      <c r="E16" s="9"/>
      <c r="F16" s="16"/>
      <c r="G16" s="10"/>
      <c r="H16" s="13"/>
      <c r="I16" s="10"/>
      <c r="J16" s="14"/>
      <c r="K16" s="10"/>
      <c r="L16" s="14"/>
      <c r="M16" s="10"/>
      <c r="N16" s="10"/>
      <c r="O16" s="10"/>
      <c r="T16">
        <v>12</v>
      </c>
      <c r="U16" s="28">
        <f>E7</f>
        <v>0</v>
      </c>
      <c r="V16" t="s">
        <v>77</v>
      </c>
      <c r="W16" s="29" t="s">
        <v>78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  <c r="AH16" s="74"/>
    </row>
    <row r="17" spans="4:34" ht="13" thickBot="1">
      <c r="E17" s="10"/>
      <c r="F17" s="10"/>
      <c r="G17" s="10"/>
      <c r="H17" s="14" t="s">
        <v>227</v>
      </c>
      <c r="I17" s="9" t="str">
        <f>IF(OR(H15="",H18=""),"",+IF(H15&gt;H18,G15,E18))</f>
        <v/>
      </c>
      <c r="J17" s="16"/>
      <c r="K17" s="10"/>
      <c r="L17" s="14"/>
      <c r="M17" s="10"/>
      <c r="N17" s="10"/>
      <c r="O17" s="10"/>
      <c r="T17">
        <v>13</v>
      </c>
      <c r="U17" s="28" t="s">
        <v>160</v>
      </c>
      <c r="V17" t="s">
        <v>77</v>
      </c>
      <c r="W17" s="29">
        <f>E18</f>
        <v>0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  <c r="AH17" s="74"/>
    </row>
    <row r="18" spans="4:34" ht="13" thickBot="1">
      <c r="D18">
        <v>6</v>
      </c>
      <c r="E18" s="9"/>
      <c r="F18" s="9"/>
      <c r="G18" s="9">
        <f>E18</f>
        <v>0</v>
      </c>
      <c r="H18" s="16"/>
      <c r="I18" s="10"/>
      <c r="J18" s="10"/>
      <c r="K18" s="10"/>
      <c r="L18" s="14"/>
      <c r="M18" s="10"/>
      <c r="N18" s="10"/>
      <c r="O18" s="10"/>
      <c r="T18">
        <v>14</v>
      </c>
      <c r="U18" s="28" t="s">
        <v>161</v>
      </c>
      <c r="V18" t="s">
        <v>77</v>
      </c>
      <c r="W18" s="29" t="s">
        <v>81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>
        <f t="shared" ca="1" si="1"/>
        <v>0</v>
      </c>
      <c r="AH18" s="74"/>
    </row>
    <row r="19" spans="4:34">
      <c r="E19" s="10"/>
      <c r="F19" s="10"/>
      <c r="G19" s="10"/>
      <c r="H19" s="10"/>
      <c r="I19" s="10"/>
      <c r="J19" s="10"/>
      <c r="K19" s="10"/>
      <c r="L19" s="14"/>
      <c r="M19" s="10"/>
      <c r="N19" s="10"/>
      <c r="O19" s="10"/>
      <c r="T19">
        <v>15</v>
      </c>
      <c r="U19" s="28" t="s">
        <v>162</v>
      </c>
      <c r="V19" t="s">
        <v>77</v>
      </c>
      <c r="W19" s="29">
        <f>E32</f>
        <v>0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>
        <f t="shared" ca="1" si="1"/>
        <v>0</v>
      </c>
      <c r="AH19" s="74"/>
    </row>
    <row r="20" spans="4:34" ht="13" thickBot="1">
      <c r="D20">
        <v>7</v>
      </c>
      <c r="E20" s="10"/>
      <c r="F20" s="11"/>
      <c r="G20" s="10"/>
      <c r="H20" s="10"/>
      <c r="I20" s="10"/>
      <c r="J20" s="10"/>
      <c r="K20" s="10"/>
      <c r="L20" s="14" t="s">
        <v>250</v>
      </c>
      <c r="M20" s="9" t="str">
        <f>IF(OR(L13="",L26=""),"",+IF(L13&gt;L26,K13,K26))</f>
        <v/>
      </c>
      <c r="N20" s="17"/>
      <c r="O20" s="10"/>
      <c r="T20">
        <v>16</v>
      </c>
      <c r="U20" s="28">
        <f>E34</f>
        <v>0</v>
      </c>
      <c r="W20" s="29" t="s">
        <v>163</v>
      </c>
      <c r="Z20" s="34"/>
      <c r="AA20" s="40"/>
      <c r="AB20" s="40"/>
      <c r="AC20" s="38" t="s">
        <v>159</v>
      </c>
      <c r="AD20" s="48">
        <v>12</v>
      </c>
      <c r="AE20" s="53">
        <f t="shared" ref="AE20:AE30" ca="1" si="2">LOOKUP(AD20,T$5:T$78,U$5:U$37)</f>
        <v>0</v>
      </c>
      <c r="AF20" s="37" t="s">
        <v>157</v>
      </c>
      <c r="AG20" s="65" t="str">
        <f t="shared" ref="AG20:AG30" ca="1" si="3">LOOKUP(AD20,T$5:T$78,W$5:W$38)</f>
        <v>Venc.J1</v>
      </c>
      <c r="AH20" s="74"/>
    </row>
    <row r="21" spans="4:34" ht="13" thickBot="1">
      <c r="E21" s="12"/>
      <c r="F21" s="13" t="s">
        <v>206</v>
      </c>
      <c r="G21" s="9" t="str">
        <f>IF(OR(F20="",F22=""),"",+IF(F20&gt;F22,E20,E22))</f>
        <v/>
      </c>
      <c r="H21" s="17"/>
      <c r="I21" s="10"/>
      <c r="J21" s="10"/>
      <c r="K21" s="10"/>
      <c r="L21" s="14"/>
      <c r="M21" s="10"/>
      <c r="N21" s="14"/>
      <c r="O21" s="10"/>
      <c r="T21">
        <v>17</v>
      </c>
      <c r="U21" s="28" t="s">
        <v>84</v>
      </c>
      <c r="V21" t="s">
        <v>77</v>
      </c>
      <c r="W21" s="29" t="s">
        <v>164</v>
      </c>
      <c r="Z21" s="34"/>
      <c r="AA21" s="40"/>
      <c r="AB21" s="40"/>
      <c r="AC21" s="38" t="s">
        <v>159</v>
      </c>
      <c r="AD21" s="48">
        <v>13</v>
      </c>
      <c r="AE21" s="53" t="str">
        <f t="shared" ca="1" si="2"/>
        <v>Venc.J2</v>
      </c>
      <c r="AF21" s="37" t="s">
        <v>157</v>
      </c>
      <c r="AG21" s="65">
        <f t="shared" ca="1" si="3"/>
        <v>0</v>
      </c>
      <c r="AH21" s="74"/>
    </row>
    <row r="22" spans="4:34" ht="13" thickBot="1">
      <c r="D22">
        <v>8</v>
      </c>
      <c r="E22" s="10"/>
      <c r="F22" s="16"/>
      <c r="G22" s="10"/>
      <c r="H22" s="14"/>
      <c r="I22" s="10"/>
      <c r="J22" s="10"/>
      <c r="K22" s="10"/>
      <c r="L22" s="14"/>
      <c r="M22" s="10"/>
      <c r="N22" s="14"/>
      <c r="O22" s="10"/>
      <c r="T22">
        <v>18</v>
      </c>
      <c r="U22" s="28" t="s">
        <v>86</v>
      </c>
      <c r="V22" t="s">
        <v>77</v>
      </c>
      <c r="W22" s="29" t="s">
        <v>87</v>
      </c>
      <c r="Z22" s="34"/>
      <c r="AA22" s="40"/>
      <c r="AB22" s="40"/>
      <c r="AC22" s="38" t="s">
        <v>159</v>
      </c>
      <c r="AD22" s="48">
        <v>14</v>
      </c>
      <c r="AE22" s="53" t="str">
        <f t="shared" ca="1" si="2"/>
        <v>Venc.J3</v>
      </c>
      <c r="AF22" s="37" t="s">
        <v>157</v>
      </c>
      <c r="AG22" s="65" t="str">
        <f t="shared" ca="1" si="3"/>
        <v>Venc.J4</v>
      </c>
      <c r="AH22" s="74"/>
    </row>
    <row r="23" spans="4:34" ht="13" thickBot="1">
      <c r="E23" s="12"/>
      <c r="F23" s="10"/>
      <c r="G23" s="10"/>
      <c r="H23" s="14" t="s">
        <v>229</v>
      </c>
      <c r="I23" s="9" t="str">
        <f>IF(OR(H21="",H25=""),"",+IF(H21&gt;H25,G21,G25))</f>
        <v/>
      </c>
      <c r="J23" s="17"/>
      <c r="K23" s="10"/>
      <c r="L23" s="14"/>
      <c r="M23" s="10"/>
      <c r="N23" s="14"/>
      <c r="O23" s="10"/>
      <c r="T23">
        <v>19</v>
      </c>
      <c r="U23" s="28" t="s">
        <v>88</v>
      </c>
      <c r="V23" t="s">
        <v>77</v>
      </c>
      <c r="W23" s="29">
        <f>E61</f>
        <v>0</v>
      </c>
      <c r="Z23" s="34"/>
      <c r="AA23" s="40"/>
      <c r="AB23" s="40"/>
      <c r="AC23" s="38" t="s">
        <v>159</v>
      </c>
      <c r="AD23" s="48">
        <v>15</v>
      </c>
      <c r="AE23" s="53" t="str">
        <f t="shared" ca="1" si="2"/>
        <v>Venc.J5</v>
      </c>
      <c r="AF23" s="37" t="s">
        <v>157</v>
      </c>
      <c r="AG23" s="65">
        <f t="shared" ca="1" si="3"/>
        <v>0</v>
      </c>
      <c r="AH23" s="74"/>
    </row>
    <row r="24" spans="4:34" ht="13" thickBot="1">
      <c r="D24">
        <v>9</v>
      </c>
      <c r="E24" s="10"/>
      <c r="F24" s="11"/>
      <c r="G24" s="10"/>
      <c r="H24" s="14"/>
      <c r="I24" s="10"/>
      <c r="J24" s="14"/>
      <c r="K24" s="10"/>
      <c r="L24" s="14"/>
      <c r="M24" s="10"/>
      <c r="N24" s="14"/>
      <c r="O24" s="10"/>
      <c r="R24" s="29"/>
      <c r="T24">
        <v>20</v>
      </c>
      <c r="U24" s="28" t="s">
        <v>89</v>
      </c>
      <c r="V24" t="s">
        <v>77</v>
      </c>
      <c r="W24" s="29" t="s">
        <v>90</v>
      </c>
      <c r="Z24" s="34"/>
      <c r="AA24" s="40"/>
      <c r="AB24" s="40"/>
      <c r="AC24" s="38" t="s">
        <v>159</v>
      </c>
      <c r="AD24" s="48">
        <v>16</v>
      </c>
      <c r="AE24" s="53">
        <f t="shared" ca="1" si="2"/>
        <v>0</v>
      </c>
      <c r="AF24" s="37" t="s">
        <v>157</v>
      </c>
      <c r="AG24" s="65" t="str">
        <f t="shared" ca="1" si="3"/>
        <v>Venc.J6</v>
      </c>
      <c r="AH24" s="74"/>
    </row>
    <row r="25" spans="4:34" ht="13" thickBot="1">
      <c r="E25" s="12"/>
      <c r="F25" s="13" t="s">
        <v>208</v>
      </c>
      <c r="G25" s="9" t="str">
        <f>IF(OR(F24="",F26=""),"",+IF(F24&gt;F26,E24,E26))</f>
        <v/>
      </c>
      <c r="H25" s="16"/>
      <c r="I25" s="10"/>
      <c r="J25" s="14"/>
      <c r="K25" s="10"/>
      <c r="L25" s="14"/>
      <c r="M25" s="10"/>
      <c r="N25" s="14"/>
      <c r="O25" s="10"/>
      <c r="T25">
        <v>21</v>
      </c>
      <c r="U25" s="28" t="s">
        <v>91</v>
      </c>
      <c r="V25" t="s">
        <v>77</v>
      </c>
      <c r="W25" s="29" t="s">
        <v>92</v>
      </c>
      <c r="Z25" s="34"/>
      <c r="AA25" s="40"/>
      <c r="AB25" s="40"/>
      <c r="AC25" s="38" t="s">
        <v>159</v>
      </c>
      <c r="AD25" s="48">
        <v>17</v>
      </c>
      <c r="AE25" s="53" t="str">
        <f t="shared" ca="1" si="2"/>
        <v>Venc.J7</v>
      </c>
      <c r="AF25" s="37" t="s">
        <v>157</v>
      </c>
      <c r="AG25" s="65" t="str">
        <f t="shared" ca="1" si="3"/>
        <v>Venc.J8</v>
      </c>
      <c r="AH25" s="74"/>
    </row>
    <row r="26" spans="4:34" ht="13" thickBot="1">
      <c r="D26">
        <v>10</v>
      </c>
      <c r="E26" s="10"/>
      <c r="F26" s="16"/>
      <c r="G26" s="10"/>
      <c r="H26" s="10"/>
      <c r="I26" s="10"/>
      <c r="J26" s="14" t="s">
        <v>244</v>
      </c>
      <c r="K26" s="9" t="str">
        <f>IF(OR(J23="",J31=""),"",+IF(J23&gt;J31,I23,I31))</f>
        <v/>
      </c>
      <c r="L26" s="16"/>
      <c r="M26" s="10"/>
      <c r="N26" s="14"/>
      <c r="O26" s="10"/>
      <c r="T26">
        <v>22</v>
      </c>
      <c r="U26" s="28" t="s">
        <v>165</v>
      </c>
      <c r="V26" t="s">
        <v>77</v>
      </c>
      <c r="W26" s="29" t="s">
        <v>94</v>
      </c>
      <c r="Z26" s="34"/>
      <c r="AA26" s="40"/>
      <c r="AB26" s="40"/>
      <c r="AC26" s="38" t="s">
        <v>159</v>
      </c>
      <c r="AD26" s="48">
        <v>18</v>
      </c>
      <c r="AE26" s="53" t="str">
        <f t="shared" ca="1" si="2"/>
        <v>Venc.J9</v>
      </c>
      <c r="AF26" s="37" t="s">
        <v>157</v>
      </c>
      <c r="AG26" s="65" t="str">
        <f t="shared" ca="1" si="3"/>
        <v>Venc.J10</v>
      </c>
      <c r="AH26" s="74"/>
    </row>
    <row r="27" spans="4:34">
      <c r="E27" s="12"/>
      <c r="F27" s="10"/>
      <c r="G27" s="10"/>
      <c r="H27" s="10"/>
      <c r="I27" s="10"/>
      <c r="J27" s="14"/>
      <c r="K27" s="10"/>
      <c r="L27" s="10"/>
      <c r="M27" s="10"/>
      <c r="N27" s="14"/>
      <c r="O27" s="10"/>
      <c r="T27">
        <v>23</v>
      </c>
      <c r="U27" s="28" t="s">
        <v>95</v>
      </c>
      <c r="V27" t="s">
        <v>77</v>
      </c>
      <c r="W27" s="29" t="s">
        <v>96</v>
      </c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Venc.J11</v>
      </c>
      <c r="AF27" s="37" t="s">
        <v>157</v>
      </c>
      <c r="AG27" s="65">
        <f t="shared" ca="1" si="3"/>
        <v>0</v>
      </c>
      <c r="AH27" s="74"/>
    </row>
    <row r="28" spans="4:34" ht="13" thickBot="1">
      <c r="D28">
        <v>11</v>
      </c>
      <c r="E28" s="10"/>
      <c r="F28" s="11"/>
      <c r="G28" s="10"/>
      <c r="H28" s="10"/>
      <c r="I28" s="10"/>
      <c r="J28" s="14"/>
      <c r="K28" s="10"/>
      <c r="L28" s="10"/>
      <c r="M28" s="10"/>
      <c r="N28" s="14"/>
      <c r="O28" s="10"/>
      <c r="T28">
        <v>24</v>
      </c>
      <c r="U28" s="28" t="s">
        <v>97</v>
      </c>
      <c r="V28" t="s">
        <v>77</v>
      </c>
      <c r="W28" s="29" t="s">
        <v>98</v>
      </c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Venc.J12</v>
      </c>
      <c r="AF28" s="37" t="s">
        <v>157</v>
      </c>
      <c r="AG28" s="65" t="str">
        <f t="shared" ca="1" si="3"/>
        <v>Venc.J13</v>
      </c>
      <c r="AH28" s="74"/>
    </row>
    <row r="29" spans="4:34" ht="13" thickBot="1">
      <c r="E29" s="12"/>
      <c r="F29" s="13" t="s">
        <v>210</v>
      </c>
      <c r="G29" s="9" t="str">
        <f>IF(OR(F28="",F30=""),"",+IF(F28&gt;F30,E28,E30))</f>
        <v/>
      </c>
      <c r="H29" s="11"/>
      <c r="I29" s="10"/>
      <c r="J29" s="14"/>
      <c r="K29" s="10"/>
      <c r="L29" s="10"/>
      <c r="M29" s="10"/>
      <c r="N29" s="14"/>
      <c r="O29" s="10"/>
      <c r="T29">
        <v>25</v>
      </c>
      <c r="U29" s="28" t="s">
        <v>99</v>
      </c>
      <c r="V29" t="s">
        <v>77</v>
      </c>
      <c r="W29" s="29" t="s">
        <v>100</v>
      </c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Venc.J14</v>
      </c>
      <c r="AF29" s="37" t="s">
        <v>157</v>
      </c>
      <c r="AG29" s="65" t="str">
        <f t="shared" ca="1" si="3"/>
        <v>Venc.J15</v>
      </c>
      <c r="AH29" s="74"/>
    </row>
    <row r="30" spans="4:34" ht="13" thickBot="1">
      <c r="D30">
        <v>12</v>
      </c>
      <c r="E30" s="9"/>
      <c r="F30" s="16"/>
      <c r="G30" s="10"/>
      <c r="H30" s="13"/>
      <c r="I30" s="10"/>
      <c r="J30" s="14"/>
      <c r="K30" s="10"/>
      <c r="L30" s="10"/>
      <c r="M30" s="10"/>
      <c r="N30" s="14"/>
      <c r="O30" s="10"/>
      <c r="T30">
        <v>26</v>
      </c>
      <c r="U30" s="71" t="s">
        <v>300</v>
      </c>
      <c r="V30" t="s">
        <v>77</v>
      </c>
      <c r="W30" s="72" t="s">
        <v>301</v>
      </c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Venc.J16</v>
      </c>
      <c r="AF30" s="37" t="s">
        <v>157</v>
      </c>
      <c r="AG30" s="65" t="str">
        <f t="shared" ca="1" si="3"/>
        <v>Venc.J17</v>
      </c>
      <c r="AH30" s="74"/>
    </row>
    <row r="31" spans="4:34" ht="13" thickBot="1">
      <c r="E31" s="10"/>
      <c r="F31" s="10"/>
      <c r="G31" s="10"/>
      <c r="H31" s="14" t="s">
        <v>232</v>
      </c>
      <c r="I31" s="9" t="str">
        <f>IF(OR(H29="",H32=""),"",+IF(H29&gt;H32,G29,E32))</f>
        <v/>
      </c>
      <c r="J31" s="16"/>
      <c r="K31" s="10"/>
      <c r="L31" s="10"/>
      <c r="M31" s="10"/>
      <c r="N31" s="14"/>
      <c r="O31" s="10"/>
      <c r="T31">
        <v>27</v>
      </c>
      <c r="U31" s="28" t="s">
        <v>101</v>
      </c>
      <c r="V31" t="s">
        <v>77</v>
      </c>
      <c r="W31" s="29" t="s">
        <v>102</v>
      </c>
      <c r="Z31" s="34"/>
      <c r="AA31" s="40"/>
      <c r="AB31" s="40"/>
      <c r="AC31" s="38" t="s">
        <v>159</v>
      </c>
      <c r="AD31" s="48">
        <v>23</v>
      </c>
      <c r="AE31" s="53" t="str">
        <f ca="1">LOOKUP(AD31,T$5:T$78,U$5:U$37)</f>
        <v>Venc.J18</v>
      </c>
      <c r="AF31" s="37" t="s">
        <v>157</v>
      </c>
      <c r="AG31" s="65" t="str">
        <f ca="1">LOOKUP(AD31,T$5:T$78,W$5:W$38)</f>
        <v>Venc.J19</v>
      </c>
      <c r="AH31" s="74"/>
    </row>
    <row r="32" spans="4:34" ht="13" thickBot="1">
      <c r="D32">
        <v>13</v>
      </c>
      <c r="E32" s="9"/>
      <c r="F32" s="9"/>
      <c r="G32" s="9">
        <f>E32</f>
        <v>0</v>
      </c>
      <c r="H32" s="16"/>
      <c r="I32" s="10"/>
      <c r="J32" s="10"/>
      <c r="K32" s="10"/>
      <c r="L32" s="10"/>
      <c r="M32" s="10"/>
      <c r="N32" s="14"/>
      <c r="O32" s="10"/>
      <c r="R32" s="29"/>
      <c r="Z32" s="34"/>
      <c r="AA32" s="40"/>
      <c r="AB32" s="40"/>
      <c r="AC32" s="38" t="s">
        <v>159</v>
      </c>
      <c r="AD32" s="48">
        <v>24</v>
      </c>
      <c r="AE32" s="53" t="str">
        <f ca="1">LOOKUP(AD32,T$5:T$78,U$5:U$37)</f>
        <v>Venc.J20</v>
      </c>
      <c r="AF32" s="37" t="s">
        <v>157</v>
      </c>
      <c r="AG32" s="65" t="str">
        <f ca="1">LOOKUP(AD32,T$5:T$78,W$5:W$38)</f>
        <v>Venc.J21</v>
      </c>
      <c r="AH32" s="74"/>
    </row>
    <row r="33" spans="4:34" ht="13" thickBot="1">
      <c r="E33" s="10"/>
      <c r="F33" s="10"/>
      <c r="G33" s="10"/>
      <c r="H33" s="10"/>
      <c r="I33" s="10"/>
      <c r="J33" s="10"/>
      <c r="K33" s="10"/>
      <c r="L33" s="10"/>
      <c r="M33" s="77" t="s">
        <v>278</v>
      </c>
      <c r="N33" s="70" t="s">
        <v>256</v>
      </c>
      <c r="O33" s="9" t="str">
        <f>IF(OR(N20="",N48=""),"",+IF(N20&gt;N48,M20,M48))</f>
        <v/>
      </c>
      <c r="R33" s="28"/>
      <c r="U33" s="29"/>
      <c r="W33" s="28"/>
      <c r="Z33" s="34"/>
      <c r="AA33" s="40"/>
      <c r="AB33" s="40"/>
      <c r="AC33" s="38" t="s">
        <v>159</v>
      </c>
      <c r="AD33" s="48">
        <v>25</v>
      </c>
      <c r="AE33" s="53" t="str">
        <f ca="1">LOOKUP(AD33,T$5:T$78,U$5:U$37)</f>
        <v>Venc.J22</v>
      </c>
      <c r="AF33" s="37" t="s">
        <v>157</v>
      </c>
      <c r="AG33" s="65" t="str">
        <f ca="1">LOOKUP(AD33,T$5:T$78,W$5:W$38)</f>
        <v>Venc.J23</v>
      </c>
      <c r="AH33" s="74"/>
    </row>
    <row r="34" spans="4:34" ht="13" thickBot="1">
      <c r="D34">
        <v>14</v>
      </c>
      <c r="E34" s="10"/>
      <c r="F34" s="9"/>
      <c r="G34" s="9">
        <f>E34</f>
        <v>0</v>
      </c>
      <c r="H34" s="11"/>
      <c r="I34" s="10"/>
      <c r="J34" s="10"/>
      <c r="K34" s="10"/>
      <c r="L34" s="10"/>
      <c r="M34" s="10"/>
      <c r="N34" s="14"/>
      <c r="O34" s="10"/>
      <c r="U34" s="29"/>
      <c r="Z34" s="34"/>
      <c r="AA34" s="40"/>
      <c r="AB34" s="40"/>
      <c r="AC34" s="38" t="s">
        <v>159</v>
      </c>
      <c r="AD34" s="48">
        <v>26</v>
      </c>
      <c r="AE34" s="53" t="str">
        <f ca="1">LOOKUP(AD34,T$5:T$78,U$5:U$37)</f>
        <v>Perd.J24</v>
      </c>
      <c r="AF34" s="37" t="s">
        <v>157</v>
      </c>
      <c r="AG34" s="65" t="str">
        <f ca="1">LOOKUP(AD34,T$5:T$78,W$5:W$38)</f>
        <v>Perd.J25</v>
      </c>
      <c r="AH34" s="74"/>
    </row>
    <row r="35" spans="4:34">
      <c r="E35" s="12"/>
      <c r="F35" s="10"/>
      <c r="G35" s="10"/>
      <c r="H35" s="13"/>
      <c r="I35" s="10"/>
      <c r="J35" s="10"/>
      <c r="K35" s="10"/>
      <c r="L35" s="10"/>
      <c r="M35" s="10"/>
      <c r="N35" s="14"/>
      <c r="O35" s="10"/>
      <c r="Z35" s="34"/>
      <c r="AA35" s="40"/>
      <c r="AB35" s="40"/>
      <c r="AC35" s="38" t="s">
        <v>159</v>
      </c>
      <c r="AD35" s="48">
        <v>27</v>
      </c>
      <c r="AE35" s="53" t="str">
        <f ca="1">LOOKUP(AD35,T$5:T$78,U$5:U$37)</f>
        <v>Venc.J24</v>
      </c>
      <c r="AF35" s="37" t="s">
        <v>157</v>
      </c>
      <c r="AG35" s="65" t="str">
        <f ca="1">LOOKUP(AD35,T$5:T$78,W$5:W$38)</f>
        <v>Venc.J25</v>
      </c>
      <c r="AH35" s="74"/>
    </row>
    <row r="36" spans="4:34" ht="13" thickBot="1">
      <c r="E36" s="10"/>
      <c r="F36" s="10"/>
      <c r="G36" s="10"/>
      <c r="H36" s="14" t="s">
        <v>234</v>
      </c>
      <c r="I36" s="9" t="str">
        <f>IF(OR(H34="",H38=""),"",+IF(H34&gt;H38,G34,G38))</f>
        <v/>
      </c>
      <c r="J36" s="10"/>
      <c r="K36" s="10"/>
      <c r="L36" s="10"/>
      <c r="M36" s="10"/>
      <c r="N36" s="14"/>
      <c r="O36" s="10"/>
      <c r="U36" s="29"/>
      <c r="Z36" s="42"/>
      <c r="AA36" s="43"/>
      <c r="AB36" s="43"/>
      <c r="AC36" s="43"/>
      <c r="AD36" s="61"/>
      <c r="AE36" s="62"/>
      <c r="AF36" s="63"/>
      <c r="AG36" s="60"/>
      <c r="AH36" s="75"/>
    </row>
    <row r="37" spans="4:34" ht="13" thickBot="1">
      <c r="D37">
        <v>15</v>
      </c>
      <c r="E37" s="10"/>
      <c r="F37" s="11"/>
      <c r="G37" s="10"/>
      <c r="H37" s="14"/>
      <c r="I37" s="12"/>
      <c r="J37" s="15"/>
      <c r="K37" s="10"/>
      <c r="L37" s="10"/>
      <c r="M37" s="10"/>
      <c r="N37" s="14"/>
      <c r="O37" s="10"/>
    </row>
    <row r="38" spans="4:34" ht="13" thickBot="1">
      <c r="E38" s="12"/>
      <c r="F38" s="13" t="s">
        <v>212</v>
      </c>
      <c r="G38" s="9" t="str">
        <f>IF(OR(F37="",F39=""),"",+IF(F37&gt;F39,E37,E39))</f>
        <v/>
      </c>
      <c r="H38" s="16"/>
      <c r="I38" s="10"/>
      <c r="J38" s="14"/>
      <c r="K38" s="10"/>
      <c r="L38" s="10"/>
      <c r="M38" s="10"/>
      <c r="N38" s="14"/>
      <c r="O38" s="10"/>
    </row>
    <row r="39" spans="4:34" ht="13" thickBot="1">
      <c r="D39">
        <v>16</v>
      </c>
      <c r="E39" s="9"/>
      <c r="F39" s="16"/>
      <c r="G39" s="10"/>
      <c r="H39" s="10"/>
      <c r="I39" s="10"/>
      <c r="J39" s="14"/>
      <c r="K39" s="10"/>
      <c r="L39" s="10"/>
      <c r="M39" s="10"/>
      <c r="N39" s="14"/>
      <c r="O39" s="10"/>
    </row>
    <row r="40" spans="4:34" ht="13" thickBot="1">
      <c r="E40" s="10"/>
      <c r="F40" s="10"/>
      <c r="G40" s="10"/>
      <c r="H40" s="10"/>
      <c r="I40" s="10"/>
      <c r="J40" s="14" t="s">
        <v>246</v>
      </c>
      <c r="K40" s="9" t="str">
        <f>IF(OR(J37="",J44=""),"",+IF(J37&gt;J44,I36,I44))</f>
        <v/>
      </c>
      <c r="L40" s="17"/>
      <c r="M40" s="10"/>
      <c r="N40" s="14"/>
      <c r="O40" s="10"/>
    </row>
    <row r="41" spans="4:34" ht="13" thickBot="1">
      <c r="D41">
        <v>17</v>
      </c>
      <c r="E41" s="10"/>
      <c r="F41" s="11"/>
      <c r="G41" s="10"/>
      <c r="H41" s="10"/>
      <c r="I41" s="10"/>
      <c r="J41" s="14"/>
      <c r="K41" s="10"/>
      <c r="L41" s="13"/>
      <c r="M41" s="10"/>
      <c r="N41" s="14"/>
      <c r="O41" s="10"/>
    </row>
    <row r="42" spans="4:34" ht="13" thickBot="1">
      <c r="E42" s="12"/>
      <c r="F42" s="13" t="s">
        <v>214</v>
      </c>
      <c r="G42" s="9" t="str">
        <f>IF(OR(F41="",F43=""),"",+IF(F41&gt;F43,E41,E43))</f>
        <v/>
      </c>
      <c r="H42" s="17"/>
      <c r="I42" s="10"/>
      <c r="J42" s="14"/>
      <c r="K42" s="10"/>
      <c r="L42" s="14"/>
      <c r="M42" s="10"/>
      <c r="N42" s="14"/>
      <c r="O42" s="10"/>
    </row>
    <row r="43" spans="4:34" ht="13" thickBot="1">
      <c r="D43">
        <v>18</v>
      </c>
      <c r="E43" s="10"/>
      <c r="F43" s="16"/>
      <c r="G43" s="10"/>
      <c r="H43" s="14"/>
      <c r="I43" s="10"/>
      <c r="J43" s="14"/>
      <c r="K43" s="10"/>
      <c r="L43" s="14"/>
      <c r="M43" s="10"/>
      <c r="N43" s="14"/>
      <c r="O43" s="10"/>
    </row>
    <row r="44" spans="4:34" ht="13" thickBot="1">
      <c r="E44" s="12"/>
      <c r="F44" s="10"/>
      <c r="G44" s="10"/>
      <c r="H44" s="14" t="s">
        <v>236</v>
      </c>
      <c r="I44" s="9" t="str">
        <f>IF(OR(H42="",H46=""),"",+IF(H42&gt;H46,G42,G46))</f>
        <v/>
      </c>
      <c r="J44" s="16"/>
      <c r="K44" s="10"/>
      <c r="L44" s="14"/>
      <c r="M44" s="10"/>
      <c r="N44" s="14"/>
      <c r="O44" s="10"/>
    </row>
    <row r="45" spans="4:34" ht="13" thickBot="1">
      <c r="D45">
        <v>19</v>
      </c>
      <c r="E45" s="10"/>
      <c r="F45" s="11"/>
      <c r="G45" s="10"/>
      <c r="H45" s="14"/>
      <c r="I45" s="10"/>
      <c r="J45" s="10"/>
      <c r="K45" s="10"/>
      <c r="L45" s="14"/>
      <c r="M45" s="10"/>
      <c r="N45" s="14"/>
      <c r="O45" s="10"/>
    </row>
    <row r="46" spans="4:34" ht="13" thickBot="1">
      <c r="E46" s="12"/>
      <c r="F46" s="13" t="s">
        <v>217</v>
      </c>
      <c r="G46" s="9" t="str">
        <f>IF(OR(F45="",F47=""),"",+IF(F45&gt;F47,E45,E47))</f>
        <v/>
      </c>
      <c r="H46" s="16"/>
      <c r="I46" s="10"/>
      <c r="J46" s="10"/>
      <c r="K46" s="10"/>
      <c r="L46" s="14"/>
      <c r="M46" s="10"/>
      <c r="N46" s="14"/>
      <c r="O46" s="10"/>
    </row>
    <row r="47" spans="4:34" ht="13" thickBot="1">
      <c r="D47">
        <v>20</v>
      </c>
      <c r="E47" s="10"/>
      <c r="F47" s="16"/>
      <c r="G47" s="10"/>
      <c r="H47" s="10"/>
      <c r="I47" s="10"/>
      <c r="J47" s="10"/>
      <c r="K47" s="10"/>
      <c r="L47" s="14"/>
      <c r="M47" s="10"/>
      <c r="N47" s="14"/>
      <c r="O47" s="10"/>
    </row>
    <row r="48" spans="4:34" ht="13" thickBot="1">
      <c r="E48" s="12"/>
      <c r="F48" s="10"/>
      <c r="G48" s="10"/>
      <c r="H48" s="10"/>
      <c r="I48" s="10"/>
      <c r="J48" s="10"/>
      <c r="K48" s="10"/>
      <c r="L48" s="14" t="s">
        <v>252</v>
      </c>
      <c r="M48" s="9" t="str">
        <f>IF(OR(L40="",L55=""),"",+IF(L40&gt;L55,K40,K55))</f>
        <v/>
      </c>
      <c r="N48" s="16"/>
      <c r="O48" s="10"/>
    </row>
    <row r="49" spans="4:15" ht="13" thickBot="1">
      <c r="D49">
        <v>21</v>
      </c>
      <c r="E49" s="10"/>
      <c r="F49" s="11"/>
      <c r="G49" s="10"/>
      <c r="H49" s="10"/>
      <c r="I49" s="10"/>
      <c r="J49" s="10"/>
      <c r="K49" s="10"/>
      <c r="L49" s="14"/>
      <c r="M49" s="10"/>
      <c r="N49" s="10"/>
      <c r="O49" s="10"/>
    </row>
    <row r="50" spans="4:15" ht="13" thickBot="1">
      <c r="E50" s="12"/>
      <c r="F50" s="13" t="s">
        <v>219</v>
      </c>
      <c r="G50" s="9" t="str">
        <f>IF(OR(F49="",F51=""),"",+IF(F49&gt;F51,E49,E51))</f>
        <v/>
      </c>
      <c r="H50" s="17"/>
      <c r="I50" s="10"/>
      <c r="J50" s="10"/>
      <c r="K50" s="10"/>
      <c r="L50" s="14"/>
      <c r="M50" s="10"/>
      <c r="N50" s="10"/>
      <c r="O50" s="10"/>
    </row>
    <row r="51" spans="4:15" ht="13" thickBot="1">
      <c r="D51">
        <v>22</v>
      </c>
      <c r="E51" s="10"/>
      <c r="F51" s="16"/>
      <c r="G51" s="10"/>
      <c r="H51" s="14"/>
      <c r="I51" s="10"/>
      <c r="J51" s="10"/>
      <c r="K51" s="10"/>
      <c r="L51" s="14"/>
      <c r="M51" s="10"/>
      <c r="N51" s="10"/>
      <c r="O51" s="10"/>
    </row>
    <row r="52" spans="4:15" ht="13" thickBot="1">
      <c r="E52" s="12"/>
      <c r="F52" s="10"/>
      <c r="G52" s="10"/>
      <c r="H52" s="14" t="s">
        <v>238</v>
      </c>
      <c r="I52" s="9" t="str">
        <f>IF(OR(H50="",H54=""),"",+IF(H50&gt;H54,G50,G54))</f>
        <v/>
      </c>
      <c r="J52" s="17"/>
      <c r="K52" s="10"/>
      <c r="L52" s="14"/>
      <c r="M52" s="10"/>
      <c r="N52" s="10"/>
      <c r="O52" s="10"/>
    </row>
    <row r="53" spans="4:15" ht="13" thickBot="1">
      <c r="D53">
        <v>23</v>
      </c>
      <c r="E53" s="10"/>
      <c r="F53" s="11"/>
      <c r="G53" s="10"/>
      <c r="H53" s="14"/>
      <c r="I53" s="10"/>
      <c r="J53" s="14"/>
      <c r="K53" s="10"/>
      <c r="L53" s="14"/>
      <c r="M53" s="10"/>
      <c r="N53" s="10"/>
      <c r="O53" s="10"/>
    </row>
    <row r="54" spans="4:15" ht="13" thickBot="1">
      <c r="E54" s="12"/>
      <c r="F54" s="13" t="s">
        <v>221</v>
      </c>
      <c r="G54" s="9" t="str">
        <f>IF(OR(F53="",F55=""),"",+IF(F53&gt;F55,E53,E55))</f>
        <v/>
      </c>
      <c r="H54" s="16"/>
      <c r="I54" s="10"/>
      <c r="J54" s="14"/>
      <c r="K54" s="10"/>
      <c r="L54" s="14"/>
      <c r="M54" s="10"/>
      <c r="N54" s="10"/>
      <c r="O54" s="10"/>
    </row>
    <row r="55" spans="4:15" ht="13" thickBot="1">
      <c r="D55">
        <v>24</v>
      </c>
      <c r="E55" s="10"/>
      <c r="F55" s="16"/>
      <c r="G55" s="10"/>
      <c r="H55" s="10"/>
      <c r="I55" s="10"/>
      <c r="J55" s="14" t="s">
        <v>248</v>
      </c>
      <c r="K55" s="9" t="str">
        <f>IF(OR(J52="",J60=""),"",+IF(J52&gt;J60,I52,I60))</f>
        <v/>
      </c>
      <c r="L55" s="16"/>
      <c r="M55" s="10"/>
      <c r="N55" s="10"/>
      <c r="O55" s="10"/>
    </row>
    <row r="56" spans="4:15">
      <c r="E56" s="12"/>
      <c r="F56" s="10"/>
      <c r="G56" s="10"/>
      <c r="H56" s="10"/>
      <c r="I56" s="10"/>
      <c r="J56" s="14"/>
      <c r="K56" s="10"/>
      <c r="L56" s="10"/>
      <c r="M56" s="10"/>
      <c r="N56" s="10"/>
      <c r="O56" s="10"/>
    </row>
    <row r="57" spans="4:15" ht="13" thickBot="1">
      <c r="D57">
        <v>25</v>
      </c>
      <c r="E57" s="10"/>
      <c r="F57" s="11"/>
      <c r="G57" s="10"/>
      <c r="H57" s="10"/>
      <c r="I57" s="10"/>
      <c r="J57" s="14"/>
      <c r="K57" s="10"/>
      <c r="L57" s="10"/>
      <c r="M57" s="10"/>
      <c r="N57" s="10"/>
      <c r="O57" s="10"/>
    </row>
    <row r="58" spans="4:15" ht="13" thickBot="1">
      <c r="E58" s="12"/>
      <c r="F58" s="13" t="s">
        <v>223</v>
      </c>
      <c r="G58" s="9" t="str">
        <f>IF(OR(F57="",F59=""),"",+IF(F57&gt;F59,E57,E59))</f>
        <v/>
      </c>
      <c r="H58" s="11"/>
      <c r="I58" s="10"/>
      <c r="J58" s="14"/>
      <c r="K58" s="10"/>
      <c r="L58" s="10"/>
      <c r="M58" s="10"/>
      <c r="N58" s="10"/>
      <c r="O58" s="10"/>
    </row>
    <row r="59" spans="4:15" ht="13" thickBot="1">
      <c r="D59">
        <v>26</v>
      </c>
      <c r="E59" s="9"/>
      <c r="F59" s="16"/>
      <c r="G59" s="10"/>
      <c r="H59" s="13"/>
      <c r="I59" s="10"/>
      <c r="J59" s="14"/>
      <c r="K59" s="10"/>
      <c r="L59" s="10"/>
      <c r="M59" s="10"/>
      <c r="N59" s="10"/>
      <c r="O59" s="10"/>
    </row>
    <row r="60" spans="4:15" ht="13" thickBot="1">
      <c r="E60" s="10"/>
      <c r="F60" s="10"/>
      <c r="G60" s="10"/>
      <c r="H60" s="14" t="s">
        <v>240</v>
      </c>
      <c r="I60" s="9" t="str">
        <f>IF(OR(H58="",H61=""),"",+IF(H58&gt;H61,G58,E61))</f>
        <v/>
      </c>
      <c r="J60" s="16"/>
      <c r="K60" s="10"/>
      <c r="L60" s="10"/>
      <c r="M60" s="10"/>
      <c r="N60" s="10"/>
      <c r="O60" s="10"/>
    </row>
    <row r="61" spans="4:15" ht="13" thickBot="1">
      <c r="D61">
        <v>27</v>
      </c>
      <c r="E61" s="9"/>
      <c r="F61" s="9"/>
      <c r="G61" s="9">
        <f>E61</f>
        <v>0</v>
      </c>
      <c r="H61" s="16"/>
      <c r="I61" s="10"/>
      <c r="J61" s="10"/>
      <c r="K61" s="10"/>
      <c r="L61" s="10"/>
      <c r="M61" s="10"/>
      <c r="N61" s="10"/>
      <c r="O61" s="10"/>
    </row>
    <row r="62" spans="4:15" ht="13" thickBot="1">
      <c r="M62" s="9" t="str">
        <f>IF(OR(M20="",M48=""),"",+IF(L13&gt;L26,K26,K13))</f>
        <v/>
      </c>
      <c r="N62" s="17"/>
      <c r="O62" s="10"/>
    </row>
    <row r="63" spans="4:15">
      <c r="M63" s="10"/>
      <c r="N63" s="13"/>
      <c r="O63" s="10"/>
    </row>
    <row r="64" spans="4:15">
      <c r="M64" s="10"/>
      <c r="N64" s="14"/>
      <c r="O64" s="10"/>
    </row>
    <row r="65" spans="13:15">
      <c r="M65" s="10"/>
      <c r="N65" s="14"/>
      <c r="O65" s="10"/>
    </row>
    <row r="66" spans="13:15">
      <c r="M66" s="10"/>
      <c r="N66" s="14"/>
      <c r="O66" s="10"/>
    </row>
    <row r="67" spans="13:15">
      <c r="M67" s="10"/>
      <c r="N67" s="14"/>
      <c r="O67" s="10"/>
    </row>
    <row r="68" spans="13:15">
      <c r="M68" s="10"/>
      <c r="N68" s="14"/>
      <c r="O68" s="10"/>
    </row>
    <row r="69" spans="13:15" ht="13" thickBot="1">
      <c r="M69" s="77" t="s">
        <v>279</v>
      </c>
      <c r="N69" s="70" t="s">
        <v>254</v>
      </c>
      <c r="O69" s="9" t="str">
        <f>IF(OR(N62="",N75=""),"",+IF(N62&gt;N75,M62,M75))</f>
        <v/>
      </c>
    </row>
    <row r="70" spans="13:15">
      <c r="M70" s="10"/>
      <c r="N70" s="14"/>
      <c r="O70" s="10"/>
    </row>
    <row r="71" spans="13:15">
      <c r="M71" s="10"/>
      <c r="N71" s="14"/>
      <c r="O71" s="10"/>
    </row>
    <row r="72" spans="13:15">
      <c r="M72" s="10"/>
      <c r="N72" s="14"/>
      <c r="O72" s="10"/>
    </row>
    <row r="73" spans="13:15">
      <c r="M73" s="10"/>
      <c r="N73" s="14"/>
      <c r="O73" s="10"/>
    </row>
    <row r="74" spans="13:15">
      <c r="M74" s="10"/>
      <c r="N74" s="14"/>
      <c r="O74" s="10"/>
    </row>
    <row r="75" spans="13:15" ht="13" thickBot="1">
      <c r="M75" s="9" t="str">
        <f>IF(OR(M20="",M48=""),"",+IF(L40&gt;L55,K55,K40))</f>
        <v/>
      </c>
      <c r="N75" s="16"/>
      <c r="O75" s="10"/>
    </row>
    <row r="76" spans="13:15">
      <c r="M76" s="10"/>
      <c r="N76" s="10"/>
      <c r="O76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Plan24"/>
  <dimension ref="D4:AH75"/>
  <sheetViews>
    <sheetView showGridLines="0" topLeftCell="A39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8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E20</f>
        <v>0</v>
      </c>
      <c r="V7" t="s">
        <v>77</v>
      </c>
      <c r="W7" s="29">
        <f>E22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E24</f>
        <v>0</v>
      </c>
      <c r="V8" t="s">
        <v>77</v>
      </c>
      <c r="W8" s="29">
        <f>E26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223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E28</f>
        <v>0</v>
      </c>
      <c r="V9" t="s">
        <v>77</v>
      </c>
      <c r="W9" s="29">
        <f>E30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LOOKUP(AD9,T$5:T$78,U$5:U$36)</f>
        <v>0</v>
      </c>
      <c r="AF9" s="37" t="s">
        <v>157</v>
      </c>
      <c r="AG9" s="65">
        <f t="shared" ref="AG9:AG19" ca="1" si="1">LOOKUP(AD9,T$5:T$78,W$5:W$37)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E37</f>
        <v>0</v>
      </c>
      <c r="V10" t="s">
        <v>77</v>
      </c>
      <c r="W10" s="29">
        <f>E39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E41</f>
        <v>0</v>
      </c>
      <c r="V11" t="s">
        <v>77</v>
      </c>
      <c r="W11" s="29">
        <f>E43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10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E47</f>
        <v>0</v>
      </c>
      <c r="V12" t="s">
        <v>77</v>
      </c>
      <c r="W12" s="29">
        <f>E49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 ht="13" thickBot="1">
      <c r="E13" s="12"/>
      <c r="F13" s="10"/>
      <c r="G13" s="10"/>
      <c r="H13" s="10"/>
      <c r="I13" s="10"/>
      <c r="J13" s="14" t="s">
        <v>240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E51</f>
        <v>0</v>
      </c>
      <c r="V13" t="s">
        <v>77</v>
      </c>
      <c r="W13" s="29">
        <f>E53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  <c r="AH13" s="74"/>
    </row>
    <row r="14" spans="4:34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E55</f>
        <v>0</v>
      </c>
      <c r="V14" t="s">
        <v>77</v>
      </c>
      <c r="W14" s="29">
        <f>E57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  <c r="AH14" s="74"/>
    </row>
    <row r="15" spans="4:34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N15" s="10"/>
      <c r="O15" s="10"/>
      <c r="T15">
        <v>11</v>
      </c>
      <c r="U15" s="28">
        <f>E7</f>
        <v>0</v>
      </c>
      <c r="V15" t="s">
        <v>77</v>
      </c>
      <c r="W15" s="29" t="s">
        <v>78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  <c r="AH15" s="74"/>
    </row>
    <row r="16" spans="4:34" ht="13" thickBot="1">
      <c r="D16">
        <v>5</v>
      </c>
      <c r="E16" s="9"/>
      <c r="F16" s="16"/>
      <c r="G16" s="10"/>
      <c r="H16" s="13"/>
      <c r="I16" s="10"/>
      <c r="J16" s="14"/>
      <c r="K16" s="10"/>
      <c r="L16" s="14"/>
      <c r="M16" s="10"/>
      <c r="N16" s="10"/>
      <c r="O16" s="10"/>
      <c r="T16">
        <v>12</v>
      </c>
      <c r="U16" s="28" t="s">
        <v>160</v>
      </c>
      <c r="V16" t="s">
        <v>77</v>
      </c>
      <c r="W16" s="29">
        <f>E18</f>
        <v>0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  <c r="AH16" s="74"/>
    </row>
    <row r="17" spans="4:34" ht="13" thickBot="1">
      <c r="E17" s="10"/>
      <c r="F17" s="10"/>
      <c r="G17" s="10"/>
      <c r="H17" s="14" t="s">
        <v>225</v>
      </c>
      <c r="I17" s="9" t="str">
        <f>IF(OR(H15="",H18=""),"",+IF(H15&gt;H18,G15,E18))</f>
        <v/>
      </c>
      <c r="J17" s="16"/>
      <c r="K17" s="10"/>
      <c r="L17" s="14"/>
      <c r="M17" s="10"/>
      <c r="N17" s="10"/>
      <c r="O17" s="10"/>
      <c r="T17">
        <v>13</v>
      </c>
      <c r="U17" s="28" t="s">
        <v>161</v>
      </c>
      <c r="V17" t="s">
        <v>77</v>
      </c>
      <c r="W17" s="29" t="s">
        <v>81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  <c r="AH17" s="74"/>
    </row>
    <row r="18" spans="4:34" ht="13" thickBot="1">
      <c r="D18">
        <v>6</v>
      </c>
      <c r="E18" s="9"/>
      <c r="F18" s="9"/>
      <c r="G18" s="9">
        <f>E18</f>
        <v>0</v>
      </c>
      <c r="H18" s="16"/>
      <c r="I18" s="10"/>
      <c r="J18" s="10"/>
      <c r="K18" s="10"/>
      <c r="L18" s="14"/>
      <c r="M18" s="10"/>
      <c r="N18" s="10"/>
      <c r="O18" s="10"/>
      <c r="T18">
        <v>14</v>
      </c>
      <c r="U18" s="28" t="s">
        <v>162</v>
      </c>
      <c r="V18" t="s">
        <v>77</v>
      </c>
      <c r="W18" s="29">
        <f>E32</f>
        <v>0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>
        <f t="shared" ca="1" si="1"/>
        <v>0</v>
      </c>
      <c r="AH18" s="74"/>
    </row>
    <row r="19" spans="4:34">
      <c r="E19" s="10"/>
      <c r="F19" s="10"/>
      <c r="G19" s="10"/>
      <c r="H19" s="10"/>
      <c r="I19" s="10"/>
      <c r="J19" s="10"/>
      <c r="K19" s="10"/>
      <c r="L19" s="14"/>
      <c r="M19" s="10"/>
      <c r="N19" s="10"/>
      <c r="O19" s="10"/>
      <c r="T19">
        <v>15</v>
      </c>
      <c r="U19" s="28">
        <f>E34</f>
        <v>0</v>
      </c>
      <c r="W19" s="29" t="s">
        <v>163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 t="str">
        <f t="shared" ca="1" si="1"/>
        <v>Venc.J1</v>
      </c>
      <c r="AH19" s="74"/>
    </row>
    <row r="20" spans="4:34" ht="13" thickBot="1">
      <c r="D20">
        <v>7</v>
      </c>
      <c r="E20" s="10"/>
      <c r="F20" s="11"/>
      <c r="G20" s="10"/>
      <c r="H20" s="10"/>
      <c r="I20" s="10"/>
      <c r="J20" s="10"/>
      <c r="K20" s="10"/>
      <c r="L20" s="14" t="s">
        <v>248</v>
      </c>
      <c r="M20" s="9" t="str">
        <f>IF(OR(L13="",L26=""),"",+IF(L13&gt;L26,K13,K26))</f>
        <v/>
      </c>
      <c r="N20" s="17"/>
      <c r="O20" s="10"/>
      <c r="T20">
        <v>16</v>
      </c>
      <c r="U20" s="28" t="s">
        <v>84</v>
      </c>
      <c r="V20" t="s">
        <v>77</v>
      </c>
      <c r="W20" s="29">
        <f>E45</f>
        <v>0</v>
      </c>
      <c r="Z20" s="34"/>
      <c r="AA20" s="40"/>
      <c r="AB20" s="40"/>
      <c r="AC20" s="38" t="s">
        <v>159</v>
      </c>
      <c r="AD20" s="48">
        <v>12</v>
      </c>
      <c r="AE20" s="53" t="str">
        <f t="shared" ref="AE20:AE30" ca="1" si="2">LOOKUP(AD20,T$5:T$78,U$5:U$36)</f>
        <v>Venc.J2</v>
      </c>
      <c r="AF20" s="37" t="s">
        <v>157</v>
      </c>
      <c r="AG20" s="65">
        <f t="shared" ref="AG20:AG30" ca="1" si="3">LOOKUP(AD20,T$5:T$78,W$5:W$37)</f>
        <v>0</v>
      </c>
      <c r="AH20" s="74"/>
    </row>
    <row r="21" spans="4:34" ht="13" thickBot="1">
      <c r="E21" s="12"/>
      <c r="F21" s="13" t="s">
        <v>206</v>
      </c>
      <c r="G21" s="9" t="str">
        <f>IF(OR(F20="",F22=""),"",+IF(F20&gt;F22,E20,E22))</f>
        <v/>
      </c>
      <c r="H21" s="17"/>
      <c r="I21" s="10"/>
      <c r="J21" s="10"/>
      <c r="K21" s="10"/>
      <c r="L21" s="14"/>
      <c r="M21" s="10"/>
      <c r="N21" s="14"/>
      <c r="O21" s="10"/>
      <c r="T21">
        <v>17</v>
      </c>
      <c r="U21" s="28" t="s">
        <v>164</v>
      </c>
      <c r="V21" t="s">
        <v>77</v>
      </c>
      <c r="W21" s="29" t="s">
        <v>86</v>
      </c>
      <c r="Z21" s="34"/>
      <c r="AA21" s="40"/>
      <c r="AB21" s="40"/>
      <c r="AC21" s="38" t="s">
        <v>159</v>
      </c>
      <c r="AD21" s="48">
        <v>13</v>
      </c>
      <c r="AE21" s="53" t="str">
        <f t="shared" ca="1" si="2"/>
        <v>Venc.J3</v>
      </c>
      <c r="AF21" s="37" t="s">
        <v>157</v>
      </c>
      <c r="AG21" s="65" t="str">
        <f t="shared" ca="1" si="3"/>
        <v>Venc.J4</v>
      </c>
      <c r="AH21" s="74"/>
    </row>
    <row r="22" spans="4:34" ht="13" thickBot="1">
      <c r="D22">
        <v>8</v>
      </c>
      <c r="E22" s="10"/>
      <c r="F22" s="16"/>
      <c r="G22" s="10"/>
      <c r="H22" s="14"/>
      <c r="I22" s="10"/>
      <c r="J22" s="10"/>
      <c r="K22" s="10"/>
      <c r="L22" s="14"/>
      <c r="M22" s="10"/>
      <c r="N22" s="14"/>
      <c r="O22" s="10"/>
      <c r="T22">
        <v>18</v>
      </c>
      <c r="U22" s="28" t="s">
        <v>87</v>
      </c>
      <c r="V22" t="s">
        <v>77</v>
      </c>
      <c r="W22" s="29">
        <f>E59</f>
        <v>0</v>
      </c>
      <c r="Z22" s="34"/>
      <c r="AA22" s="40"/>
      <c r="AB22" s="40"/>
      <c r="AC22" s="38" t="s">
        <v>159</v>
      </c>
      <c r="AD22" s="48">
        <v>14</v>
      </c>
      <c r="AE22" s="53" t="str">
        <f t="shared" ca="1" si="2"/>
        <v>Venc.J5</v>
      </c>
      <c r="AF22" s="37" t="s">
        <v>157</v>
      </c>
      <c r="AG22" s="65">
        <f t="shared" ca="1" si="3"/>
        <v>0</v>
      </c>
      <c r="AH22" s="74"/>
    </row>
    <row r="23" spans="4:34" ht="13" thickBot="1">
      <c r="E23" s="12"/>
      <c r="F23" s="10"/>
      <c r="G23" s="10"/>
      <c r="H23" s="14" t="s">
        <v>227</v>
      </c>
      <c r="I23" s="9" t="str">
        <f>IF(OR(H21="",H25=""),"",+IF(H21&gt;H25,G21,G25))</f>
        <v/>
      </c>
      <c r="J23" s="17"/>
      <c r="K23" s="10"/>
      <c r="L23" s="14"/>
      <c r="M23" s="10"/>
      <c r="N23" s="14"/>
      <c r="O23" s="10"/>
      <c r="T23">
        <v>19</v>
      </c>
      <c r="U23" s="28" t="s">
        <v>88</v>
      </c>
      <c r="V23" t="s">
        <v>77</v>
      </c>
      <c r="W23" s="29" t="s">
        <v>89</v>
      </c>
      <c r="Z23" s="34"/>
      <c r="AA23" s="40"/>
      <c r="AB23" s="40"/>
      <c r="AC23" s="38" t="s">
        <v>159</v>
      </c>
      <c r="AD23" s="48">
        <v>15</v>
      </c>
      <c r="AE23" s="53">
        <f t="shared" ca="1" si="2"/>
        <v>0</v>
      </c>
      <c r="AF23" s="37" t="s">
        <v>157</v>
      </c>
      <c r="AG23" s="65" t="str">
        <f t="shared" ca="1" si="3"/>
        <v>Venc.J6</v>
      </c>
      <c r="AH23" s="74"/>
    </row>
    <row r="24" spans="4:34" ht="13" thickBot="1">
      <c r="D24">
        <v>9</v>
      </c>
      <c r="E24" s="10"/>
      <c r="F24" s="11"/>
      <c r="G24" s="10"/>
      <c r="H24" s="14"/>
      <c r="I24" s="10"/>
      <c r="J24" s="14"/>
      <c r="K24" s="10"/>
      <c r="L24" s="14"/>
      <c r="M24" s="10"/>
      <c r="N24" s="14"/>
      <c r="O24" s="10"/>
      <c r="T24">
        <v>20</v>
      </c>
      <c r="U24" s="28" t="s">
        <v>90</v>
      </c>
      <c r="V24" t="s">
        <v>77</v>
      </c>
      <c r="W24" s="29" t="s">
        <v>91</v>
      </c>
      <c r="Z24" s="34"/>
      <c r="AA24" s="40"/>
      <c r="AB24" s="40"/>
      <c r="AC24" s="38" t="s">
        <v>159</v>
      </c>
      <c r="AD24" s="48">
        <v>16</v>
      </c>
      <c r="AE24" s="53" t="str">
        <f t="shared" ca="1" si="2"/>
        <v>Venc.J7</v>
      </c>
      <c r="AF24" s="37" t="s">
        <v>157</v>
      </c>
      <c r="AG24" s="65">
        <f t="shared" ca="1" si="3"/>
        <v>0</v>
      </c>
      <c r="AH24" s="74"/>
    </row>
    <row r="25" spans="4:34" ht="13" thickBot="1">
      <c r="E25" s="12"/>
      <c r="F25" s="13" t="s">
        <v>208</v>
      </c>
      <c r="G25" s="9" t="str">
        <f>IF(OR(F24="",F26=""),"",+IF(F24&gt;F26,E24,E26))</f>
        <v/>
      </c>
      <c r="H25" s="16"/>
      <c r="I25" s="10"/>
      <c r="J25" s="14"/>
      <c r="K25" s="10"/>
      <c r="L25" s="14"/>
      <c r="M25" s="10"/>
      <c r="N25" s="14"/>
      <c r="O25" s="10"/>
      <c r="T25">
        <v>21</v>
      </c>
      <c r="U25" s="28" t="s">
        <v>92</v>
      </c>
      <c r="V25" t="s">
        <v>77</v>
      </c>
      <c r="W25" s="29" t="s">
        <v>165</v>
      </c>
      <c r="Z25" s="34"/>
      <c r="AA25" s="40"/>
      <c r="AB25" s="40"/>
      <c r="AC25" s="38" t="s">
        <v>159</v>
      </c>
      <c r="AD25" s="48">
        <v>17</v>
      </c>
      <c r="AE25" s="53" t="str">
        <f t="shared" ca="1" si="2"/>
        <v>Venc.J8</v>
      </c>
      <c r="AF25" s="37" t="s">
        <v>157</v>
      </c>
      <c r="AG25" s="65" t="str">
        <f t="shared" ca="1" si="3"/>
        <v>Venc.J9</v>
      </c>
      <c r="AH25" s="74"/>
    </row>
    <row r="26" spans="4:34" ht="13" thickBot="1">
      <c r="D26">
        <v>10</v>
      </c>
      <c r="E26" s="10"/>
      <c r="F26" s="16"/>
      <c r="G26" s="10"/>
      <c r="H26" s="10"/>
      <c r="I26" s="10"/>
      <c r="J26" s="14" t="s">
        <v>242</v>
      </c>
      <c r="K26" s="9" t="str">
        <f>IF(OR(J23="",J31=""),"",+IF(J23&gt;J31,I23,I31))</f>
        <v/>
      </c>
      <c r="L26" s="16"/>
      <c r="M26" s="10"/>
      <c r="N26" s="14"/>
      <c r="O26" s="10"/>
      <c r="T26">
        <v>22</v>
      </c>
      <c r="U26" s="28" t="s">
        <v>94</v>
      </c>
      <c r="V26" t="s">
        <v>77</v>
      </c>
      <c r="W26" s="29" t="s">
        <v>95</v>
      </c>
      <c r="Z26" s="34"/>
      <c r="AA26" s="40"/>
      <c r="AB26" s="40"/>
      <c r="AC26" s="38" t="s">
        <v>159</v>
      </c>
      <c r="AD26" s="48">
        <v>18</v>
      </c>
      <c r="AE26" s="53" t="str">
        <f t="shared" ca="1" si="2"/>
        <v>Venc.J10</v>
      </c>
      <c r="AF26" s="37" t="s">
        <v>157</v>
      </c>
      <c r="AG26" s="65">
        <f t="shared" ca="1" si="3"/>
        <v>0</v>
      </c>
      <c r="AH26" s="74"/>
    </row>
    <row r="27" spans="4:34">
      <c r="E27" s="12"/>
      <c r="F27" s="10"/>
      <c r="G27" s="10"/>
      <c r="H27" s="10"/>
      <c r="I27" s="10"/>
      <c r="J27" s="14"/>
      <c r="K27" s="10"/>
      <c r="L27" s="10"/>
      <c r="M27" s="10"/>
      <c r="N27" s="14"/>
      <c r="O27" s="10"/>
      <c r="T27">
        <v>23</v>
      </c>
      <c r="U27" s="28" t="s">
        <v>96</v>
      </c>
      <c r="V27" t="s">
        <v>77</v>
      </c>
      <c r="W27" s="29" t="s">
        <v>97</v>
      </c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Venc.J11</v>
      </c>
      <c r="AF27" s="37" t="s">
        <v>157</v>
      </c>
      <c r="AG27" s="65" t="str">
        <f t="shared" ca="1" si="3"/>
        <v>Venc.J12</v>
      </c>
      <c r="AH27" s="74"/>
    </row>
    <row r="28" spans="4:34" ht="13" thickBot="1">
      <c r="D28">
        <v>11</v>
      </c>
      <c r="E28" s="10"/>
      <c r="F28" s="11"/>
      <c r="G28" s="10"/>
      <c r="H28" s="10"/>
      <c r="I28" s="10"/>
      <c r="J28" s="14"/>
      <c r="K28" s="10"/>
      <c r="L28" s="10"/>
      <c r="M28" s="10"/>
      <c r="N28" s="14"/>
      <c r="O28" s="10"/>
      <c r="T28">
        <v>24</v>
      </c>
      <c r="U28" s="28" t="s">
        <v>98</v>
      </c>
      <c r="V28" t="s">
        <v>77</v>
      </c>
      <c r="W28" s="29" t="s">
        <v>99</v>
      </c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Venc.J13</v>
      </c>
      <c r="AF28" s="37" t="s">
        <v>157</v>
      </c>
      <c r="AG28" s="65" t="str">
        <f t="shared" ca="1" si="3"/>
        <v>Venc.J14</v>
      </c>
      <c r="AH28" s="74"/>
    </row>
    <row r="29" spans="4:34" ht="13" thickBot="1">
      <c r="E29" s="12"/>
      <c r="F29" s="13" t="s">
        <v>210</v>
      </c>
      <c r="G29" s="9" t="str">
        <f>IF(OR(F28="",F30=""),"",+IF(F28&gt;F30,E28,E30))</f>
        <v/>
      </c>
      <c r="H29" s="11"/>
      <c r="I29" s="10"/>
      <c r="J29" s="14"/>
      <c r="K29" s="10"/>
      <c r="L29" s="10"/>
      <c r="M29" s="10"/>
      <c r="N29" s="14"/>
      <c r="O29" s="10"/>
      <c r="T29">
        <v>25</v>
      </c>
      <c r="U29" s="71" t="s">
        <v>299</v>
      </c>
      <c r="V29" t="s">
        <v>77</v>
      </c>
      <c r="W29" s="72" t="s">
        <v>300</v>
      </c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Venc.J15</v>
      </c>
      <c r="AF29" s="37" t="s">
        <v>157</v>
      </c>
      <c r="AG29" s="65" t="str">
        <f t="shared" ca="1" si="3"/>
        <v>Venc.J16</v>
      </c>
      <c r="AH29" s="74"/>
    </row>
    <row r="30" spans="4:34" ht="13" thickBot="1">
      <c r="D30">
        <v>12</v>
      </c>
      <c r="E30" s="9"/>
      <c r="F30" s="16"/>
      <c r="G30" s="10"/>
      <c r="H30" s="13"/>
      <c r="I30" s="10"/>
      <c r="J30" s="14"/>
      <c r="K30" s="10"/>
      <c r="L30" s="10"/>
      <c r="M30" s="10"/>
      <c r="N30" s="14"/>
      <c r="O30" s="10"/>
      <c r="T30">
        <v>26</v>
      </c>
      <c r="U30" s="28" t="s">
        <v>100</v>
      </c>
      <c r="V30" t="s">
        <v>77</v>
      </c>
      <c r="W30" s="29" t="s">
        <v>101</v>
      </c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Venc.J17</v>
      </c>
      <c r="AF30" s="37" t="s">
        <v>157</v>
      </c>
      <c r="AG30" s="65" t="str">
        <f t="shared" ca="1" si="3"/>
        <v>Venc.J18</v>
      </c>
      <c r="AH30" s="74"/>
    </row>
    <row r="31" spans="4:34" ht="13" thickBot="1">
      <c r="E31" s="10"/>
      <c r="F31" s="10"/>
      <c r="G31" s="10"/>
      <c r="H31" s="14" t="s">
        <v>229</v>
      </c>
      <c r="I31" s="9" t="str">
        <f>IF(OR(H29="",H32=""),"",+IF(H29&gt;H32,G29,E32))</f>
        <v/>
      </c>
      <c r="J31" s="16"/>
      <c r="K31" s="10"/>
      <c r="L31" s="10"/>
      <c r="M31" s="10"/>
      <c r="N31" s="14"/>
      <c r="O31" s="10"/>
      <c r="Z31" s="34"/>
      <c r="AA31" s="40"/>
      <c r="AB31" s="40"/>
      <c r="AC31" s="38" t="s">
        <v>159</v>
      </c>
      <c r="AD31" s="48">
        <v>23</v>
      </c>
      <c r="AE31" s="53" t="str">
        <f ca="1">LOOKUP(AD31,T$5:T$78,U$5:U$36)</f>
        <v>Venc.J19</v>
      </c>
      <c r="AF31" s="37" t="s">
        <v>157</v>
      </c>
      <c r="AG31" s="65" t="str">
        <f ca="1">LOOKUP(AD31,T$5:T$78,W$5:W$37)</f>
        <v>Venc.J20</v>
      </c>
      <c r="AH31" s="74"/>
    </row>
    <row r="32" spans="4:34" ht="13" thickBot="1">
      <c r="D32">
        <v>13</v>
      </c>
      <c r="E32" s="9"/>
      <c r="F32" s="9"/>
      <c r="G32" s="9">
        <f>E32</f>
        <v>0</v>
      </c>
      <c r="H32" s="16"/>
      <c r="I32" s="10"/>
      <c r="J32" s="10"/>
      <c r="K32" s="10"/>
      <c r="L32" s="10"/>
      <c r="M32" s="10"/>
      <c r="N32" s="14"/>
      <c r="O32" s="10"/>
      <c r="U32" s="29"/>
      <c r="W32" s="28"/>
      <c r="Z32" s="34"/>
      <c r="AA32" s="40"/>
      <c r="AB32" s="40"/>
      <c r="AC32" s="38" t="s">
        <v>159</v>
      </c>
      <c r="AD32" s="48">
        <v>24</v>
      </c>
      <c r="AE32" s="53" t="str">
        <f ca="1">LOOKUP(AD32,T$5:T$78,U$5:U$36)</f>
        <v>Venc.J21</v>
      </c>
      <c r="AF32" s="37" t="s">
        <v>157</v>
      </c>
      <c r="AG32" s="65" t="str">
        <f ca="1">LOOKUP(AD32,T$5:T$78,W$5:W$37)</f>
        <v>Venc.J22</v>
      </c>
      <c r="AH32" s="74"/>
    </row>
    <row r="33" spans="4:34" ht="13" thickBot="1">
      <c r="E33" s="10"/>
      <c r="F33" s="10"/>
      <c r="G33" s="10"/>
      <c r="H33" s="10"/>
      <c r="I33" s="10"/>
      <c r="J33" s="10"/>
      <c r="K33" s="10"/>
      <c r="L33" s="10"/>
      <c r="M33" s="77" t="s">
        <v>278</v>
      </c>
      <c r="N33" s="14" t="s">
        <v>252</v>
      </c>
      <c r="O33" s="9" t="str">
        <f>IF(OR(N20="",N47=""),"",+IF(N20&gt;N47,M20,M47))</f>
        <v/>
      </c>
      <c r="U33" s="29"/>
      <c r="Z33" s="34"/>
      <c r="AA33" s="40"/>
      <c r="AB33" s="40"/>
      <c r="AC33" s="38" t="s">
        <v>159</v>
      </c>
      <c r="AD33" s="48">
        <v>25</v>
      </c>
      <c r="AE33" s="53" t="str">
        <f ca="1">LOOKUP(AD33,T$5:T$78,U$5:U$36)</f>
        <v>Perd.J23</v>
      </c>
      <c r="AF33" s="37" t="s">
        <v>157</v>
      </c>
      <c r="AG33" s="65" t="str">
        <f ca="1">LOOKUP(AD33,T$5:T$78,W$5:W$37)</f>
        <v>Perd.J24</v>
      </c>
      <c r="AH33" s="74"/>
    </row>
    <row r="34" spans="4:34" ht="13" thickBot="1">
      <c r="D34">
        <v>14</v>
      </c>
      <c r="E34" s="10"/>
      <c r="F34" s="9"/>
      <c r="G34" s="9">
        <f>E34</f>
        <v>0</v>
      </c>
      <c r="H34" s="11"/>
      <c r="I34" s="10"/>
      <c r="J34" s="10"/>
      <c r="K34" s="10"/>
      <c r="L34" s="10"/>
      <c r="M34" s="10"/>
      <c r="N34" s="14"/>
      <c r="O34" s="10"/>
      <c r="Z34" s="34"/>
      <c r="AA34" s="40"/>
      <c r="AB34" s="40"/>
      <c r="AC34" s="38" t="s">
        <v>159</v>
      </c>
      <c r="AD34" s="48">
        <v>26</v>
      </c>
      <c r="AE34" s="53" t="str">
        <f ca="1">LOOKUP(AD34,T$5:T$78,U$5:U$36)</f>
        <v>Venc.J23</v>
      </c>
      <c r="AF34" s="37" t="s">
        <v>157</v>
      </c>
      <c r="AG34" s="65" t="str">
        <f ca="1">LOOKUP(AD34,T$5:T$78,W$5:W$37)</f>
        <v>Venc.J24</v>
      </c>
      <c r="AH34" s="74"/>
    </row>
    <row r="35" spans="4:34" ht="13" thickBot="1">
      <c r="E35" s="12"/>
      <c r="F35" s="10"/>
      <c r="G35" s="10"/>
      <c r="H35" s="13"/>
      <c r="I35" s="10"/>
      <c r="J35" s="10"/>
      <c r="K35" s="10"/>
      <c r="L35" s="10"/>
      <c r="M35" s="10"/>
      <c r="N35" s="14"/>
      <c r="O35" s="10"/>
      <c r="U35" s="29"/>
      <c r="Z35" s="42"/>
      <c r="AA35" s="43"/>
      <c r="AB35" s="43"/>
      <c r="AC35" s="43"/>
      <c r="AD35" s="61"/>
      <c r="AE35" s="62"/>
      <c r="AF35" s="63"/>
      <c r="AG35" s="60"/>
      <c r="AH35" s="75"/>
    </row>
    <row r="36" spans="4:34" ht="13.35" thickTop="1" thickBot="1">
      <c r="E36" s="10"/>
      <c r="F36" s="10"/>
      <c r="G36" s="10"/>
      <c r="H36" s="14" t="s">
        <v>232</v>
      </c>
      <c r="I36" s="9" t="str">
        <f>IF(OR(H34="",H38=""),"",+IF(H34&gt;H38,G34,G38))</f>
        <v/>
      </c>
      <c r="J36" s="11"/>
      <c r="K36" s="10"/>
      <c r="L36" s="10"/>
      <c r="M36" s="10"/>
      <c r="N36" s="14"/>
      <c r="O36" s="10"/>
    </row>
    <row r="37" spans="4:34" ht="13" thickBot="1">
      <c r="D37">
        <v>15</v>
      </c>
      <c r="E37" s="10"/>
      <c r="F37" s="11"/>
      <c r="G37" s="10"/>
      <c r="H37" s="14"/>
      <c r="I37" s="10"/>
      <c r="J37" s="13"/>
      <c r="K37" s="10"/>
      <c r="L37" s="10"/>
      <c r="M37" s="10"/>
      <c r="N37" s="14"/>
      <c r="O37" s="10"/>
    </row>
    <row r="38" spans="4:34" ht="13" thickBot="1">
      <c r="E38" s="12"/>
      <c r="F38" s="13" t="s">
        <v>212</v>
      </c>
      <c r="G38" s="9" t="str">
        <f>IF(OR(F37="",F39=""),"",+IF(F37&gt;F39,E37,E39))</f>
        <v/>
      </c>
      <c r="H38" s="16"/>
      <c r="I38" s="10"/>
      <c r="J38" s="14"/>
      <c r="K38" s="10"/>
      <c r="L38" s="10"/>
      <c r="M38" s="10"/>
      <c r="N38" s="14"/>
      <c r="O38" s="10"/>
    </row>
    <row r="39" spans="4:34" ht="13" thickBot="1">
      <c r="D39">
        <v>16</v>
      </c>
      <c r="E39" s="10"/>
      <c r="F39" s="16"/>
      <c r="G39" s="10"/>
      <c r="H39" s="10"/>
      <c r="I39" s="10"/>
      <c r="J39" s="14"/>
      <c r="K39" s="10"/>
      <c r="L39" s="10"/>
      <c r="M39" s="10"/>
      <c r="N39" s="14"/>
      <c r="O39" s="10"/>
    </row>
    <row r="40" spans="4:34" ht="13" thickBot="1">
      <c r="E40" s="12"/>
      <c r="F40" s="10"/>
      <c r="G40" s="10"/>
      <c r="H40" s="10"/>
      <c r="I40" s="10"/>
      <c r="J40" s="14" t="s">
        <v>244</v>
      </c>
      <c r="K40" s="9" t="str">
        <f>IF(OR(J36="",J44=""),"",+IF(J36&gt;J44,I36,I44))</f>
        <v/>
      </c>
      <c r="L40" s="17"/>
      <c r="M40" s="10"/>
      <c r="N40" s="14"/>
      <c r="O40" s="10"/>
    </row>
    <row r="41" spans="4:34" ht="13" thickBot="1">
      <c r="D41">
        <v>17</v>
      </c>
      <c r="E41" s="10"/>
      <c r="F41" s="11"/>
      <c r="G41" s="10"/>
      <c r="H41" s="10"/>
      <c r="I41" s="10"/>
      <c r="J41" s="14"/>
      <c r="K41" s="10"/>
      <c r="L41" s="13"/>
      <c r="M41" s="10"/>
      <c r="N41" s="14"/>
      <c r="O41" s="10"/>
    </row>
    <row r="42" spans="4:34" ht="13" thickBot="1">
      <c r="E42" s="12"/>
      <c r="F42" s="13" t="s">
        <v>214</v>
      </c>
      <c r="G42" s="9" t="str">
        <f>IF(OR(F41="",F43=""),"",+IF(F41&gt;F43,E41,E43))</f>
        <v/>
      </c>
      <c r="H42" s="11"/>
      <c r="I42" s="10"/>
      <c r="J42" s="14"/>
      <c r="K42" s="10"/>
      <c r="L42" s="14"/>
      <c r="M42" s="10"/>
      <c r="N42" s="14"/>
      <c r="O42" s="10"/>
    </row>
    <row r="43" spans="4:34" ht="13" thickBot="1">
      <c r="D43">
        <v>18</v>
      </c>
      <c r="E43" s="9"/>
      <c r="F43" s="16"/>
      <c r="G43" s="10"/>
      <c r="H43" s="13"/>
      <c r="I43" s="10"/>
      <c r="J43" s="14"/>
      <c r="K43" s="10"/>
      <c r="L43" s="14"/>
      <c r="M43" s="10"/>
      <c r="N43" s="14"/>
      <c r="O43" s="10"/>
    </row>
    <row r="44" spans="4:34" ht="13" thickBot="1">
      <c r="E44" s="10"/>
      <c r="F44" s="10"/>
      <c r="G44" s="10"/>
      <c r="H44" s="14" t="s">
        <v>234</v>
      </c>
      <c r="I44" s="9" t="str">
        <f>IF(OR(H42="",H45=""),"",+IF(H42&gt;H45,G42,E45))</f>
        <v/>
      </c>
      <c r="J44" s="16"/>
      <c r="K44" s="10"/>
      <c r="L44" s="14"/>
      <c r="M44" s="10"/>
      <c r="N44" s="14"/>
      <c r="O44" s="10"/>
    </row>
    <row r="45" spans="4:34" ht="13" thickBot="1">
      <c r="D45">
        <v>19</v>
      </c>
      <c r="E45" s="9"/>
      <c r="F45" s="9"/>
      <c r="G45" s="9">
        <f>E45</f>
        <v>0</v>
      </c>
      <c r="H45" s="16"/>
      <c r="I45" s="10"/>
      <c r="J45" s="10"/>
      <c r="K45" s="10"/>
      <c r="L45" s="14"/>
      <c r="M45" s="10"/>
      <c r="N45" s="14"/>
      <c r="O45" s="10"/>
    </row>
    <row r="46" spans="4:34">
      <c r="E46" s="10"/>
      <c r="F46" s="10"/>
      <c r="G46" s="10"/>
      <c r="H46" s="10"/>
      <c r="I46" s="10"/>
      <c r="J46" s="10"/>
      <c r="K46" s="10"/>
      <c r="L46" s="14"/>
      <c r="M46" s="10"/>
      <c r="N46" s="14"/>
      <c r="O46" s="10"/>
    </row>
    <row r="47" spans="4:34" ht="13" thickBot="1">
      <c r="D47">
        <v>20</v>
      </c>
      <c r="E47" s="10"/>
      <c r="F47" s="11"/>
      <c r="G47" s="10"/>
      <c r="H47" s="10"/>
      <c r="I47" s="10"/>
      <c r="J47" s="10"/>
      <c r="K47" s="10"/>
      <c r="L47" s="14" t="s">
        <v>250</v>
      </c>
      <c r="M47" s="9" t="str">
        <f>IF(OR(L40="",L53=""),"",+IF(L39&gt;L53,K40,K53))</f>
        <v/>
      </c>
      <c r="N47" s="16"/>
      <c r="O47" s="10"/>
    </row>
    <row r="48" spans="4:34" ht="13" thickBot="1">
      <c r="E48" s="12"/>
      <c r="F48" s="13" t="s">
        <v>217</v>
      </c>
      <c r="G48" s="9" t="str">
        <f>IF(OR(F47="",F49=""),"",+IF(F47&gt;F49,E47,E49))</f>
        <v/>
      </c>
      <c r="H48" s="17"/>
      <c r="I48" s="10"/>
      <c r="J48" s="10"/>
      <c r="K48" s="10"/>
      <c r="L48" s="14"/>
      <c r="M48" s="10"/>
      <c r="N48" s="10"/>
      <c r="O48" s="10"/>
    </row>
    <row r="49" spans="4:15" ht="13" thickBot="1">
      <c r="D49">
        <v>21</v>
      </c>
      <c r="E49" s="10"/>
      <c r="F49" s="16"/>
      <c r="G49" s="10"/>
      <c r="H49" s="14"/>
      <c r="I49" s="10"/>
      <c r="J49" s="10"/>
      <c r="K49" s="10"/>
      <c r="L49" s="14"/>
      <c r="M49" s="10"/>
      <c r="N49" s="10"/>
      <c r="O49" s="10"/>
    </row>
    <row r="50" spans="4:15" ht="13" thickBot="1">
      <c r="E50" s="12"/>
      <c r="F50" s="10"/>
      <c r="G50" s="10"/>
      <c r="H50" s="14" t="s">
        <v>236</v>
      </c>
      <c r="I50" s="9" t="str">
        <f>IF(OR(H48="",H52=""),"",+IF(H48&gt;H52,G48,G52))</f>
        <v/>
      </c>
      <c r="J50" s="17"/>
      <c r="K50" s="10"/>
      <c r="L50" s="14"/>
      <c r="M50" s="10"/>
      <c r="N50" s="10"/>
      <c r="O50" s="10"/>
    </row>
    <row r="51" spans="4:15" ht="13" thickBot="1">
      <c r="D51">
        <v>22</v>
      </c>
      <c r="E51" s="10"/>
      <c r="F51" s="11"/>
      <c r="G51" s="10"/>
      <c r="H51" s="14"/>
      <c r="I51" s="10"/>
      <c r="J51" s="14"/>
      <c r="K51" s="10"/>
      <c r="L51" s="14"/>
      <c r="M51" s="10"/>
      <c r="N51" s="10"/>
      <c r="O51" s="10"/>
    </row>
    <row r="52" spans="4:15" ht="13" thickBot="1">
      <c r="E52" s="12"/>
      <c r="F52" s="13" t="s">
        <v>219</v>
      </c>
      <c r="G52" s="9" t="str">
        <f>IF(OR(F51="",F53=""),"",+IF(F51&gt;F53,E51,E53))</f>
        <v/>
      </c>
      <c r="H52" s="16"/>
      <c r="I52" s="10"/>
      <c r="J52" s="14"/>
      <c r="K52" s="10"/>
      <c r="L52" s="14"/>
      <c r="M52" s="10"/>
      <c r="N52" s="10"/>
      <c r="O52" s="10"/>
    </row>
    <row r="53" spans="4:15" ht="13" thickBot="1">
      <c r="D53">
        <v>23</v>
      </c>
      <c r="E53" s="10"/>
      <c r="F53" s="16"/>
      <c r="G53" s="10"/>
      <c r="H53" s="10"/>
      <c r="I53" s="10"/>
      <c r="J53" s="14" t="s">
        <v>246</v>
      </c>
      <c r="K53" s="9" t="str">
        <f>IF(OR(J50="",J58=""),"",+IF(J50&gt;J58,I50,I58))</f>
        <v/>
      </c>
      <c r="L53" s="16"/>
      <c r="M53" s="10"/>
      <c r="N53" s="10"/>
      <c r="O53" s="10"/>
    </row>
    <row r="54" spans="4:15">
      <c r="E54" s="12"/>
      <c r="F54" s="10"/>
      <c r="G54" s="10"/>
      <c r="H54" s="10"/>
      <c r="I54" s="10"/>
      <c r="J54" s="14"/>
      <c r="K54" s="10"/>
      <c r="L54" s="10"/>
      <c r="M54" s="10"/>
      <c r="N54" s="10"/>
      <c r="O54" s="10"/>
    </row>
    <row r="55" spans="4:15" ht="13" thickBot="1">
      <c r="D55">
        <v>24</v>
      </c>
      <c r="E55" s="10"/>
      <c r="F55" s="11"/>
      <c r="G55" s="10"/>
      <c r="H55" s="10"/>
      <c r="I55" s="10"/>
      <c r="J55" s="14"/>
      <c r="K55" s="10"/>
      <c r="L55" s="10"/>
      <c r="M55" s="10"/>
      <c r="N55" s="10"/>
      <c r="O55" s="10"/>
    </row>
    <row r="56" spans="4:15" ht="13" thickBot="1">
      <c r="E56" s="12"/>
      <c r="F56" s="13" t="s">
        <v>221</v>
      </c>
      <c r="G56" s="9" t="str">
        <f>IF(OR(F55="",F57=""),"",+IF(F55&gt;F57,E55,E57))</f>
        <v/>
      </c>
      <c r="H56" s="11"/>
      <c r="I56" s="10"/>
      <c r="J56" s="14"/>
      <c r="K56" s="10"/>
      <c r="L56" s="10"/>
      <c r="M56" s="10"/>
      <c r="N56" s="10"/>
      <c r="O56" s="10"/>
    </row>
    <row r="57" spans="4:15" ht="13" thickBot="1">
      <c r="D57">
        <v>25</v>
      </c>
      <c r="E57" s="9"/>
      <c r="F57" s="16"/>
      <c r="G57" s="10"/>
      <c r="H57" s="13"/>
      <c r="I57" s="10"/>
      <c r="J57" s="14"/>
      <c r="K57" s="10"/>
      <c r="L57" s="10"/>
      <c r="M57" s="10"/>
      <c r="N57" s="10"/>
      <c r="O57" s="10"/>
    </row>
    <row r="58" spans="4:15" ht="13" thickBot="1">
      <c r="E58" s="10"/>
      <c r="F58" s="10"/>
      <c r="G58" s="10"/>
      <c r="H58" s="14" t="s">
        <v>238</v>
      </c>
      <c r="I58" s="9" t="str">
        <f>IF(OR(H56="",H59=""),"",+IF(H56&gt;H59,G56,E59))</f>
        <v/>
      </c>
      <c r="J58" s="16"/>
      <c r="K58" s="10"/>
      <c r="L58" s="10"/>
      <c r="M58" s="10"/>
      <c r="N58" s="10"/>
      <c r="O58" s="10"/>
    </row>
    <row r="59" spans="4:15" ht="13" thickBot="1">
      <c r="D59">
        <v>26</v>
      </c>
      <c r="E59" s="9"/>
      <c r="F59" s="9"/>
      <c r="G59" s="9">
        <f>E59</f>
        <v>0</v>
      </c>
      <c r="H59" s="16"/>
      <c r="I59" s="10"/>
      <c r="J59" s="10"/>
      <c r="K59" s="10"/>
      <c r="L59" s="10"/>
      <c r="M59" s="10"/>
      <c r="N59" s="10"/>
      <c r="O59" s="10"/>
    </row>
    <row r="61" spans="4:15" ht="13" thickBot="1">
      <c r="M61" s="9" t="str">
        <f>IF(OR(M20="",M47=""),"",+IF(L13&gt;L26,K26,K13))</f>
        <v/>
      </c>
      <c r="N61" s="17"/>
      <c r="O61" s="10"/>
    </row>
    <row r="62" spans="4:15">
      <c r="M62" s="10"/>
      <c r="N62" s="13"/>
      <c r="O62" s="10"/>
    </row>
    <row r="63" spans="4:15">
      <c r="M63" s="10"/>
      <c r="N63" s="14"/>
      <c r="O63" s="10"/>
    </row>
    <row r="64" spans="4:15">
      <c r="M64" s="10"/>
      <c r="N64" s="14"/>
      <c r="O64" s="10"/>
    </row>
    <row r="65" spans="13:15">
      <c r="M65" s="10"/>
      <c r="N65" s="14"/>
      <c r="O65" s="10"/>
    </row>
    <row r="66" spans="13:15">
      <c r="M66" s="10"/>
      <c r="N66" s="14"/>
      <c r="O66" s="10"/>
    </row>
    <row r="67" spans="13:15">
      <c r="M67" s="10"/>
      <c r="N67" s="14"/>
      <c r="O67" s="10"/>
    </row>
    <row r="68" spans="13:15" ht="13" thickBot="1">
      <c r="M68" s="77" t="s">
        <v>279</v>
      </c>
      <c r="N68" s="14" t="s">
        <v>248</v>
      </c>
      <c r="O68" s="9" t="str">
        <f>IF(OR(N61="",N74=""),"",+IF(N61&gt;N74,M61,M74))</f>
        <v/>
      </c>
    </row>
    <row r="69" spans="13:15">
      <c r="M69" s="10"/>
      <c r="N69" s="14"/>
      <c r="O69" s="10"/>
    </row>
    <row r="70" spans="13:15">
      <c r="M70" s="10"/>
      <c r="N70" s="14"/>
      <c r="O70" s="10"/>
    </row>
    <row r="71" spans="13:15">
      <c r="M71" s="10"/>
      <c r="N71" s="14"/>
      <c r="O71" s="10"/>
    </row>
    <row r="72" spans="13:15">
      <c r="M72" s="10"/>
      <c r="N72" s="14"/>
      <c r="O72" s="10"/>
    </row>
    <row r="73" spans="13:15">
      <c r="M73" s="10"/>
      <c r="N73" s="14"/>
      <c r="O73" s="10"/>
    </row>
    <row r="74" spans="13:15" ht="13" thickBot="1">
      <c r="M74" s="9" t="str">
        <f>IF(OR(M20="",M47=""),"",+IF(L40&gt;L53,K53,K40))</f>
        <v/>
      </c>
      <c r="N74" s="16"/>
      <c r="O74" s="10"/>
    </row>
    <row r="75" spans="13:15">
      <c r="M75" s="10"/>
      <c r="N75" s="10"/>
      <c r="O75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Plan23"/>
  <dimension ref="D4:AH72"/>
  <sheetViews>
    <sheetView showGridLines="0" topLeftCell="A14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3515625" customWidth="1"/>
    <col min="14" max="14" width="3.64453125" customWidth="1"/>
    <col min="15" max="15" width="15.644531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E23</f>
        <v>0</v>
      </c>
      <c r="V7" t="s">
        <v>77</v>
      </c>
      <c r="W7" s="29">
        <f>E25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E27</f>
        <v>0</v>
      </c>
      <c r="V8" t="s">
        <v>77</v>
      </c>
      <c r="W8" s="29">
        <f>E29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221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E36</f>
        <v>0</v>
      </c>
      <c r="V9" t="s">
        <v>77</v>
      </c>
      <c r="W9" s="29">
        <f>E38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LOOKUP(AD9,T$5:T$78,U$5:U$35)</f>
        <v>0</v>
      </c>
      <c r="AF9" s="37" t="s">
        <v>157</v>
      </c>
      <c r="AG9" s="65">
        <f t="shared" ref="AG9:AG19" ca="1" si="1">LOOKUP(AD9,T$5:T$78,W$5:W$36)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E40</f>
        <v>0</v>
      </c>
      <c r="V10" t="s">
        <v>77</v>
      </c>
      <c r="W10" s="29">
        <f>E42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E46</f>
        <v>0</v>
      </c>
      <c r="V11" t="s">
        <v>77</v>
      </c>
      <c r="W11" s="29">
        <f>E48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10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E50</f>
        <v>0</v>
      </c>
      <c r="V12" t="s">
        <v>77</v>
      </c>
      <c r="W12" s="29">
        <f>E52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 ht="13" thickBot="1">
      <c r="E13" s="12"/>
      <c r="F13" s="10"/>
      <c r="G13" s="10"/>
      <c r="H13" s="10"/>
      <c r="I13" s="10"/>
      <c r="J13" s="14" t="s">
        <v>238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E54</f>
        <v>0</v>
      </c>
      <c r="V13" t="s">
        <v>77</v>
      </c>
      <c r="W13" s="29">
        <f>E56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  <c r="AH13" s="74"/>
    </row>
    <row r="14" spans="4:34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>
        <f>E7</f>
        <v>0</v>
      </c>
      <c r="V14" t="s">
        <v>77</v>
      </c>
      <c r="W14" s="29" t="s">
        <v>78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  <c r="AH14" s="74"/>
    </row>
    <row r="15" spans="4:34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N15" s="10"/>
      <c r="O15" s="10"/>
      <c r="T15">
        <v>11</v>
      </c>
      <c r="U15" s="28" t="s">
        <v>160</v>
      </c>
      <c r="V15" t="s">
        <v>77</v>
      </c>
      <c r="W15" s="29">
        <f>E18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  <c r="AH15" s="74"/>
    </row>
    <row r="16" spans="4:34" ht="13" thickBot="1">
      <c r="D16">
        <v>5</v>
      </c>
      <c r="E16" s="9"/>
      <c r="F16" s="16"/>
      <c r="G16" s="10"/>
      <c r="H16" s="13"/>
      <c r="I16" s="10"/>
      <c r="J16" s="14"/>
      <c r="K16" s="10"/>
      <c r="L16" s="14"/>
      <c r="M16" s="10"/>
      <c r="N16" s="10"/>
      <c r="O16" s="10"/>
      <c r="T16">
        <v>12</v>
      </c>
      <c r="U16" s="28">
        <f>E20</f>
        <v>0</v>
      </c>
      <c r="V16" t="s">
        <v>77</v>
      </c>
      <c r="W16" s="29" t="s">
        <v>161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  <c r="AH16" s="74"/>
    </row>
    <row r="17" spans="4:34" ht="13" thickBot="1">
      <c r="E17" s="10"/>
      <c r="F17" s="10"/>
      <c r="G17" s="10"/>
      <c r="H17" s="14" t="s">
        <v>223</v>
      </c>
      <c r="I17" s="9" t="str">
        <f>IF(OR(H15="",H18=""),"",+IF(H15&gt;H18,G15,E18))</f>
        <v/>
      </c>
      <c r="J17" s="16"/>
      <c r="K17" s="10"/>
      <c r="L17" s="14"/>
      <c r="M17" s="10"/>
      <c r="N17" s="10"/>
      <c r="O17" s="10"/>
      <c r="T17">
        <v>13</v>
      </c>
      <c r="U17" s="28" t="s">
        <v>81</v>
      </c>
      <c r="V17" t="s">
        <v>77</v>
      </c>
      <c r="W17" s="29">
        <f>E31</f>
        <v>0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  <c r="AH17" s="74"/>
    </row>
    <row r="18" spans="4:34" ht="13" thickBot="1">
      <c r="D18">
        <v>6</v>
      </c>
      <c r="E18" s="9"/>
      <c r="F18" s="9"/>
      <c r="G18" s="9">
        <f>E18</f>
        <v>0</v>
      </c>
      <c r="H18" s="16"/>
      <c r="I18" s="10"/>
      <c r="J18" s="10"/>
      <c r="K18" s="10"/>
      <c r="L18" s="14"/>
      <c r="M18" s="10"/>
      <c r="N18" s="10"/>
      <c r="O18" s="10"/>
      <c r="T18">
        <v>14</v>
      </c>
      <c r="U18" s="28">
        <f>E33</f>
        <v>0</v>
      </c>
      <c r="W18" s="29" t="s">
        <v>162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 t="str">
        <f t="shared" ca="1" si="1"/>
        <v>Venc.J1</v>
      </c>
      <c r="AH18" s="74"/>
    </row>
    <row r="19" spans="4:34">
      <c r="E19" s="10"/>
      <c r="F19" s="10"/>
      <c r="G19" s="10"/>
      <c r="H19" s="10"/>
      <c r="I19" s="10"/>
      <c r="J19" s="10"/>
      <c r="K19" s="10"/>
      <c r="L19" s="14"/>
      <c r="M19" s="10"/>
      <c r="N19" s="10"/>
      <c r="O19" s="10"/>
      <c r="T19">
        <v>15</v>
      </c>
      <c r="U19" s="28" t="s">
        <v>163</v>
      </c>
      <c r="V19" t="s">
        <v>77</v>
      </c>
      <c r="W19" s="29">
        <f>E44</f>
        <v>0</v>
      </c>
      <c r="Z19" s="34"/>
      <c r="AA19" s="40"/>
      <c r="AB19" s="40"/>
      <c r="AC19" s="38" t="s">
        <v>159</v>
      </c>
      <c r="AD19" s="48">
        <v>11</v>
      </c>
      <c r="AE19" s="53" t="str">
        <f t="shared" ca="1" si="0"/>
        <v>Venc.J2</v>
      </c>
      <c r="AF19" s="37" t="s">
        <v>157</v>
      </c>
      <c r="AG19" s="65">
        <f t="shared" ca="1" si="1"/>
        <v>0</v>
      </c>
      <c r="AH19" s="74"/>
    </row>
    <row r="20" spans="4:34" ht="13" thickBot="1">
      <c r="D20">
        <v>7</v>
      </c>
      <c r="E20" s="10"/>
      <c r="F20" s="9"/>
      <c r="G20" s="9">
        <f>E20</f>
        <v>0</v>
      </c>
      <c r="H20" s="11"/>
      <c r="I20" s="10"/>
      <c r="J20" s="10"/>
      <c r="K20" s="10"/>
      <c r="L20" s="14" t="s">
        <v>246</v>
      </c>
      <c r="M20" s="9" t="str">
        <f>IF(OR(L13="",L26=""),"",+IF(L13&gt;L26,K13,K26))</f>
        <v/>
      </c>
      <c r="N20" s="17"/>
      <c r="O20" s="10"/>
      <c r="T20">
        <v>16</v>
      </c>
      <c r="U20" s="28" t="s">
        <v>84</v>
      </c>
      <c r="V20" t="s">
        <v>77</v>
      </c>
      <c r="W20" s="29" t="s">
        <v>164</v>
      </c>
      <c r="Z20" s="34"/>
      <c r="AA20" s="40"/>
      <c r="AB20" s="40"/>
      <c r="AC20" s="38" t="s">
        <v>159</v>
      </c>
      <c r="AD20" s="48">
        <v>12</v>
      </c>
      <c r="AE20" s="53">
        <f t="shared" ref="AE20:AE30" ca="1" si="2">LOOKUP(AD20,T$5:T$78,U$5:U$35)</f>
        <v>0</v>
      </c>
      <c r="AF20" s="37" t="s">
        <v>157</v>
      </c>
      <c r="AG20" s="65" t="str">
        <f t="shared" ref="AG20:AG30" ca="1" si="3">LOOKUP(AD20,T$5:T$78,W$5:W$36)</f>
        <v>Venc.J3</v>
      </c>
      <c r="AH20" s="74"/>
    </row>
    <row r="21" spans="4:34">
      <c r="E21" s="12"/>
      <c r="F21" s="10"/>
      <c r="G21" s="10"/>
      <c r="H21" s="13"/>
      <c r="I21" s="10"/>
      <c r="J21" s="10"/>
      <c r="K21" s="10"/>
      <c r="L21" s="14"/>
      <c r="M21" s="10"/>
      <c r="N21" s="13"/>
      <c r="O21" s="10"/>
      <c r="T21">
        <v>17</v>
      </c>
      <c r="U21" s="28" t="s">
        <v>86</v>
      </c>
      <c r="V21" t="s">
        <v>77</v>
      </c>
      <c r="W21" s="29">
        <f>E58</f>
        <v>0</v>
      </c>
      <c r="Z21" s="34"/>
      <c r="AA21" s="40"/>
      <c r="AB21" s="40"/>
      <c r="AC21" s="38" t="s">
        <v>159</v>
      </c>
      <c r="AD21" s="48">
        <v>13</v>
      </c>
      <c r="AE21" s="53" t="str">
        <f t="shared" ca="1" si="2"/>
        <v>Venc.J4</v>
      </c>
      <c r="AF21" s="37" t="s">
        <v>157</v>
      </c>
      <c r="AG21" s="65">
        <f t="shared" ca="1" si="3"/>
        <v>0</v>
      </c>
      <c r="AH21" s="74"/>
    </row>
    <row r="22" spans="4:34" ht="13" thickBot="1">
      <c r="E22" s="10"/>
      <c r="F22" s="10"/>
      <c r="G22" s="10"/>
      <c r="H22" s="14" t="s">
        <v>225</v>
      </c>
      <c r="I22" s="9" t="str">
        <f>IF(OR(H20="",H24=""),"",+IF(H20&gt;H24,G20,G24))</f>
        <v/>
      </c>
      <c r="J22" s="11"/>
      <c r="K22" s="10"/>
      <c r="L22" s="14"/>
      <c r="M22" s="10"/>
      <c r="N22" s="14"/>
      <c r="O22" s="10"/>
      <c r="T22">
        <v>18</v>
      </c>
      <c r="U22" s="28" t="s">
        <v>87</v>
      </c>
      <c r="V22" t="s">
        <v>77</v>
      </c>
      <c r="W22" s="29" t="s">
        <v>88</v>
      </c>
      <c r="Z22" s="34"/>
      <c r="AA22" s="40"/>
      <c r="AB22" s="40"/>
      <c r="AC22" s="38" t="s">
        <v>159</v>
      </c>
      <c r="AD22" s="48">
        <v>14</v>
      </c>
      <c r="AE22" s="53">
        <f t="shared" ca="1" si="2"/>
        <v>0</v>
      </c>
      <c r="AF22" s="37" t="s">
        <v>157</v>
      </c>
      <c r="AG22" s="65" t="str">
        <f t="shared" ca="1" si="3"/>
        <v>Venc.J5</v>
      </c>
      <c r="AH22" s="74"/>
    </row>
    <row r="23" spans="4:34" ht="13" thickBot="1">
      <c r="D23">
        <v>8</v>
      </c>
      <c r="E23" s="10"/>
      <c r="F23" s="11"/>
      <c r="G23" s="10"/>
      <c r="H23" s="14"/>
      <c r="I23" s="10"/>
      <c r="J23" s="13"/>
      <c r="K23" s="10"/>
      <c r="L23" s="14"/>
      <c r="M23" s="10"/>
      <c r="N23" s="14"/>
      <c r="O23" s="10"/>
      <c r="T23">
        <v>19</v>
      </c>
      <c r="U23" s="28" t="s">
        <v>89</v>
      </c>
      <c r="V23" t="s">
        <v>77</v>
      </c>
      <c r="W23" s="29" t="s">
        <v>90</v>
      </c>
      <c r="Z23" s="34"/>
      <c r="AA23" s="40"/>
      <c r="AB23" s="40"/>
      <c r="AC23" s="38" t="s">
        <v>159</v>
      </c>
      <c r="AD23" s="48">
        <v>15</v>
      </c>
      <c r="AE23" s="53" t="str">
        <f t="shared" ca="1" si="2"/>
        <v>Venc.J6</v>
      </c>
      <c r="AF23" s="37" t="s">
        <v>157</v>
      </c>
      <c r="AG23" s="65">
        <f t="shared" ca="1" si="3"/>
        <v>0</v>
      </c>
      <c r="AH23" s="74"/>
    </row>
    <row r="24" spans="4:34" ht="13" thickBot="1">
      <c r="E24" s="12"/>
      <c r="F24" s="13" t="s">
        <v>206</v>
      </c>
      <c r="G24" s="9" t="str">
        <f>IF(OR(F23="",F25=""),"",+IF(F23&gt;F25,E23,E25))</f>
        <v/>
      </c>
      <c r="H24" s="16"/>
      <c r="I24" s="10"/>
      <c r="J24" s="14"/>
      <c r="K24" s="10"/>
      <c r="L24" s="14"/>
      <c r="M24" s="10"/>
      <c r="N24" s="14"/>
      <c r="O24" s="10"/>
      <c r="T24">
        <v>20</v>
      </c>
      <c r="U24" s="28" t="s">
        <v>91</v>
      </c>
      <c r="V24" t="s">
        <v>77</v>
      </c>
      <c r="W24" s="29" t="s">
        <v>92</v>
      </c>
      <c r="Z24" s="34"/>
      <c r="AA24" s="40"/>
      <c r="AB24" s="40"/>
      <c r="AC24" s="38" t="s">
        <v>159</v>
      </c>
      <c r="AD24" s="48">
        <v>16</v>
      </c>
      <c r="AE24" s="53" t="str">
        <f t="shared" ca="1" si="2"/>
        <v>Venc.J7</v>
      </c>
      <c r="AF24" s="37" t="s">
        <v>157</v>
      </c>
      <c r="AG24" s="65" t="str">
        <f t="shared" ca="1" si="3"/>
        <v>Venc.J8</v>
      </c>
      <c r="AH24" s="74"/>
    </row>
    <row r="25" spans="4:34" ht="13" thickBot="1">
      <c r="D25">
        <v>9</v>
      </c>
      <c r="E25" s="10"/>
      <c r="F25" s="16"/>
      <c r="G25" s="10"/>
      <c r="H25" s="10"/>
      <c r="I25" s="10"/>
      <c r="J25" s="14"/>
      <c r="K25" s="10"/>
      <c r="L25" s="14"/>
      <c r="M25" s="10"/>
      <c r="N25" s="14"/>
      <c r="O25" s="10"/>
      <c r="T25">
        <v>21</v>
      </c>
      <c r="U25" s="28" t="s">
        <v>165</v>
      </c>
      <c r="V25" t="s">
        <v>77</v>
      </c>
      <c r="W25" s="29" t="s">
        <v>94</v>
      </c>
      <c r="Z25" s="34"/>
      <c r="AA25" s="40"/>
      <c r="AB25" s="40"/>
      <c r="AC25" s="38" t="s">
        <v>159</v>
      </c>
      <c r="AD25" s="48">
        <v>17</v>
      </c>
      <c r="AE25" s="53" t="str">
        <f t="shared" ca="1" si="2"/>
        <v>Venc.J9</v>
      </c>
      <c r="AF25" s="37" t="s">
        <v>157</v>
      </c>
      <c r="AG25" s="65">
        <f t="shared" ca="1" si="3"/>
        <v>0</v>
      </c>
      <c r="AH25" s="74"/>
    </row>
    <row r="26" spans="4:34" ht="13" thickBot="1">
      <c r="E26" s="12"/>
      <c r="F26" s="10"/>
      <c r="G26" s="10"/>
      <c r="H26" s="10"/>
      <c r="I26" s="10"/>
      <c r="J26" s="14" t="s">
        <v>240</v>
      </c>
      <c r="K26" s="9" t="str">
        <f>IF(OR(J22="",J30=""),"",+IF(J22&gt;J30,I22,I30))</f>
        <v/>
      </c>
      <c r="L26" s="16"/>
      <c r="M26" s="10"/>
      <c r="N26" s="14"/>
      <c r="O26" s="10"/>
      <c r="T26">
        <v>22</v>
      </c>
      <c r="U26" s="28" t="s">
        <v>95</v>
      </c>
      <c r="V26" t="s">
        <v>77</v>
      </c>
      <c r="W26" s="29" t="s">
        <v>96</v>
      </c>
      <c r="Z26" s="34"/>
      <c r="AA26" s="40"/>
      <c r="AB26" s="40"/>
      <c r="AC26" s="38" t="s">
        <v>159</v>
      </c>
      <c r="AD26" s="48">
        <v>18</v>
      </c>
      <c r="AE26" s="53" t="str">
        <f t="shared" ca="1" si="2"/>
        <v>Venc.J10</v>
      </c>
      <c r="AF26" s="37" t="s">
        <v>157</v>
      </c>
      <c r="AG26" s="65" t="str">
        <f t="shared" ca="1" si="3"/>
        <v>Venc.J11</v>
      </c>
      <c r="AH26" s="74"/>
    </row>
    <row r="27" spans="4:34" ht="13" thickBot="1">
      <c r="D27">
        <v>10</v>
      </c>
      <c r="E27" s="10"/>
      <c r="F27" s="11"/>
      <c r="G27" s="10"/>
      <c r="H27" s="10"/>
      <c r="I27" s="10"/>
      <c r="J27" s="14"/>
      <c r="K27" s="10"/>
      <c r="L27" s="10"/>
      <c r="M27" s="10"/>
      <c r="N27" s="14"/>
      <c r="O27" s="10"/>
      <c r="T27">
        <v>23</v>
      </c>
      <c r="U27" s="28" t="s">
        <v>97</v>
      </c>
      <c r="V27" t="s">
        <v>77</v>
      </c>
      <c r="W27" s="29" t="s">
        <v>98</v>
      </c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Venc.J12</v>
      </c>
      <c r="AF27" s="37" t="s">
        <v>157</v>
      </c>
      <c r="AG27" s="65" t="str">
        <f t="shared" ca="1" si="3"/>
        <v>Venc.J13</v>
      </c>
      <c r="AH27" s="74"/>
    </row>
    <row r="28" spans="4:34" ht="13" thickBot="1">
      <c r="E28" s="12"/>
      <c r="F28" s="13" t="s">
        <v>208</v>
      </c>
      <c r="G28" s="9" t="str">
        <f>IF(OR(F27="",F29=""),"",+IF(F27&gt;F29,E27,E29))</f>
        <v/>
      </c>
      <c r="H28" s="11"/>
      <c r="I28" s="10"/>
      <c r="J28" s="14"/>
      <c r="K28" s="10"/>
      <c r="L28" s="10"/>
      <c r="M28" s="10"/>
      <c r="N28" s="14"/>
      <c r="O28" s="10"/>
      <c r="T28">
        <v>24</v>
      </c>
      <c r="U28" s="71" t="s">
        <v>298</v>
      </c>
      <c r="V28" t="s">
        <v>77</v>
      </c>
      <c r="W28" s="72" t="s">
        <v>299</v>
      </c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Venc.J14</v>
      </c>
      <c r="AF28" s="37" t="s">
        <v>157</v>
      </c>
      <c r="AG28" s="65" t="str">
        <f t="shared" ca="1" si="3"/>
        <v>Venc.J15</v>
      </c>
      <c r="AH28" s="74"/>
    </row>
    <row r="29" spans="4:34" ht="13" thickBot="1">
      <c r="D29">
        <v>11</v>
      </c>
      <c r="E29" s="9"/>
      <c r="F29" s="16"/>
      <c r="G29" s="10"/>
      <c r="H29" s="13"/>
      <c r="I29" s="10"/>
      <c r="J29" s="14"/>
      <c r="K29" s="10"/>
      <c r="L29" s="10"/>
      <c r="M29" s="10"/>
      <c r="N29" s="14"/>
      <c r="O29" s="10"/>
      <c r="Q29" s="28"/>
      <c r="T29">
        <v>25</v>
      </c>
      <c r="U29" s="28" t="s">
        <v>99</v>
      </c>
      <c r="V29" t="s">
        <v>77</v>
      </c>
      <c r="W29" s="29" t="s">
        <v>100</v>
      </c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Venc.J16</v>
      </c>
      <c r="AF29" s="37" t="s">
        <v>157</v>
      </c>
      <c r="AG29" s="65" t="str">
        <f t="shared" ca="1" si="3"/>
        <v>Venc.J17</v>
      </c>
      <c r="AH29" s="74"/>
    </row>
    <row r="30" spans="4:34" ht="13" thickBot="1">
      <c r="E30" s="10"/>
      <c r="F30" s="10"/>
      <c r="G30" s="10"/>
      <c r="H30" s="14" t="s">
        <v>227</v>
      </c>
      <c r="I30" s="9" t="str">
        <f>IF(OR(H28="",H31=""),"",+IF(H28&gt;H31,G28,E31))</f>
        <v/>
      </c>
      <c r="J30" s="16"/>
      <c r="K30" s="10"/>
      <c r="L30" s="10"/>
      <c r="M30" s="10"/>
      <c r="N30" s="14"/>
      <c r="O30" s="10"/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Venc.J18</v>
      </c>
      <c r="AF30" s="37" t="s">
        <v>157</v>
      </c>
      <c r="AG30" s="65" t="str">
        <f t="shared" ca="1" si="3"/>
        <v>Venc.J19</v>
      </c>
      <c r="AH30" s="74"/>
    </row>
    <row r="31" spans="4:34" ht="13" thickBot="1">
      <c r="D31">
        <v>12</v>
      </c>
      <c r="E31" s="9"/>
      <c r="F31" s="9"/>
      <c r="G31" s="9">
        <f>E31</f>
        <v>0</v>
      </c>
      <c r="H31" s="16"/>
      <c r="I31" s="10"/>
      <c r="J31" s="10"/>
      <c r="K31" s="10"/>
      <c r="L31" s="10"/>
      <c r="M31" s="10"/>
      <c r="N31" s="14"/>
      <c r="O31" s="10"/>
      <c r="U31" s="29"/>
      <c r="W31" s="28"/>
      <c r="Z31" s="34"/>
      <c r="AA31" s="40"/>
      <c r="AB31" s="40"/>
      <c r="AC31" s="38" t="s">
        <v>159</v>
      </c>
      <c r="AD31" s="48">
        <v>23</v>
      </c>
      <c r="AE31" s="53" t="str">
        <f ca="1">LOOKUP(AD31,T$5:T$78,U$5:U$35)</f>
        <v>Venc.J20</v>
      </c>
      <c r="AF31" s="37" t="s">
        <v>157</v>
      </c>
      <c r="AG31" s="65" t="str">
        <f ca="1">LOOKUP(AD31,T$5:T$78,W$5:W$36)</f>
        <v>Venc.J21</v>
      </c>
      <c r="AH31" s="74"/>
    </row>
    <row r="32" spans="4:34" ht="13" thickBot="1">
      <c r="E32" s="10"/>
      <c r="F32" s="10"/>
      <c r="G32" s="10"/>
      <c r="H32" s="10"/>
      <c r="I32" s="10"/>
      <c r="J32" s="10"/>
      <c r="K32" s="10"/>
      <c r="L32" s="10"/>
      <c r="M32" s="77" t="s">
        <v>278</v>
      </c>
      <c r="N32" s="70" t="s">
        <v>252</v>
      </c>
      <c r="O32" s="9" t="str">
        <f>IF(OR(N20="",N46=""),"",+IF(N20&gt;N46,M20,M46))</f>
        <v/>
      </c>
      <c r="U32" s="29"/>
      <c r="Z32" s="34"/>
      <c r="AA32" s="40"/>
      <c r="AB32" s="40"/>
      <c r="AC32" s="38" t="s">
        <v>159</v>
      </c>
      <c r="AD32" s="48">
        <v>24</v>
      </c>
      <c r="AE32" s="53" t="str">
        <f ca="1">LOOKUP(AD32,T$5:T$78,U$5:U$35)</f>
        <v>Perd.J22</v>
      </c>
      <c r="AF32" s="37" t="s">
        <v>157</v>
      </c>
      <c r="AG32" s="65" t="str">
        <f ca="1">LOOKUP(AD32,T$5:T$78,W$5:W$36)</f>
        <v>Perd.J23</v>
      </c>
      <c r="AH32" s="74"/>
    </row>
    <row r="33" spans="4:34" ht="13" thickBot="1">
      <c r="D33">
        <v>13</v>
      </c>
      <c r="E33" s="10"/>
      <c r="F33" s="9"/>
      <c r="G33" s="9">
        <f>E33</f>
        <v>0</v>
      </c>
      <c r="H33" s="11"/>
      <c r="I33" s="10"/>
      <c r="J33" s="10"/>
      <c r="K33" s="10"/>
      <c r="L33" s="10"/>
      <c r="M33" s="10"/>
      <c r="N33" s="14"/>
      <c r="O33" s="10"/>
      <c r="Z33" s="34"/>
      <c r="AA33" s="40"/>
      <c r="AB33" s="40"/>
      <c r="AC33" s="38" t="s">
        <v>159</v>
      </c>
      <c r="AD33" s="48">
        <v>25</v>
      </c>
      <c r="AE33" s="53" t="str">
        <f ca="1">LOOKUP(AD33,T$5:T$78,U$5:U$35)</f>
        <v>Venc.J22</v>
      </c>
      <c r="AF33" s="37" t="s">
        <v>157</v>
      </c>
      <c r="AG33" s="65" t="str">
        <f ca="1">LOOKUP(AD33,T$5:T$78,W$5:W$36)</f>
        <v>Venc.J23</v>
      </c>
      <c r="AH33" s="74"/>
    </row>
    <row r="34" spans="4:34" ht="13" thickBot="1">
      <c r="E34" s="12"/>
      <c r="F34" s="10"/>
      <c r="G34" s="10"/>
      <c r="H34" s="13"/>
      <c r="I34" s="10"/>
      <c r="J34" s="10"/>
      <c r="K34" s="10"/>
      <c r="L34" s="10"/>
      <c r="M34" s="10"/>
      <c r="N34" s="14"/>
      <c r="O34" s="10"/>
      <c r="U34" s="29"/>
      <c r="Z34" s="42"/>
      <c r="AA34" s="43"/>
      <c r="AB34" s="43"/>
      <c r="AC34" s="43"/>
      <c r="AD34" s="61"/>
      <c r="AE34" s="62"/>
      <c r="AF34" s="63"/>
      <c r="AG34" s="60"/>
      <c r="AH34" s="75"/>
    </row>
    <row r="35" spans="4:34" ht="13.35" thickTop="1" thickBot="1">
      <c r="E35" s="10"/>
      <c r="F35" s="10"/>
      <c r="G35" s="10"/>
      <c r="H35" s="14" t="s">
        <v>229</v>
      </c>
      <c r="I35" s="9" t="str">
        <f>IF(OR(H33="",H37=""),"",+IF(H33&gt;H37,G33,G37))</f>
        <v/>
      </c>
      <c r="J35" s="11"/>
      <c r="K35" s="10"/>
      <c r="L35" s="10"/>
      <c r="M35" s="10"/>
      <c r="N35" s="14"/>
      <c r="O35" s="10"/>
    </row>
    <row r="36" spans="4:34" ht="13" thickBot="1">
      <c r="D36">
        <v>14</v>
      </c>
      <c r="E36" s="10"/>
      <c r="F36" s="11"/>
      <c r="G36" s="10"/>
      <c r="H36" s="14"/>
      <c r="I36" s="10"/>
      <c r="J36" s="13"/>
      <c r="K36" s="10"/>
      <c r="L36" s="10"/>
      <c r="M36" s="10"/>
      <c r="N36" s="14"/>
      <c r="O36" s="10"/>
    </row>
    <row r="37" spans="4:34" ht="13" thickBot="1">
      <c r="E37" s="12"/>
      <c r="F37" s="13" t="s">
        <v>210</v>
      </c>
      <c r="G37" s="9" t="str">
        <f>IF(OR(F36="",F38=""),"",+IF(F36&gt;F38,E36,E38))</f>
        <v/>
      </c>
      <c r="H37" s="16"/>
      <c r="I37" s="10"/>
      <c r="J37" s="14"/>
      <c r="K37" s="10"/>
      <c r="L37" s="10"/>
      <c r="M37" s="10"/>
      <c r="N37" s="14"/>
      <c r="O37" s="10"/>
    </row>
    <row r="38" spans="4:34" ht="13" thickBot="1">
      <c r="D38">
        <v>15</v>
      </c>
      <c r="E38" s="10"/>
      <c r="F38" s="16"/>
      <c r="G38" s="10"/>
      <c r="H38" s="10"/>
      <c r="I38" s="10"/>
      <c r="J38" s="14"/>
      <c r="K38" s="10"/>
      <c r="L38" s="10"/>
      <c r="M38" s="10"/>
      <c r="N38" s="14"/>
      <c r="O38" s="10"/>
    </row>
    <row r="39" spans="4:34" ht="13" thickBot="1">
      <c r="E39" s="12"/>
      <c r="F39" s="10"/>
      <c r="G39" s="10"/>
      <c r="H39" s="10"/>
      <c r="I39" s="10"/>
      <c r="J39" s="14" t="s">
        <v>242</v>
      </c>
      <c r="K39" s="9" t="str">
        <f>IF(OR(J35="",J43=""),"",+IF(J35&gt;J43,I35,I43))</f>
        <v/>
      </c>
      <c r="L39" s="17"/>
      <c r="M39" s="10"/>
      <c r="N39" s="14"/>
      <c r="O39" s="10"/>
    </row>
    <row r="40" spans="4:34" ht="13" thickBot="1">
      <c r="D40">
        <v>16</v>
      </c>
      <c r="E40" s="10"/>
      <c r="F40" s="11"/>
      <c r="G40" s="10"/>
      <c r="H40" s="10"/>
      <c r="I40" s="10"/>
      <c r="J40" s="14"/>
      <c r="K40" s="10"/>
      <c r="L40" s="13"/>
      <c r="M40" s="10"/>
      <c r="N40" s="14"/>
      <c r="O40" s="10"/>
    </row>
    <row r="41" spans="4:34" ht="13" thickBot="1">
      <c r="E41" s="12"/>
      <c r="F41" s="13" t="s">
        <v>212</v>
      </c>
      <c r="G41" s="9" t="str">
        <f>IF(OR(F40="",F42=""),"",+IF(F40&gt;F42,E40,E42))</f>
        <v/>
      </c>
      <c r="H41" s="11"/>
      <c r="I41" s="10"/>
      <c r="J41" s="14"/>
      <c r="K41" s="10"/>
      <c r="L41" s="14"/>
      <c r="M41" s="10"/>
      <c r="N41" s="14"/>
      <c r="O41" s="10"/>
    </row>
    <row r="42" spans="4:34" ht="13" thickBot="1">
      <c r="D42">
        <v>17</v>
      </c>
      <c r="E42" s="9"/>
      <c r="F42" s="16"/>
      <c r="G42" s="10"/>
      <c r="H42" s="13"/>
      <c r="I42" s="10"/>
      <c r="J42" s="14"/>
      <c r="K42" s="10"/>
      <c r="L42" s="14"/>
      <c r="M42" s="10"/>
      <c r="N42" s="14"/>
      <c r="O42" s="10"/>
    </row>
    <row r="43" spans="4:34" ht="13" thickBot="1">
      <c r="E43" s="10"/>
      <c r="F43" s="10"/>
      <c r="G43" s="10"/>
      <c r="H43" s="14" t="s">
        <v>232</v>
      </c>
      <c r="I43" s="9" t="str">
        <f>IF(OR(H41="",H44=""),"",+IF(H41&gt;H44,G41,E44))</f>
        <v/>
      </c>
      <c r="J43" s="16"/>
      <c r="K43" s="10"/>
      <c r="L43" s="14"/>
      <c r="M43" s="10"/>
      <c r="N43" s="14"/>
      <c r="O43" s="10"/>
    </row>
    <row r="44" spans="4:34" ht="13" thickBot="1">
      <c r="D44">
        <v>18</v>
      </c>
      <c r="E44" s="9"/>
      <c r="F44" s="9"/>
      <c r="G44" s="9">
        <f>E44</f>
        <v>0</v>
      </c>
      <c r="H44" s="16"/>
      <c r="I44" s="10"/>
      <c r="J44" s="10"/>
      <c r="K44" s="10"/>
      <c r="L44" s="14"/>
      <c r="M44" s="10"/>
      <c r="N44" s="14"/>
      <c r="O44" s="10"/>
    </row>
    <row r="45" spans="4:34">
      <c r="E45" s="10"/>
      <c r="F45" s="10"/>
      <c r="G45" s="10"/>
      <c r="H45" s="10"/>
      <c r="I45" s="10"/>
      <c r="J45" s="10"/>
      <c r="K45" s="10"/>
      <c r="L45" s="14"/>
      <c r="M45" s="10"/>
      <c r="N45" s="14"/>
      <c r="O45" s="10"/>
    </row>
    <row r="46" spans="4:34" ht="13" thickBot="1">
      <c r="D46">
        <v>19</v>
      </c>
      <c r="E46" s="10"/>
      <c r="F46" s="11"/>
      <c r="G46" s="10"/>
      <c r="H46" s="10"/>
      <c r="I46" s="10"/>
      <c r="J46" s="10"/>
      <c r="K46" s="10"/>
      <c r="L46" s="14" t="s">
        <v>248</v>
      </c>
      <c r="M46" s="9" t="str">
        <f>IF(OR(L39="",L52=""),"",+IF(L38&gt;L52,K39,K52))</f>
        <v/>
      </c>
      <c r="N46" s="16"/>
      <c r="O46" s="10"/>
    </row>
    <row r="47" spans="4:34" ht="13" thickBot="1">
      <c r="E47" s="12"/>
      <c r="F47" s="13" t="s">
        <v>214</v>
      </c>
      <c r="G47" s="9" t="str">
        <f>IF(OR(F46="",F48=""),"",+IF(F46&gt;F48,E46,E48))</f>
        <v/>
      </c>
      <c r="H47" s="17"/>
      <c r="I47" s="10"/>
      <c r="J47" s="10"/>
      <c r="K47" s="10"/>
      <c r="L47" s="14"/>
      <c r="M47" s="10"/>
      <c r="N47" s="10"/>
      <c r="O47" s="10"/>
    </row>
    <row r="48" spans="4:34" ht="13" thickBot="1">
      <c r="D48">
        <v>20</v>
      </c>
      <c r="E48" s="10"/>
      <c r="F48" s="16"/>
      <c r="G48" s="10"/>
      <c r="H48" s="14"/>
      <c r="I48" s="10"/>
      <c r="J48" s="10"/>
      <c r="K48" s="10"/>
      <c r="L48" s="14"/>
      <c r="M48" s="10"/>
      <c r="N48" s="10"/>
      <c r="O48" s="10"/>
    </row>
    <row r="49" spans="4:15" ht="13" thickBot="1">
      <c r="E49" s="12"/>
      <c r="F49" s="10"/>
      <c r="G49" s="10"/>
      <c r="H49" s="14" t="s">
        <v>234</v>
      </c>
      <c r="I49" s="9" t="str">
        <f>IF(OR(H47="",H51=""),"",+IF(H47&gt;H51,G47,G51))</f>
        <v/>
      </c>
      <c r="J49" s="17"/>
      <c r="K49" s="10"/>
      <c r="L49" s="14"/>
      <c r="M49" s="10"/>
      <c r="N49" s="10"/>
      <c r="O49" s="10"/>
    </row>
    <row r="50" spans="4:15" ht="13" thickBot="1">
      <c r="D50">
        <v>21</v>
      </c>
      <c r="E50" s="10"/>
      <c r="F50" s="11"/>
      <c r="G50" s="10"/>
      <c r="H50" s="14"/>
      <c r="I50" s="10"/>
      <c r="J50" s="14"/>
      <c r="K50" s="10"/>
      <c r="L50" s="14"/>
      <c r="M50" s="10"/>
      <c r="N50" s="10"/>
      <c r="O50" s="10"/>
    </row>
    <row r="51" spans="4:15" ht="13" thickBot="1">
      <c r="E51" s="12"/>
      <c r="F51" s="13" t="s">
        <v>217</v>
      </c>
      <c r="G51" s="9" t="str">
        <f>IF(OR(F50="",F52=""),"",+IF(F50&gt;F52,E50,E52))</f>
        <v/>
      </c>
      <c r="H51" s="16"/>
      <c r="I51" s="10"/>
      <c r="J51" s="14"/>
      <c r="K51" s="10"/>
      <c r="L51" s="14"/>
      <c r="M51" s="10"/>
      <c r="N51" s="10"/>
      <c r="O51" s="10"/>
    </row>
    <row r="52" spans="4:15" ht="13" thickBot="1">
      <c r="D52">
        <v>22</v>
      </c>
      <c r="E52" s="10"/>
      <c r="F52" s="16"/>
      <c r="G52" s="10"/>
      <c r="H52" s="10"/>
      <c r="I52" s="10"/>
      <c r="J52" s="14" t="s">
        <v>244</v>
      </c>
      <c r="K52" s="9" t="str">
        <f>IF(OR(J49="",J57=""),"",+IF(J49&gt;J57,I49,I57))</f>
        <v/>
      </c>
      <c r="L52" s="16"/>
      <c r="M52" s="10"/>
      <c r="N52" s="10"/>
      <c r="O52" s="10"/>
    </row>
    <row r="53" spans="4:15">
      <c r="E53" s="12"/>
      <c r="F53" s="10"/>
      <c r="G53" s="10"/>
      <c r="H53" s="10"/>
      <c r="I53" s="10"/>
      <c r="J53" s="14"/>
      <c r="K53" s="10"/>
      <c r="L53" s="10"/>
      <c r="M53" s="10"/>
      <c r="N53" s="10"/>
      <c r="O53" s="10"/>
    </row>
    <row r="54" spans="4:15" ht="13" thickBot="1">
      <c r="D54">
        <v>23</v>
      </c>
      <c r="E54" s="10"/>
      <c r="F54" s="11"/>
      <c r="G54" s="10"/>
      <c r="H54" s="10"/>
      <c r="I54" s="10"/>
      <c r="J54" s="14"/>
      <c r="K54" s="10"/>
      <c r="L54" s="10"/>
      <c r="M54" s="10"/>
      <c r="N54" s="10"/>
      <c r="O54" s="10"/>
    </row>
    <row r="55" spans="4:15" ht="13" thickBot="1">
      <c r="E55" s="12"/>
      <c r="F55" s="13" t="s">
        <v>219</v>
      </c>
      <c r="G55" s="9" t="str">
        <f>IF(OR(F54="",F56=""),"",+IF(F54&gt;F56,E54,E56))</f>
        <v/>
      </c>
      <c r="H55" s="11"/>
      <c r="I55" s="10"/>
      <c r="J55" s="14"/>
      <c r="K55" s="10"/>
      <c r="L55" s="10"/>
      <c r="M55" s="10"/>
      <c r="N55" s="10"/>
      <c r="O55" s="10"/>
    </row>
    <row r="56" spans="4:15" ht="13" thickBot="1">
      <c r="D56">
        <v>24</v>
      </c>
      <c r="E56" s="9"/>
      <c r="F56" s="16"/>
      <c r="G56" s="10"/>
      <c r="H56" s="13"/>
      <c r="I56" s="10"/>
      <c r="J56" s="14"/>
      <c r="K56" s="10"/>
      <c r="L56" s="10"/>
      <c r="M56" s="10"/>
      <c r="N56" s="10"/>
      <c r="O56" s="10"/>
    </row>
    <row r="57" spans="4:15" ht="13" thickBot="1">
      <c r="E57" s="10"/>
      <c r="F57" s="10"/>
      <c r="G57" s="10"/>
      <c r="H57" s="14" t="s">
        <v>236</v>
      </c>
      <c r="I57" s="9" t="str">
        <f>IF(OR(H55="",H58=""),"",+IF(H55&gt;H58,G55,E58))</f>
        <v/>
      </c>
      <c r="J57" s="16"/>
      <c r="K57" s="10"/>
      <c r="L57" s="10"/>
      <c r="M57" s="10"/>
      <c r="N57" s="10"/>
      <c r="O57" s="10"/>
    </row>
    <row r="58" spans="4:15" ht="13" thickBot="1">
      <c r="D58">
        <v>25</v>
      </c>
      <c r="E58" s="9"/>
      <c r="F58" s="9"/>
      <c r="G58" s="9">
        <f>E58</f>
        <v>0</v>
      </c>
      <c r="H58" s="16"/>
      <c r="I58" s="10"/>
      <c r="J58" s="10"/>
      <c r="K58" s="10"/>
      <c r="L58" s="10"/>
      <c r="M58" s="9" t="str">
        <f>IF(OR(M20="",M46=""),"",+IF(L13&gt;L26,K26,K13))</f>
        <v/>
      </c>
      <c r="N58" s="17"/>
      <c r="O58" s="10"/>
    </row>
    <row r="59" spans="4:15">
      <c r="M59" s="10"/>
      <c r="N59" s="13"/>
      <c r="O59" s="10"/>
    </row>
    <row r="60" spans="4:15">
      <c r="M60" s="10"/>
      <c r="N60" s="14"/>
      <c r="O60" s="10"/>
    </row>
    <row r="61" spans="4:15">
      <c r="M61" s="10"/>
      <c r="N61" s="14"/>
      <c r="O61" s="10"/>
    </row>
    <row r="62" spans="4:15">
      <c r="M62" s="10"/>
      <c r="N62" s="14"/>
      <c r="O62" s="10"/>
    </row>
    <row r="63" spans="4:15">
      <c r="M63" s="10"/>
      <c r="N63" s="14"/>
      <c r="O63" s="10"/>
    </row>
    <row r="64" spans="4:15">
      <c r="M64" s="10"/>
      <c r="N64" s="14"/>
      <c r="O64" s="10"/>
    </row>
    <row r="65" spans="13:15" ht="13" thickBot="1">
      <c r="M65" s="77" t="s">
        <v>279</v>
      </c>
      <c r="N65" s="70" t="s">
        <v>250</v>
      </c>
      <c r="O65" s="9" t="str">
        <f>IF(OR(N58="",N71=""),"",+IF(N58&gt;N71,M58,M71))</f>
        <v/>
      </c>
    </row>
    <row r="66" spans="13:15">
      <c r="M66" s="10"/>
      <c r="N66" s="14"/>
      <c r="O66" s="10"/>
    </row>
    <row r="67" spans="13:15">
      <c r="M67" s="10"/>
      <c r="N67" s="14"/>
      <c r="O67" s="10"/>
    </row>
    <row r="68" spans="13:15">
      <c r="M68" s="10"/>
      <c r="N68" s="14"/>
      <c r="O68" s="10"/>
    </row>
    <row r="69" spans="13:15">
      <c r="M69" s="10"/>
      <c r="N69" s="14"/>
      <c r="O69" s="10"/>
    </row>
    <row r="70" spans="13:15">
      <c r="M70" s="10"/>
      <c r="N70" s="14"/>
      <c r="O70" s="10"/>
    </row>
    <row r="71" spans="13:15" ht="13" thickBot="1">
      <c r="M71" s="9" t="str">
        <f>IF(OR(M20="",M46=""),"",+IF(L39&gt;L52,K52,K39))</f>
        <v/>
      </c>
      <c r="N71" s="16"/>
      <c r="O71" s="10"/>
    </row>
    <row r="72" spans="13:15">
      <c r="M72" s="10"/>
      <c r="N72" s="10"/>
      <c r="O72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Plan22"/>
  <dimension ref="D4:AH75"/>
  <sheetViews>
    <sheetView showGridLines="0" topLeftCell="A13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3515625" customWidth="1"/>
    <col min="14" max="14" width="3.64453125" customWidth="1"/>
    <col min="15" max="15" width="15.644531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E14</f>
        <v>0</v>
      </c>
      <c r="V6" t="s">
        <v>77</v>
      </c>
      <c r="W6" s="29">
        <f>E16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E23</f>
        <v>0</v>
      </c>
      <c r="V7" t="s">
        <v>77</v>
      </c>
      <c r="W7" s="29">
        <f>E25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E27</f>
        <v>0</v>
      </c>
      <c r="V8" t="s">
        <v>77</v>
      </c>
      <c r="W8" s="29">
        <f>E29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219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E36</f>
        <v>0</v>
      </c>
      <c r="V9" t="s">
        <v>77</v>
      </c>
      <c r="W9" s="29">
        <f>E38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LOOKUP(AD9,T$5:T$78,U$5:U$34)</f>
        <v>0</v>
      </c>
      <c r="AF9" s="37" t="s">
        <v>157</v>
      </c>
      <c r="AG9" s="65">
        <f t="shared" ref="AG9:AG19" ca="1" si="1">LOOKUP(AD9,T$5:T$78,W$5:W$35)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E40</f>
        <v>0</v>
      </c>
      <c r="V10" t="s">
        <v>77</v>
      </c>
      <c r="W10" s="29">
        <f>E42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E49</f>
        <v>0</v>
      </c>
      <c r="V11" t="s">
        <v>77</v>
      </c>
      <c r="W11" s="29">
        <f>E51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10"/>
      <c r="F12" s="16"/>
      <c r="G12" s="10"/>
      <c r="H12" s="10"/>
      <c r="I12" s="10"/>
      <c r="J12" s="14"/>
      <c r="K12" s="10"/>
      <c r="L12" s="10"/>
      <c r="M12" s="10"/>
      <c r="N12" s="10"/>
      <c r="O12" s="10"/>
      <c r="T12">
        <v>8</v>
      </c>
      <c r="U12" s="28">
        <f>E53</f>
        <v>0</v>
      </c>
      <c r="V12" t="s">
        <v>77</v>
      </c>
      <c r="W12" s="29">
        <f>E55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 ht="13" thickBot="1">
      <c r="E13" s="12"/>
      <c r="F13" s="10"/>
      <c r="G13" s="10"/>
      <c r="H13" s="10"/>
      <c r="I13" s="10"/>
      <c r="J13" s="14" t="s">
        <v>236</v>
      </c>
      <c r="K13" s="9" t="str">
        <f>IF(OR(J9="",J17=""),"",+IF(J9&gt;J17,I9,I17))</f>
        <v/>
      </c>
      <c r="L13" s="17"/>
      <c r="M13" s="10"/>
      <c r="N13" s="10"/>
      <c r="O13" s="10"/>
      <c r="T13">
        <v>9</v>
      </c>
      <c r="U13" s="28">
        <f>E7</f>
        <v>0</v>
      </c>
      <c r="V13" t="s">
        <v>77</v>
      </c>
      <c r="W13" s="29" t="s">
        <v>78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  <c r="AH13" s="74"/>
    </row>
    <row r="14" spans="4:34" ht="13" thickBot="1">
      <c r="D14">
        <v>4</v>
      </c>
      <c r="E14" s="10"/>
      <c r="F14" s="11"/>
      <c r="G14" s="10"/>
      <c r="H14" s="10"/>
      <c r="I14" s="10"/>
      <c r="J14" s="14"/>
      <c r="K14" s="10"/>
      <c r="L14" s="13"/>
      <c r="M14" s="10"/>
      <c r="N14" s="10"/>
      <c r="O14" s="10"/>
      <c r="T14">
        <v>10</v>
      </c>
      <c r="U14" s="28" t="s">
        <v>160</v>
      </c>
      <c r="V14" t="s">
        <v>77</v>
      </c>
      <c r="W14" s="29">
        <f>E18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  <c r="AH14" s="74"/>
    </row>
    <row r="15" spans="4:34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N15" s="10"/>
      <c r="O15" s="10"/>
      <c r="T15">
        <v>11</v>
      </c>
      <c r="U15" s="28">
        <f>E20</f>
        <v>0</v>
      </c>
      <c r="V15" t="s">
        <v>77</v>
      </c>
      <c r="W15" s="29" t="s">
        <v>161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  <c r="AH15" s="74"/>
    </row>
    <row r="16" spans="4:34" ht="13" thickBot="1">
      <c r="D16">
        <v>5</v>
      </c>
      <c r="E16" s="9"/>
      <c r="F16" s="16"/>
      <c r="G16" s="10"/>
      <c r="H16" s="13"/>
      <c r="I16" s="10"/>
      <c r="J16" s="14"/>
      <c r="K16" s="10"/>
      <c r="L16" s="14"/>
      <c r="M16" s="10"/>
      <c r="N16" s="10"/>
      <c r="O16" s="10"/>
      <c r="T16">
        <v>12</v>
      </c>
      <c r="U16" s="28" t="s">
        <v>81</v>
      </c>
      <c r="V16" t="s">
        <v>77</v>
      </c>
      <c r="W16" s="29">
        <f>E31</f>
        <v>0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  <c r="AH16" s="74"/>
    </row>
    <row r="17" spans="4:34" ht="13" thickBot="1">
      <c r="E17" s="10"/>
      <c r="F17" s="10"/>
      <c r="G17" s="10"/>
      <c r="H17" s="14" t="s">
        <v>221</v>
      </c>
      <c r="I17" s="9" t="str">
        <f>IF(OR(H15="",H18=""),"",+IF(H15&gt;H18,G15,E18))</f>
        <v/>
      </c>
      <c r="J17" s="16"/>
      <c r="K17" s="10"/>
      <c r="L17" s="14"/>
      <c r="M17" s="10"/>
      <c r="N17" s="10"/>
      <c r="O17" s="10"/>
      <c r="T17">
        <v>13</v>
      </c>
      <c r="U17" s="28">
        <f>E33</f>
        <v>0</v>
      </c>
      <c r="W17" s="29" t="s">
        <v>162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 t="str">
        <f t="shared" ca="1" si="1"/>
        <v>Venc.J1</v>
      </c>
      <c r="AH17" s="74"/>
    </row>
    <row r="18" spans="4:34" ht="13" thickBot="1">
      <c r="D18">
        <v>6</v>
      </c>
      <c r="E18" s="9"/>
      <c r="F18" s="9"/>
      <c r="G18" s="9">
        <f>E18</f>
        <v>0</v>
      </c>
      <c r="H18" s="16"/>
      <c r="I18" s="10"/>
      <c r="J18" s="10"/>
      <c r="K18" s="10"/>
      <c r="L18" s="14"/>
      <c r="M18" s="10"/>
      <c r="N18" s="10"/>
      <c r="O18" s="10"/>
      <c r="T18">
        <v>14</v>
      </c>
      <c r="U18" s="28" t="s">
        <v>163</v>
      </c>
      <c r="V18" t="s">
        <v>77</v>
      </c>
      <c r="W18" s="29">
        <f>E44</f>
        <v>0</v>
      </c>
      <c r="Z18" s="34"/>
      <c r="AA18" s="40"/>
      <c r="AB18" s="40"/>
      <c r="AC18" s="38" t="s">
        <v>159</v>
      </c>
      <c r="AD18" s="48">
        <v>10</v>
      </c>
      <c r="AE18" s="53" t="str">
        <f t="shared" ca="1" si="0"/>
        <v>Venc.J2</v>
      </c>
      <c r="AF18" s="37" t="s">
        <v>157</v>
      </c>
      <c r="AG18" s="65">
        <f t="shared" ca="1" si="1"/>
        <v>0</v>
      </c>
      <c r="AH18" s="74"/>
    </row>
    <row r="19" spans="4:34">
      <c r="E19" s="10"/>
      <c r="F19" s="10"/>
      <c r="G19" s="10"/>
      <c r="H19" s="10"/>
      <c r="I19" s="10"/>
      <c r="J19" s="10"/>
      <c r="K19" s="10"/>
      <c r="L19" s="14"/>
      <c r="M19" s="10"/>
      <c r="N19" s="10"/>
      <c r="O19" s="10"/>
      <c r="T19">
        <v>15</v>
      </c>
      <c r="U19" s="28">
        <f>E46</f>
        <v>0</v>
      </c>
      <c r="V19" t="s">
        <v>77</v>
      </c>
      <c r="W19" s="29" t="s">
        <v>84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 t="str">
        <f t="shared" ca="1" si="1"/>
        <v>Venc.J3</v>
      </c>
      <c r="AH19" s="74"/>
    </row>
    <row r="20" spans="4:34" ht="13" thickBot="1">
      <c r="D20">
        <v>7</v>
      </c>
      <c r="E20" s="10"/>
      <c r="F20" s="9"/>
      <c r="G20" s="9">
        <f>E20</f>
        <v>0</v>
      </c>
      <c r="H20" s="11"/>
      <c r="I20" s="10"/>
      <c r="J20" s="10"/>
      <c r="K20" s="10"/>
      <c r="L20" s="14" t="s">
        <v>244</v>
      </c>
      <c r="M20" s="9" t="str">
        <f>IF(OR(L13="",L26=""),"",+IF(L13&gt;L26,K13,K26))</f>
        <v/>
      </c>
      <c r="N20" s="17"/>
      <c r="O20" s="10"/>
      <c r="T20">
        <v>16</v>
      </c>
      <c r="U20" s="28" t="s">
        <v>164</v>
      </c>
      <c r="V20" t="s">
        <v>77</v>
      </c>
      <c r="W20" s="29">
        <f>E57</f>
        <v>0</v>
      </c>
      <c r="Z20" s="34"/>
      <c r="AA20" s="40"/>
      <c r="AB20" s="40"/>
      <c r="AC20" s="38" t="s">
        <v>159</v>
      </c>
      <c r="AD20" s="48">
        <v>12</v>
      </c>
      <c r="AE20" s="53" t="str">
        <f t="shared" ref="AE20:AE30" ca="1" si="2">LOOKUP(AD20,T$5:T$78,U$5:U$34)</f>
        <v>Venc.J4</v>
      </c>
      <c r="AF20" s="37" t="s">
        <v>157</v>
      </c>
      <c r="AG20" s="65">
        <f t="shared" ref="AG20:AG30" ca="1" si="3">LOOKUP(AD20,T$5:T$78,W$5:W$35)</f>
        <v>0</v>
      </c>
      <c r="AH20" s="74"/>
    </row>
    <row r="21" spans="4:34">
      <c r="E21" s="12"/>
      <c r="F21" s="10"/>
      <c r="G21" s="10"/>
      <c r="H21" s="13"/>
      <c r="I21" s="10"/>
      <c r="J21" s="10"/>
      <c r="K21" s="10"/>
      <c r="L21" s="14"/>
      <c r="M21" s="10"/>
      <c r="N21" s="13"/>
      <c r="O21" s="10"/>
      <c r="T21">
        <v>17</v>
      </c>
      <c r="U21" s="28" t="s">
        <v>86</v>
      </c>
      <c r="V21" t="s">
        <v>77</v>
      </c>
      <c r="W21" s="29" t="s">
        <v>87</v>
      </c>
      <c r="Z21" s="34"/>
      <c r="AA21" s="40"/>
      <c r="AB21" s="40"/>
      <c r="AC21" s="38" t="s">
        <v>159</v>
      </c>
      <c r="AD21" s="48">
        <v>13</v>
      </c>
      <c r="AE21" s="53">
        <f t="shared" ca="1" si="2"/>
        <v>0</v>
      </c>
      <c r="AF21" s="37" t="s">
        <v>157</v>
      </c>
      <c r="AG21" s="65" t="str">
        <f t="shared" ca="1" si="3"/>
        <v>Venc.J5</v>
      </c>
      <c r="AH21" s="74"/>
    </row>
    <row r="22" spans="4:34" ht="13" thickBot="1">
      <c r="E22" s="10"/>
      <c r="F22" s="10"/>
      <c r="G22" s="10"/>
      <c r="H22" s="14" t="s">
        <v>223</v>
      </c>
      <c r="I22" s="9" t="str">
        <f>IF(OR(H20="",H24=""),"",+IF(H20&gt;H24,G20,G24))</f>
        <v/>
      </c>
      <c r="J22" s="11"/>
      <c r="K22" s="10"/>
      <c r="L22" s="14"/>
      <c r="M22" s="10"/>
      <c r="N22" s="14"/>
      <c r="O22" s="10"/>
      <c r="T22">
        <v>18</v>
      </c>
      <c r="U22" s="28" t="s">
        <v>88</v>
      </c>
      <c r="V22" t="s">
        <v>77</v>
      </c>
      <c r="W22" s="29" t="s">
        <v>89</v>
      </c>
      <c r="Z22" s="34"/>
      <c r="AA22" s="40"/>
      <c r="AB22" s="40"/>
      <c r="AC22" s="38" t="s">
        <v>159</v>
      </c>
      <c r="AD22" s="48">
        <v>14</v>
      </c>
      <c r="AE22" s="53" t="str">
        <f t="shared" ca="1" si="2"/>
        <v>Venc.J6</v>
      </c>
      <c r="AF22" s="37" t="s">
        <v>157</v>
      </c>
      <c r="AG22" s="65">
        <f t="shared" ca="1" si="3"/>
        <v>0</v>
      </c>
      <c r="AH22" s="74"/>
    </row>
    <row r="23" spans="4:34" ht="13" thickBot="1">
      <c r="D23">
        <v>8</v>
      </c>
      <c r="E23" s="10"/>
      <c r="F23" s="11"/>
      <c r="G23" s="10"/>
      <c r="H23" s="14"/>
      <c r="I23" s="10"/>
      <c r="J23" s="13"/>
      <c r="K23" s="10"/>
      <c r="L23" s="14"/>
      <c r="M23" s="10"/>
      <c r="N23" s="14"/>
      <c r="O23" s="10"/>
      <c r="T23">
        <v>19</v>
      </c>
      <c r="U23" s="28" t="s">
        <v>90</v>
      </c>
      <c r="V23" t="s">
        <v>77</v>
      </c>
      <c r="W23" s="29" t="s">
        <v>91</v>
      </c>
      <c r="Z23" s="34"/>
      <c r="AA23" s="40"/>
      <c r="AB23" s="40"/>
      <c r="AC23" s="38" t="s">
        <v>159</v>
      </c>
      <c r="AD23" s="48">
        <v>15</v>
      </c>
      <c r="AE23" s="53">
        <f t="shared" ca="1" si="2"/>
        <v>0</v>
      </c>
      <c r="AF23" s="37" t="s">
        <v>157</v>
      </c>
      <c r="AG23" s="65" t="str">
        <f t="shared" ca="1" si="3"/>
        <v>Venc.J7</v>
      </c>
      <c r="AH23" s="74"/>
    </row>
    <row r="24" spans="4:34" ht="13" thickBot="1">
      <c r="E24" s="12"/>
      <c r="F24" s="13" t="s">
        <v>206</v>
      </c>
      <c r="G24" s="9" t="str">
        <f>IF(OR(F23="",F25=""),"",+IF(F23&gt;F25,E23,E25))</f>
        <v/>
      </c>
      <c r="H24" s="16"/>
      <c r="I24" s="10"/>
      <c r="J24" s="14"/>
      <c r="K24" s="10"/>
      <c r="L24" s="14"/>
      <c r="M24" s="10"/>
      <c r="N24" s="14"/>
      <c r="O24" s="10"/>
      <c r="T24">
        <v>20</v>
      </c>
      <c r="U24" s="28" t="s">
        <v>92</v>
      </c>
      <c r="V24" t="s">
        <v>77</v>
      </c>
      <c r="W24" s="29" t="s">
        <v>165</v>
      </c>
      <c r="Z24" s="34"/>
      <c r="AA24" s="40"/>
      <c r="AB24" s="40"/>
      <c r="AC24" s="38" t="s">
        <v>159</v>
      </c>
      <c r="AD24" s="48">
        <v>16</v>
      </c>
      <c r="AE24" s="53" t="str">
        <f t="shared" ca="1" si="2"/>
        <v>Venc.J8</v>
      </c>
      <c r="AF24" s="37" t="s">
        <v>157</v>
      </c>
      <c r="AG24" s="65">
        <f t="shared" ca="1" si="3"/>
        <v>0</v>
      </c>
      <c r="AH24" s="74"/>
    </row>
    <row r="25" spans="4:34" ht="13" thickBot="1">
      <c r="D25">
        <v>9</v>
      </c>
      <c r="E25" s="10"/>
      <c r="F25" s="16"/>
      <c r="G25" s="10"/>
      <c r="H25" s="10"/>
      <c r="I25" s="10"/>
      <c r="J25" s="14"/>
      <c r="K25" s="10"/>
      <c r="L25" s="14"/>
      <c r="M25" s="10"/>
      <c r="N25" s="14"/>
      <c r="O25" s="10"/>
      <c r="T25">
        <v>21</v>
      </c>
      <c r="U25" s="28" t="s">
        <v>94</v>
      </c>
      <c r="V25" t="s">
        <v>77</v>
      </c>
      <c r="W25" s="29" t="s">
        <v>95</v>
      </c>
      <c r="Z25" s="34"/>
      <c r="AA25" s="40"/>
      <c r="AB25" s="40"/>
      <c r="AC25" s="38" t="s">
        <v>159</v>
      </c>
      <c r="AD25" s="48">
        <v>17</v>
      </c>
      <c r="AE25" s="53" t="str">
        <f t="shared" ca="1" si="2"/>
        <v>Venc.J9</v>
      </c>
      <c r="AF25" s="37" t="s">
        <v>157</v>
      </c>
      <c r="AG25" s="65" t="str">
        <f t="shared" ca="1" si="3"/>
        <v>Venc.J10</v>
      </c>
      <c r="AH25" s="74"/>
    </row>
    <row r="26" spans="4:34" ht="13" thickBot="1">
      <c r="E26" s="12"/>
      <c r="F26" s="10"/>
      <c r="G26" s="10"/>
      <c r="H26" s="10"/>
      <c r="I26" s="10"/>
      <c r="J26" s="14" t="s">
        <v>238</v>
      </c>
      <c r="K26" s="9" t="str">
        <f>IF(OR(J22="",J30=""),"",+IF(J22&gt;J30,I22,I30))</f>
        <v/>
      </c>
      <c r="L26" s="16"/>
      <c r="M26" s="10"/>
      <c r="N26" s="14"/>
      <c r="O26" s="10"/>
      <c r="T26">
        <v>22</v>
      </c>
      <c r="U26" s="28" t="s">
        <v>96</v>
      </c>
      <c r="V26" t="s">
        <v>77</v>
      </c>
      <c r="W26" s="29" t="s">
        <v>97</v>
      </c>
      <c r="Z26" s="34"/>
      <c r="AA26" s="40"/>
      <c r="AB26" s="40"/>
      <c r="AC26" s="38" t="s">
        <v>159</v>
      </c>
      <c r="AD26" s="48">
        <v>18</v>
      </c>
      <c r="AE26" s="53" t="str">
        <f t="shared" ca="1" si="2"/>
        <v>Venc.J11</v>
      </c>
      <c r="AF26" s="37" t="s">
        <v>157</v>
      </c>
      <c r="AG26" s="65" t="str">
        <f t="shared" ca="1" si="3"/>
        <v>Venc.J12</v>
      </c>
      <c r="AH26" s="74"/>
    </row>
    <row r="27" spans="4:34" ht="13" thickBot="1">
      <c r="D27">
        <v>10</v>
      </c>
      <c r="E27" s="10"/>
      <c r="F27" s="11"/>
      <c r="G27" s="10"/>
      <c r="H27" s="10"/>
      <c r="I27" s="10"/>
      <c r="J27" s="14"/>
      <c r="K27" s="10"/>
      <c r="L27" s="10"/>
      <c r="M27" s="10"/>
      <c r="N27" s="14"/>
      <c r="O27" s="10"/>
      <c r="T27">
        <v>23</v>
      </c>
      <c r="U27" s="71" t="s">
        <v>297</v>
      </c>
      <c r="V27" t="s">
        <v>77</v>
      </c>
      <c r="W27" s="72" t="s">
        <v>298</v>
      </c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Venc.J13</v>
      </c>
      <c r="AF27" s="37" t="s">
        <v>157</v>
      </c>
      <c r="AG27" s="65" t="str">
        <f t="shared" ca="1" si="3"/>
        <v>Venc.J14</v>
      </c>
      <c r="AH27" s="74"/>
    </row>
    <row r="28" spans="4:34" ht="13" thickBot="1">
      <c r="E28" s="12"/>
      <c r="F28" s="13" t="s">
        <v>208</v>
      </c>
      <c r="G28" s="9" t="str">
        <f>IF(OR(F27="",F29=""),"",+IF(F27&gt;F29,E27,E29))</f>
        <v/>
      </c>
      <c r="H28" s="11"/>
      <c r="I28" s="10"/>
      <c r="J28" s="14"/>
      <c r="K28" s="10"/>
      <c r="L28" s="10"/>
      <c r="M28" s="10"/>
      <c r="N28" s="14"/>
      <c r="O28" s="10"/>
      <c r="T28">
        <v>24</v>
      </c>
      <c r="U28" s="71" t="s">
        <v>98</v>
      </c>
      <c r="V28" t="s">
        <v>77</v>
      </c>
      <c r="W28" s="29" t="s">
        <v>99</v>
      </c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Venc.J15</v>
      </c>
      <c r="AF28" s="37" t="s">
        <v>157</v>
      </c>
      <c r="AG28" s="65" t="str">
        <f t="shared" ca="1" si="3"/>
        <v>Venc.J16</v>
      </c>
      <c r="AH28" s="74"/>
    </row>
    <row r="29" spans="4:34" ht="13" thickBot="1">
      <c r="D29">
        <v>11</v>
      </c>
      <c r="E29" s="9"/>
      <c r="F29" s="16"/>
      <c r="G29" s="10"/>
      <c r="H29" s="13"/>
      <c r="I29" s="10"/>
      <c r="J29" s="14"/>
      <c r="K29" s="10"/>
      <c r="L29" s="10"/>
      <c r="M29" s="10"/>
      <c r="N29" s="14"/>
      <c r="O29" s="10"/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Venc.J17</v>
      </c>
      <c r="AF29" s="37" t="s">
        <v>157</v>
      </c>
      <c r="AG29" s="65" t="str">
        <f t="shared" ca="1" si="3"/>
        <v>Venc.J18</v>
      </c>
      <c r="AH29" s="74"/>
    </row>
    <row r="30" spans="4:34" ht="13" thickBot="1">
      <c r="E30" s="10"/>
      <c r="F30" s="10"/>
      <c r="G30" s="10"/>
      <c r="H30" s="14" t="s">
        <v>225</v>
      </c>
      <c r="I30" s="9" t="str">
        <f>IF(OR(H28="",H31=""),"",+IF(H28&gt;H31,G28,E31))</f>
        <v/>
      </c>
      <c r="J30" s="16"/>
      <c r="K30" s="10"/>
      <c r="L30" s="10"/>
      <c r="M30" s="10"/>
      <c r="N30" s="14"/>
      <c r="O30" s="10"/>
      <c r="U30" s="29"/>
      <c r="W30" s="28"/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Venc.J19</v>
      </c>
      <c r="AF30" s="37" t="s">
        <v>157</v>
      </c>
      <c r="AG30" s="65" t="str">
        <f t="shared" ca="1" si="3"/>
        <v>Venc.J20</v>
      </c>
      <c r="AH30" s="74"/>
    </row>
    <row r="31" spans="4:34" ht="13" thickBot="1">
      <c r="D31">
        <v>12</v>
      </c>
      <c r="E31" s="9"/>
      <c r="F31" s="9"/>
      <c r="G31" s="9">
        <f>E31</f>
        <v>0</v>
      </c>
      <c r="H31" s="16"/>
      <c r="I31" s="10"/>
      <c r="J31" s="10"/>
      <c r="K31" s="10"/>
      <c r="L31" s="10"/>
      <c r="M31" s="10"/>
      <c r="N31" s="14"/>
      <c r="O31" s="10"/>
      <c r="U31" s="29"/>
      <c r="Z31" s="34"/>
      <c r="AA31" s="40"/>
      <c r="AB31" s="40"/>
      <c r="AC31" s="38" t="s">
        <v>159</v>
      </c>
      <c r="AD31" s="48">
        <v>23</v>
      </c>
      <c r="AE31" s="53" t="str">
        <f ca="1">LOOKUP(AD31,T$5:T$78,U$5:U$34)</f>
        <v>Perd.J21</v>
      </c>
      <c r="AF31" s="37" t="s">
        <v>157</v>
      </c>
      <c r="AG31" s="65" t="str">
        <f ca="1">LOOKUP(AD31,T$5:T$78,W$5:W$35)</f>
        <v>Perd.J22</v>
      </c>
      <c r="AH31" s="74"/>
    </row>
    <row r="32" spans="4:34">
      <c r="E32" s="10"/>
      <c r="F32" s="10"/>
      <c r="G32" s="10"/>
      <c r="H32" s="10"/>
      <c r="I32" s="10"/>
      <c r="J32" s="10"/>
      <c r="K32" s="10"/>
      <c r="L32" s="10"/>
      <c r="M32" s="10"/>
      <c r="N32" s="14"/>
      <c r="O32" s="10"/>
      <c r="Z32" s="34"/>
      <c r="AA32" s="40"/>
      <c r="AB32" s="40"/>
      <c r="AC32" s="38" t="s">
        <v>159</v>
      </c>
      <c r="AD32" s="48">
        <v>24</v>
      </c>
      <c r="AE32" s="53" t="str">
        <f ca="1">LOOKUP(AD32,T$5:T$78,U$5:U$34)</f>
        <v>Venc.J21</v>
      </c>
      <c r="AF32" s="37" t="s">
        <v>157</v>
      </c>
      <c r="AG32" s="65" t="str">
        <f ca="1">LOOKUP(AD32,T$5:T$78,W$5:W$35)</f>
        <v>Venc.J22</v>
      </c>
      <c r="AH32" s="74"/>
    </row>
    <row r="33" spans="4:34" ht="13" thickBot="1">
      <c r="D33">
        <v>13</v>
      </c>
      <c r="E33" s="10"/>
      <c r="F33" s="9"/>
      <c r="G33" s="9">
        <f>E33</f>
        <v>0</v>
      </c>
      <c r="H33" s="11"/>
      <c r="I33" s="10"/>
      <c r="J33" s="10"/>
      <c r="K33" s="10"/>
      <c r="L33" s="10"/>
      <c r="M33" s="77" t="s">
        <v>278</v>
      </c>
      <c r="N33" s="70" t="s">
        <v>250</v>
      </c>
      <c r="O33" s="9" t="str">
        <f>IF(OR(N20="",N46=""),"",+IF(N20&gt;N46,M20,M46))</f>
        <v/>
      </c>
      <c r="U33" s="29"/>
      <c r="Z33" s="42"/>
      <c r="AA33" s="43"/>
      <c r="AB33" s="43"/>
      <c r="AC33" s="43"/>
      <c r="AD33" s="61"/>
      <c r="AE33" s="62"/>
      <c r="AF33" s="63"/>
      <c r="AG33" s="60"/>
      <c r="AH33" s="75"/>
    </row>
    <row r="34" spans="4:34">
      <c r="E34" s="12"/>
      <c r="F34" s="10"/>
      <c r="G34" s="10"/>
      <c r="H34" s="13"/>
      <c r="I34" s="10"/>
      <c r="J34" s="10"/>
      <c r="K34" s="10"/>
      <c r="L34" s="10"/>
      <c r="M34" s="10"/>
      <c r="N34" s="14"/>
      <c r="O34" s="10"/>
    </row>
    <row r="35" spans="4:34" ht="13" thickBot="1">
      <c r="E35" s="10"/>
      <c r="F35" s="10"/>
      <c r="G35" s="10"/>
      <c r="H35" s="14" t="s">
        <v>227</v>
      </c>
      <c r="I35" s="9" t="str">
        <f>IF(OR(H33="",H37=""),"",+IF(H33&gt;H37,G33,G37))</f>
        <v/>
      </c>
      <c r="J35" s="11"/>
      <c r="K35" s="10"/>
      <c r="L35" s="10"/>
      <c r="M35" s="10"/>
      <c r="N35" s="14"/>
      <c r="O35" s="10"/>
    </row>
    <row r="36" spans="4:34" ht="13" thickBot="1">
      <c r="D36">
        <v>14</v>
      </c>
      <c r="E36" s="10"/>
      <c r="F36" s="11"/>
      <c r="G36" s="10"/>
      <c r="H36" s="14"/>
      <c r="I36" s="10"/>
      <c r="J36" s="13"/>
      <c r="K36" s="10"/>
      <c r="L36" s="10"/>
      <c r="M36" s="10"/>
      <c r="N36" s="14"/>
      <c r="O36" s="10"/>
    </row>
    <row r="37" spans="4:34" ht="13" thickBot="1">
      <c r="E37" s="12"/>
      <c r="F37" s="13" t="s">
        <v>210</v>
      </c>
      <c r="G37" s="9" t="str">
        <f>IF(OR(F36="",F38=""),"",+IF(F36&gt;F38,E36,E38))</f>
        <v/>
      </c>
      <c r="H37" s="16"/>
      <c r="I37" s="10"/>
      <c r="J37" s="14"/>
      <c r="K37" s="10"/>
      <c r="L37" s="10"/>
      <c r="M37" s="10"/>
      <c r="N37" s="14"/>
      <c r="O37" s="10"/>
    </row>
    <row r="38" spans="4:34" ht="13" thickBot="1">
      <c r="D38">
        <v>15</v>
      </c>
      <c r="E38" s="10"/>
      <c r="F38" s="16"/>
      <c r="G38" s="10"/>
      <c r="H38" s="10"/>
      <c r="I38" s="10"/>
      <c r="J38" s="14"/>
      <c r="K38" s="10"/>
      <c r="L38" s="10"/>
      <c r="M38" s="10"/>
      <c r="N38" s="14"/>
      <c r="O38" s="10"/>
    </row>
    <row r="39" spans="4:34" ht="13" thickBot="1">
      <c r="E39" s="12"/>
      <c r="F39" s="10"/>
      <c r="G39" s="10"/>
      <c r="H39" s="10"/>
      <c r="I39" s="10"/>
      <c r="J39" s="14" t="s">
        <v>240</v>
      </c>
      <c r="K39" s="9" t="str">
        <f>IF(OR(J35="",J43=""),"",+IF(J35&gt;J43,I35,I43))</f>
        <v/>
      </c>
      <c r="L39" s="17"/>
      <c r="M39" s="10"/>
      <c r="N39" s="14"/>
      <c r="O39" s="10"/>
    </row>
    <row r="40" spans="4:34" ht="13" thickBot="1">
      <c r="D40">
        <v>16</v>
      </c>
      <c r="E40" s="10"/>
      <c r="F40" s="11"/>
      <c r="G40" s="10"/>
      <c r="H40" s="10"/>
      <c r="I40" s="10"/>
      <c r="J40" s="14"/>
      <c r="K40" s="10"/>
      <c r="L40" s="13"/>
      <c r="M40" s="10"/>
      <c r="N40" s="14"/>
      <c r="O40" s="10"/>
    </row>
    <row r="41" spans="4:34" ht="13" thickBot="1">
      <c r="E41" s="12"/>
      <c r="F41" s="13" t="s">
        <v>212</v>
      </c>
      <c r="G41" s="9" t="str">
        <f>IF(OR(F40="",F42=""),"",+IF(F40&gt;F42,E40,E42))</f>
        <v/>
      </c>
      <c r="H41" s="11"/>
      <c r="I41" s="10"/>
      <c r="J41" s="14"/>
      <c r="K41" s="10"/>
      <c r="L41" s="14"/>
      <c r="M41" s="10"/>
      <c r="N41" s="14"/>
      <c r="O41" s="10"/>
    </row>
    <row r="42" spans="4:34" ht="13" thickBot="1">
      <c r="D42">
        <v>17</v>
      </c>
      <c r="E42" s="9"/>
      <c r="F42" s="16"/>
      <c r="G42" s="10"/>
      <c r="H42" s="13"/>
      <c r="I42" s="10"/>
      <c r="J42" s="14"/>
      <c r="K42" s="10"/>
      <c r="L42" s="14"/>
      <c r="M42" s="10"/>
      <c r="N42" s="14"/>
      <c r="O42" s="10"/>
    </row>
    <row r="43" spans="4:34" ht="13" thickBot="1">
      <c r="E43" s="10"/>
      <c r="F43" s="10"/>
      <c r="G43" s="10"/>
      <c r="H43" s="14" t="s">
        <v>229</v>
      </c>
      <c r="I43" s="9" t="str">
        <f>IF(OR(H41="",H44=""),"",+IF(H41&gt;H44,G41,E44))</f>
        <v/>
      </c>
      <c r="J43" s="16"/>
      <c r="K43" s="10"/>
      <c r="L43" s="14"/>
      <c r="M43" s="10"/>
      <c r="N43" s="14"/>
      <c r="O43" s="10"/>
    </row>
    <row r="44" spans="4:34" ht="13" thickBot="1">
      <c r="D44">
        <v>18</v>
      </c>
      <c r="E44" s="9"/>
      <c r="F44" s="9"/>
      <c r="G44" s="9">
        <f>E44</f>
        <v>0</v>
      </c>
      <c r="H44" s="16"/>
      <c r="I44" s="10"/>
      <c r="J44" s="10"/>
      <c r="K44" s="10"/>
      <c r="L44" s="14"/>
      <c r="M44" s="10"/>
      <c r="N44" s="14"/>
      <c r="O44" s="10"/>
    </row>
    <row r="45" spans="4:34">
      <c r="E45" s="10"/>
      <c r="F45" s="10"/>
      <c r="G45" s="10"/>
      <c r="H45" s="10"/>
      <c r="I45" s="10"/>
      <c r="J45" s="10"/>
      <c r="K45" s="10"/>
      <c r="L45" s="14"/>
      <c r="M45" s="10"/>
      <c r="N45" s="14"/>
      <c r="O45" s="10"/>
    </row>
    <row r="46" spans="4:34" ht="13" thickBot="1">
      <c r="D46">
        <v>19</v>
      </c>
      <c r="E46" s="10"/>
      <c r="F46" s="9"/>
      <c r="G46" s="9">
        <f>E46</f>
        <v>0</v>
      </c>
      <c r="H46" s="11"/>
      <c r="I46" s="10"/>
      <c r="J46" s="10"/>
      <c r="K46" s="10"/>
      <c r="L46" s="14" t="s">
        <v>246</v>
      </c>
      <c r="M46" s="9" t="str">
        <f>IF(OR(L39="",L52=""),"",+IF(L39&gt;L52,K39,K52))</f>
        <v/>
      </c>
      <c r="N46" s="16"/>
      <c r="O46" s="10"/>
    </row>
    <row r="47" spans="4:34">
      <c r="E47" s="12"/>
      <c r="F47" s="10"/>
      <c r="G47" s="10"/>
      <c r="H47" s="13"/>
      <c r="I47" s="10"/>
      <c r="J47" s="10"/>
      <c r="K47" s="10"/>
      <c r="L47" s="14"/>
      <c r="M47" s="10"/>
      <c r="N47" s="10"/>
      <c r="O47" s="10"/>
    </row>
    <row r="48" spans="4:34" ht="13" thickBot="1">
      <c r="E48" s="10"/>
      <c r="F48" s="10"/>
      <c r="G48" s="10"/>
      <c r="H48" s="14" t="s">
        <v>232</v>
      </c>
      <c r="I48" s="9" t="str">
        <f>IF(OR(H46="",H50=""),"",+IF(H46&gt;H50,G46,G50))</f>
        <v/>
      </c>
      <c r="J48" s="11"/>
      <c r="K48" s="10"/>
      <c r="L48" s="14"/>
      <c r="M48" s="10"/>
      <c r="N48" s="10"/>
      <c r="O48" s="10"/>
    </row>
    <row r="49" spans="4:15" ht="13" thickBot="1">
      <c r="D49">
        <v>20</v>
      </c>
      <c r="E49" s="10"/>
      <c r="F49" s="11"/>
      <c r="G49" s="10"/>
      <c r="H49" s="14"/>
      <c r="I49" s="10"/>
      <c r="J49" s="13"/>
      <c r="K49" s="10"/>
      <c r="L49" s="14"/>
      <c r="M49" s="10"/>
      <c r="N49" s="10"/>
      <c r="O49" s="10"/>
    </row>
    <row r="50" spans="4:15" ht="13" thickBot="1">
      <c r="E50" s="12"/>
      <c r="F50" s="13" t="s">
        <v>214</v>
      </c>
      <c r="G50" s="9" t="str">
        <f>IF(OR(F49="",F51=""),"",+IF(F49&gt;F51,E49,E51))</f>
        <v/>
      </c>
      <c r="H50" s="16"/>
      <c r="I50" s="10"/>
      <c r="J50" s="14"/>
      <c r="K50" s="10"/>
      <c r="L50" s="14"/>
      <c r="M50" s="10"/>
      <c r="N50" s="10"/>
      <c r="O50" s="10"/>
    </row>
    <row r="51" spans="4:15" ht="13" thickBot="1">
      <c r="D51">
        <v>21</v>
      </c>
      <c r="E51" s="10"/>
      <c r="F51" s="16"/>
      <c r="G51" s="10"/>
      <c r="H51" s="10"/>
      <c r="I51" s="10"/>
      <c r="J51" s="14"/>
      <c r="K51" s="10"/>
      <c r="L51" s="14"/>
      <c r="M51" s="10"/>
      <c r="N51" s="10"/>
      <c r="O51" s="10"/>
    </row>
    <row r="52" spans="4:15" ht="13" thickBot="1">
      <c r="E52" s="12"/>
      <c r="F52" s="10"/>
      <c r="G52" s="10"/>
      <c r="H52" s="10"/>
      <c r="I52" s="10"/>
      <c r="J52" s="14" t="s">
        <v>242</v>
      </c>
      <c r="K52" s="9" t="str">
        <f>IF(OR(J48="",J56=""),"",+IF(J48&gt;J56,I48,I56))</f>
        <v/>
      </c>
      <c r="L52" s="16"/>
      <c r="M52" s="10"/>
      <c r="N52" s="10"/>
      <c r="O52" s="10"/>
    </row>
    <row r="53" spans="4:15" ht="13" thickBot="1">
      <c r="D53">
        <v>22</v>
      </c>
      <c r="E53" s="10"/>
      <c r="F53" s="11"/>
      <c r="G53" s="10"/>
      <c r="H53" s="10"/>
      <c r="I53" s="10"/>
      <c r="J53" s="14"/>
      <c r="K53" s="10"/>
      <c r="L53" s="10"/>
      <c r="M53" s="10"/>
      <c r="N53" s="10"/>
      <c r="O53" s="10"/>
    </row>
    <row r="54" spans="4:15" ht="13" thickBot="1">
      <c r="E54" s="12"/>
      <c r="F54" s="13" t="s">
        <v>217</v>
      </c>
      <c r="G54" s="9" t="str">
        <f>IF(OR(F53="",F55=""),"",+IF(F53&gt;F55,E53,E55))</f>
        <v/>
      </c>
      <c r="H54" s="11"/>
      <c r="I54" s="10"/>
      <c r="J54" s="14"/>
      <c r="K54" s="10"/>
      <c r="L54" s="10"/>
      <c r="M54" s="10"/>
      <c r="N54" s="10"/>
      <c r="O54" s="10"/>
    </row>
    <row r="55" spans="4:15" ht="13" thickBot="1">
      <c r="D55">
        <v>23</v>
      </c>
      <c r="E55" s="9"/>
      <c r="F55" s="16"/>
      <c r="G55" s="10"/>
      <c r="H55" s="13"/>
      <c r="I55" s="10"/>
      <c r="J55" s="14"/>
      <c r="K55" s="10"/>
      <c r="L55" s="10"/>
      <c r="M55" s="10"/>
      <c r="N55" s="10"/>
      <c r="O55" s="10"/>
    </row>
    <row r="56" spans="4:15" ht="13" thickBot="1">
      <c r="E56" s="10"/>
      <c r="F56" s="10"/>
      <c r="G56" s="10"/>
      <c r="H56" s="14" t="s">
        <v>234</v>
      </c>
      <c r="I56" s="9" t="str">
        <f>IF(OR(H54="",H57=""),"",+IF(H54&gt;H57,G54,E57))</f>
        <v/>
      </c>
      <c r="J56" s="16"/>
      <c r="K56" s="10"/>
      <c r="L56" s="10"/>
      <c r="M56" s="10"/>
      <c r="N56" s="10"/>
      <c r="O56" s="10"/>
    </row>
    <row r="57" spans="4:15" ht="13" thickBot="1">
      <c r="D57">
        <v>24</v>
      </c>
      <c r="E57" s="9"/>
      <c r="F57" s="9"/>
      <c r="G57" s="9">
        <f>E57</f>
        <v>0</v>
      </c>
      <c r="H57" s="16"/>
      <c r="I57" s="10"/>
      <c r="J57" s="10"/>
      <c r="K57" s="10"/>
      <c r="L57" s="10"/>
      <c r="M57" s="10"/>
      <c r="N57" s="10"/>
      <c r="O57" s="10"/>
    </row>
    <row r="60" spans="4:15" ht="13" thickBot="1">
      <c r="M60" s="9" t="str">
        <f>IF(OR(M20="",M46=""),"",+IF(L13&gt;L26,K26,K13))</f>
        <v/>
      </c>
      <c r="N60" s="17"/>
      <c r="O60" s="10"/>
    </row>
    <row r="61" spans="4:15">
      <c r="M61" s="10"/>
      <c r="N61" s="13"/>
      <c r="O61" s="10"/>
    </row>
    <row r="62" spans="4:15">
      <c r="M62" s="10"/>
      <c r="N62" s="14"/>
      <c r="O62" s="10"/>
    </row>
    <row r="63" spans="4:15">
      <c r="M63" s="10"/>
      <c r="N63" s="14"/>
      <c r="O63" s="10"/>
    </row>
    <row r="64" spans="4:15">
      <c r="M64" s="10"/>
      <c r="N64" s="14"/>
      <c r="O64" s="10"/>
    </row>
    <row r="65" spans="13:15">
      <c r="M65" s="10"/>
      <c r="N65" s="14"/>
      <c r="O65" s="10"/>
    </row>
    <row r="66" spans="13:15">
      <c r="M66" s="10"/>
      <c r="N66" s="14"/>
      <c r="O66" s="10"/>
    </row>
    <row r="67" spans="13:15" ht="13" thickBot="1">
      <c r="M67" s="77" t="s">
        <v>279</v>
      </c>
      <c r="N67" s="14" t="s">
        <v>244</v>
      </c>
      <c r="O67" s="9" t="str">
        <f>IF(OR(N60="",N73=""),"",+IF(N60&gt;N73,M60,M73))</f>
        <v/>
      </c>
    </row>
    <row r="68" spans="13:15">
      <c r="M68" s="10"/>
      <c r="N68" s="14"/>
      <c r="O68" s="10"/>
    </row>
    <row r="69" spans="13:15">
      <c r="M69" s="10"/>
      <c r="N69" s="14"/>
      <c r="O69" s="10"/>
    </row>
    <row r="70" spans="13:15">
      <c r="M70" s="10"/>
      <c r="N70" s="14"/>
      <c r="O70" s="10"/>
    </row>
    <row r="71" spans="13:15">
      <c r="M71" s="10"/>
      <c r="N71" s="14"/>
      <c r="O71" s="10"/>
    </row>
    <row r="72" spans="13:15">
      <c r="M72" s="10"/>
      <c r="N72" s="14"/>
      <c r="O72" s="10"/>
    </row>
    <row r="73" spans="13:15" ht="13" thickBot="1">
      <c r="M73" s="9" t="str">
        <f>IF(OR(M20="",M46=""),"",+IF(L39&gt;L52,K52,K39))</f>
        <v/>
      </c>
      <c r="N73" s="16"/>
      <c r="O73" s="10"/>
    </row>
    <row r="74" spans="13:15">
      <c r="M74" s="10"/>
      <c r="N74" s="10"/>
      <c r="O74" s="10"/>
    </row>
    <row r="75" spans="13:15">
      <c r="M75" s="10"/>
      <c r="N75" s="10"/>
      <c r="O75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Plan21"/>
  <dimension ref="D4:AH70"/>
  <sheetViews>
    <sheetView showGridLines="0" topLeftCell="A30" zoomScale="75" workbookViewId="0">
      <selection activeCell="I14" sqref="I14"/>
    </sheetView>
  </sheetViews>
  <sheetFormatPr defaultRowHeight="12.7"/>
  <cols>
    <col min="5" max="5" width="23.52734375" bestFit="1" customWidth="1"/>
    <col min="6" max="6" width="3.64453125" customWidth="1"/>
    <col min="7" max="7" width="22.52734375" bestFit="1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5.644531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E21</f>
        <v>0</v>
      </c>
      <c r="V6" t="s">
        <v>77</v>
      </c>
      <c r="W6" s="29">
        <f>E23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E25</f>
        <v>0</v>
      </c>
      <c r="V7" t="s">
        <v>77</v>
      </c>
      <c r="W7" s="29">
        <f>E27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E34</f>
        <v>0</v>
      </c>
      <c r="V8" t="s">
        <v>77</v>
      </c>
      <c r="W8" s="29">
        <f>E36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217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E38</f>
        <v>0</v>
      </c>
      <c r="V9" t="s">
        <v>77</v>
      </c>
      <c r="W9" s="29">
        <f>E40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LOOKUP(AD9,T$5:T$78,U$5:U$33)</f>
        <v>0</v>
      </c>
      <c r="AF9" s="37" t="s">
        <v>157</v>
      </c>
      <c r="AG9" s="65">
        <f t="shared" ref="AG9:AG19" ca="1" si="1">LOOKUP(AD9,T$5:T$78,W$5:W$34)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E47</f>
        <v>0</v>
      </c>
      <c r="V10" t="s">
        <v>77</v>
      </c>
      <c r="W10" s="29">
        <f>E49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E51</f>
        <v>0</v>
      </c>
      <c r="V11" t="s">
        <v>77</v>
      </c>
      <c r="W11" s="29">
        <f>E53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10"/>
      <c r="F12" s="16"/>
      <c r="G12" s="10"/>
      <c r="H12" s="10"/>
      <c r="I12" s="10"/>
      <c r="J12" s="14" t="s">
        <v>234</v>
      </c>
      <c r="K12" s="9" t="str">
        <f>IF(OR(J9="",J15=""),"",+IF(J9&gt;J15,I9,I15))</f>
        <v/>
      </c>
      <c r="L12" s="11"/>
      <c r="M12" s="10"/>
      <c r="N12" s="10"/>
      <c r="O12" s="10"/>
      <c r="T12">
        <v>8</v>
      </c>
      <c r="U12" s="28">
        <f>E7</f>
        <v>0</v>
      </c>
      <c r="V12" t="s">
        <v>77</v>
      </c>
      <c r="W12" s="29" t="s">
        <v>78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T13">
        <v>9</v>
      </c>
      <c r="U13" s="28">
        <f>E14</f>
        <v>0</v>
      </c>
      <c r="V13" t="s">
        <v>77</v>
      </c>
      <c r="W13" s="29">
        <f>E16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  <c r="AH13" s="74"/>
    </row>
    <row r="14" spans="4:34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T14">
        <v>10</v>
      </c>
      <c r="U14" s="28">
        <f>E18</f>
        <v>0</v>
      </c>
      <c r="V14" t="s">
        <v>77</v>
      </c>
      <c r="W14" s="29" t="s">
        <v>160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  <c r="AH14" s="74"/>
    </row>
    <row r="15" spans="4:34" ht="13" thickBot="1">
      <c r="E15" s="10"/>
      <c r="F15" s="10"/>
      <c r="G15" s="10"/>
      <c r="H15" s="13" t="s">
        <v>219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T15">
        <v>11</v>
      </c>
      <c r="U15" s="28" t="s">
        <v>161</v>
      </c>
      <c r="V15" t="s">
        <v>77</v>
      </c>
      <c r="W15" s="29">
        <f>E29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  <c r="AH15" s="74"/>
    </row>
    <row r="16" spans="4:34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T16">
        <v>12</v>
      </c>
      <c r="U16" s="28">
        <f>E31</f>
        <v>0</v>
      </c>
      <c r="W16" s="29" t="s">
        <v>81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 t="str">
        <f t="shared" ca="1" si="1"/>
        <v>Venc.J1</v>
      </c>
      <c r="AH16" s="74"/>
    </row>
    <row r="17" spans="4:34" ht="13" thickBot="1">
      <c r="E17" s="10"/>
      <c r="F17" s="10"/>
      <c r="G17" s="10"/>
      <c r="H17" s="10"/>
      <c r="I17" s="10"/>
      <c r="J17" s="10"/>
      <c r="K17" s="10"/>
      <c r="L17" s="14" t="s">
        <v>242</v>
      </c>
      <c r="M17" s="9" t="str">
        <f>IF(OR(L12="",L24=""),"",+IF(L12&gt;L24,K12,K24))</f>
        <v/>
      </c>
      <c r="N17" s="17"/>
      <c r="O17" s="10"/>
      <c r="T17">
        <v>13</v>
      </c>
      <c r="U17" s="28" t="s">
        <v>162</v>
      </c>
      <c r="V17" t="s">
        <v>77</v>
      </c>
      <c r="W17" s="29">
        <f>E42</f>
        <v>0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>
        <f t="shared" ca="1" si="1"/>
        <v>0</v>
      </c>
      <c r="AH17" s="74"/>
    </row>
    <row r="18" spans="4:34" ht="13" thickBot="1">
      <c r="D18">
        <v>6</v>
      </c>
      <c r="E18" s="10"/>
      <c r="F18" s="9"/>
      <c r="G18" s="9">
        <f>E18</f>
        <v>0</v>
      </c>
      <c r="H18" s="11"/>
      <c r="I18" s="10"/>
      <c r="J18" s="10"/>
      <c r="K18" s="10"/>
      <c r="L18" s="14"/>
      <c r="M18" s="10"/>
      <c r="N18" s="13"/>
      <c r="O18" s="10"/>
      <c r="T18">
        <v>14</v>
      </c>
      <c r="U18" s="28">
        <f>E44</f>
        <v>0</v>
      </c>
      <c r="V18" t="s">
        <v>77</v>
      </c>
      <c r="W18" s="29" t="s">
        <v>163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 t="str">
        <f t="shared" ca="1" si="1"/>
        <v>Venc.J2</v>
      </c>
      <c r="AH18" s="74"/>
    </row>
    <row r="19" spans="4:34">
      <c r="E19" s="12"/>
      <c r="F19" s="10"/>
      <c r="G19" s="10"/>
      <c r="H19" s="13"/>
      <c r="I19" s="10"/>
      <c r="J19" s="10"/>
      <c r="K19" s="10"/>
      <c r="L19" s="14"/>
      <c r="M19" s="10"/>
      <c r="N19" s="14"/>
      <c r="O19" s="10"/>
      <c r="T19">
        <v>15</v>
      </c>
      <c r="U19" s="28" t="s">
        <v>84</v>
      </c>
      <c r="V19" t="s">
        <v>77</v>
      </c>
      <c r="W19" s="29">
        <f>E55</f>
        <v>0</v>
      </c>
      <c r="Z19" s="34"/>
      <c r="AA19" s="40"/>
      <c r="AB19" s="40"/>
      <c r="AC19" s="38" t="s">
        <v>159</v>
      </c>
      <c r="AD19" s="48">
        <v>11</v>
      </c>
      <c r="AE19" s="53" t="str">
        <f t="shared" ca="1" si="0"/>
        <v>Venc.J3</v>
      </c>
      <c r="AF19" s="37" t="s">
        <v>157</v>
      </c>
      <c r="AG19" s="65">
        <f t="shared" ca="1" si="1"/>
        <v>0</v>
      </c>
      <c r="AH19" s="74"/>
    </row>
    <row r="20" spans="4:34" ht="13" thickBot="1">
      <c r="E20" s="10"/>
      <c r="F20" s="10"/>
      <c r="G20" s="10"/>
      <c r="H20" s="14" t="s">
        <v>221</v>
      </c>
      <c r="I20" s="9" t="str">
        <f>IF(OR(H18="",H22=""),"",+IF(H18&gt;H22,G18,G22))</f>
        <v/>
      </c>
      <c r="J20" s="11"/>
      <c r="K20" s="10"/>
      <c r="L20" s="14"/>
      <c r="M20" s="10"/>
      <c r="N20" s="14"/>
      <c r="O20" s="10"/>
      <c r="T20">
        <v>16</v>
      </c>
      <c r="U20" s="28" t="s">
        <v>164</v>
      </c>
      <c r="V20" t="s">
        <v>77</v>
      </c>
      <c r="W20" s="29" t="s">
        <v>86</v>
      </c>
      <c r="Z20" s="34"/>
      <c r="AA20" s="40"/>
      <c r="AB20" s="40"/>
      <c r="AC20" s="38" t="s">
        <v>159</v>
      </c>
      <c r="AD20" s="48">
        <v>12</v>
      </c>
      <c r="AE20" s="53">
        <f t="shared" ref="AE20:AE30" ca="1" si="2">LOOKUP(AD20,T$5:T$78,U$5:U$33)</f>
        <v>0</v>
      </c>
      <c r="AF20" s="37" t="s">
        <v>157</v>
      </c>
      <c r="AG20" s="65" t="str">
        <f t="shared" ref="AG20:AG30" ca="1" si="3">LOOKUP(AD20,T$5:T$78,W$5:W$34)</f>
        <v>Venc.J4</v>
      </c>
      <c r="AH20" s="74"/>
    </row>
    <row r="21" spans="4:34" ht="13" thickBot="1">
      <c r="D21">
        <v>7</v>
      </c>
      <c r="E21" s="10"/>
      <c r="F21" s="11"/>
      <c r="G21" s="10"/>
      <c r="H21" s="14"/>
      <c r="I21" s="10"/>
      <c r="J21" s="13"/>
      <c r="K21" s="10"/>
      <c r="L21" s="14"/>
      <c r="M21" s="10"/>
      <c r="N21" s="14"/>
      <c r="O21" s="10"/>
      <c r="T21">
        <v>17</v>
      </c>
      <c r="U21" s="28" t="s">
        <v>87</v>
      </c>
      <c r="V21" t="s">
        <v>77</v>
      </c>
      <c r="W21" s="29" t="s">
        <v>88</v>
      </c>
      <c r="Z21" s="34"/>
      <c r="AA21" s="40"/>
      <c r="AB21" s="40"/>
      <c r="AC21" s="38" t="s">
        <v>159</v>
      </c>
      <c r="AD21" s="48">
        <v>13</v>
      </c>
      <c r="AE21" s="53" t="str">
        <f t="shared" ca="1" si="2"/>
        <v>Venc.J5</v>
      </c>
      <c r="AF21" s="37" t="s">
        <v>157</v>
      </c>
      <c r="AG21" s="65">
        <f t="shared" ca="1" si="3"/>
        <v>0</v>
      </c>
      <c r="AH21" s="74"/>
    </row>
    <row r="22" spans="4:34" ht="13" thickBot="1">
      <c r="E22" s="12"/>
      <c r="F22" s="13" t="s">
        <v>204</v>
      </c>
      <c r="G22" s="9" t="str">
        <f>IF(OR(F21="",F23=""),"",+IF(F21&gt;F23,E21,E23))</f>
        <v/>
      </c>
      <c r="H22" s="16"/>
      <c r="I22" s="10"/>
      <c r="J22" s="14"/>
      <c r="K22" s="10"/>
      <c r="L22" s="14"/>
      <c r="M22" s="10"/>
      <c r="N22" s="14"/>
      <c r="O22" s="10"/>
      <c r="T22">
        <v>18</v>
      </c>
      <c r="U22" s="28" t="s">
        <v>89</v>
      </c>
      <c r="V22" t="s">
        <v>77</v>
      </c>
      <c r="W22" s="29" t="s">
        <v>90</v>
      </c>
      <c r="Z22" s="34"/>
      <c r="AA22" s="40"/>
      <c r="AB22" s="40"/>
      <c r="AC22" s="38" t="s">
        <v>159</v>
      </c>
      <c r="AD22" s="48">
        <v>14</v>
      </c>
      <c r="AE22" s="53">
        <f t="shared" ca="1" si="2"/>
        <v>0</v>
      </c>
      <c r="AF22" s="37" t="s">
        <v>157</v>
      </c>
      <c r="AG22" s="65" t="str">
        <f t="shared" ca="1" si="3"/>
        <v>Venc.J6</v>
      </c>
      <c r="AH22" s="74"/>
    </row>
    <row r="23" spans="4:34" ht="13" thickBot="1">
      <c r="D23">
        <v>8</v>
      </c>
      <c r="E23" s="10"/>
      <c r="F23" s="16"/>
      <c r="G23" s="10"/>
      <c r="H23" s="10"/>
      <c r="I23" s="10"/>
      <c r="J23" s="14"/>
      <c r="K23" s="10"/>
      <c r="L23" s="14"/>
      <c r="M23" s="10"/>
      <c r="N23" s="14"/>
      <c r="O23" s="10"/>
      <c r="T23">
        <v>19</v>
      </c>
      <c r="U23" s="28" t="s">
        <v>91</v>
      </c>
      <c r="V23" t="s">
        <v>77</v>
      </c>
      <c r="W23" s="29" t="s">
        <v>92</v>
      </c>
      <c r="Z23" s="34"/>
      <c r="AA23" s="40"/>
      <c r="AB23" s="40"/>
      <c r="AC23" s="38" t="s">
        <v>159</v>
      </c>
      <c r="AD23" s="48">
        <v>15</v>
      </c>
      <c r="AE23" s="53" t="str">
        <f t="shared" ca="1" si="2"/>
        <v>Venc.J7</v>
      </c>
      <c r="AF23" s="37" t="s">
        <v>157</v>
      </c>
      <c r="AG23" s="65">
        <f t="shared" ca="1" si="3"/>
        <v>0</v>
      </c>
      <c r="AH23" s="74"/>
    </row>
    <row r="24" spans="4:34" ht="13" thickBot="1">
      <c r="E24" s="12"/>
      <c r="F24" s="10"/>
      <c r="G24" s="10"/>
      <c r="H24" s="10"/>
      <c r="I24" s="10"/>
      <c r="J24" s="14" t="s">
        <v>236</v>
      </c>
      <c r="K24" s="9" t="str">
        <f>IF(OR(J20="",J28=""),"",+IF(J20&gt;J28,I20,I28))</f>
        <v/>
      </c>
      <c r="L24" s="16"/>
      <c r="M24" s="10"/>
      <c r="N24" s="14"/>
      <c r="O24" s="10"/>
      <c r="T24">
        <v>20</v>
      </c>
      <c r="U24" s="28" t="s">
        <v>165</v>
      </c>
      <c r="V24" t="s">
        <v>77</v>
      </c>
      <c r="W24" s="29" t="s">
        <v>94</v>
      </c>
      <c r="Z24" s="34"/>
      <c r="AA24" s="40"/>
      <c r="AB24" s="40"/>
      <c r="AC24" s="38" t="s">
        <v>159</v>
      </c>
      <c r="AD24" s="48">
        <v>16</v>
      </c>
      <c r="AE24" s="53" t="str">
        <f t="shared" ca="1" si="2"/>
        <v>Venc.J8</v>
      </c>
      <c r="AF24" s="37" t="s">
        <v>157</v>
      </c>
      <c r="AG24" s="65" t="str">
        <f t="shared" ca="1" si="3"/>
        <v>Venc.J9</v>
      </c>
      <c r="AH24" s="74"/>
    </row>
    <row r="25" spans="4:34" ht="13" thickBot="1">
      <c r="D25">
        <v>9</v>
      </c>
      <c r="E25" s="10"/>
      <c r="F25" s="11"/>
      <c r="G25" s="10"/>
      <c r="H25" s="10"/>
      <c r="I25" s="10"/>
      <c r="J25" s="14"/>
      <c r="K25" s="10"/>
      <c r="L25" s="10"/>
      <c r="M25" s="10"/>
      <c r="N25" s="14"/>
      <c r="O25" s="10"/>
      <c r="T25">
        <v>21</v>
      </c>
      <c r="U25" s="28" t="s">
        <v>95</v>
      </c>
      <c r="V25" t="s">
        <v>77</v>
      </c>
      <c r="W25" s="29" t="s">
        <v>96</v>
      </c>
      <c r="Z25" s="34"/>
      <c r="AA25" s="40"/>
      <c r="AB25" s="40"/>
      <c r="AC25" s="38" t="s">
        <v>159</v>
      </c>
      <c r="AD25" s="48">
        <v>17</v>
      </c>
      <c r="AE25" s="53" t="str">
        <f t="shared" ca="1" si="2"/>
        <v>Venc.J10</v>
      </c>
      <c r="AF25" s="37" t="s">
        <v>157</v>
      </c>
      <c r="AG25" s="65" t="str">
        <f t="shared" ca="1" si="3"/>
        <v>Venc.J11</v>
      </c>
      <c r="AH25" s="74"/>
    </row>
    <row r="26" spans="4:34" ht="13" thickBot="1">
      <c r="E26" s="12"/>
      <c r="F26" s="13" t="s">
        <v>206</v>
      </c>
      <c r="G26" s="9" t="str">
        <f>IF(OR(F25="",F27=""),"",+IF(F25&gt;F27,E25,E27))</f>
        <v/>
      </c>
      <c r="H26" s="11"/>
      <c r="I26" s="10"/>
      <c r="J26" s="14"/>
      <c r="K26" s="10"/>
      <c r="L26" s="10"/>
      <c r="M26" s="10"/>
      <c r="N26" s="14"/>
      <c r="O26" s="10"/>
      <c r="T26">
        <v>22</v>
      </c>
      <c r="U26" s="71" t="s">
        <v>296</v>
      </c>
      <c r="V26" t="s">
        <v>77</v>
      </c>
      <c r="W26" s="72" t="s">
        <v>297</v>
      </c>
      <c r="Z26" s="34"/>
      <c r="AA26" s="40"/>
      <c r="AB26" s="40"/>
      <c r="AC26" s="38" t="s">
        <v>159</v>
      </c>
      <c r="AD26" s="48">
        <v>18</v>
      </c>
      <c r="AE26" s="53" t="str">
        <f t="shared" ca="1" si="2"/>
        <v>Venc.J12</v>
      </c>
      <c r="AF26" s="37" t="s">
        <v>157</v>
      </c>
      <c r="AG26" s="65" t="str">
        <f t="shared" ca="1" si="3"/>
        <v>Venc.J13</v>
      </c>
      <c r="AH26" s="74"/>
    </row>
    <row r="27" spans="4:34" ht="13" thickBot="1">
      <c r="D27">
        <v>10</v>
      </c>
      <c r="E27" s="9"/>
      <c r="F27" s="16"/>
      <c r="G27" s="10"/>
      <c r="H27" s="13"/>
      <c r="I27" s="10"/>
      <c r="J27" s="14"/>
      <c r="K27" s="10"/>
      <c r="L27" s="10"/>
      <c r="M27" s="10"/>
      <c r="N27" s="14"/>
      <c r="O27" s="10"/>
      <c r="T27">
        <v>23</v>
      </c>
      <c r="U27" s="28" t="s">
        <v>97</v>
      </c>
      <c r="V27" t="s">
        <v>77</v>
      </c>
      <c r="W27" s="29" t="s">
        <v>98</v>
      </c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Venc.J14</v>
      </c>
      <c r="AF27" s="37" t="s">
        <v>157</v>
      </c>
      <c r="AG27" s="65" t="str">
        <f t="shared" ca="1" si="3"/>
        <v>Venc.J15</v>
      </c>
      <c r="AH27" s="74"/>
    </row>
    <row r="28" spans="4:34" ht="13" thickBot="1">
      <c r="E28" s="10"/>
      <c r="F28" s="10"/>
      <c r="G28" s="10"/>
      <c r="H28" s="14" t="s">
        <v>223</v>
      </c>
      <c r="I28" s="9" t="str">
        <f>IF(OR(H26="",H29=""),"",+IF(H26&gt;H29,G26,E29))</f>
        <v/>
      </c>
      <c r="J28" s="16"/>
      <c r="K28" s="10"/>
      <c r="L28" s="10"/>
      <c r="M28" s="10"/>
      <c r="N28" s="14"/>
      <c r="O28" s="10"/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Venc.J16</v>
      </c>
      <c r="AF28" s="37" t="s">
        <v>157</v>
      </c>
      <c r="AG28" s="65" t="str">
        <f t="shared" ca="1" si="3"/>
        <v>Venc.J17</v>
      </c>
      <c r="AH28" s="74"/>
    </row>
    <row r="29" spans="4:34" ht="13" thickBot="1">
      <c r="D29">
        <v>11</v>
      </c>
      <c r="E29" s="9"/>
      <c r="F29" s="9"/>
      <c r="G29" s="9">
        <f>E29</f>
        <v>0</v>
      </c>
      <c r="H29" s="16"/>
      <c r="I29" s="10"/>
      <c r="J29" s="10"/>
      <c r="K29" s="10"/>
      <c r="L29" s="10"/>
      <c r="M29" s="10"/>
      <c r="N29" s="14"/>
      <c r="O29" s="10"/>
      <c r="U29" s="29"/>
      <c r="W29" s="28"/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Venc.J18</v>
      </c>
      <c r="AF29" s="37" t="s">
        <v>157</v>
      </c>
      <c r="AG29" s="65" t="str">
        <f t="shared" ca="1" si="3"/>
        <v>Venc.J19</v>
      </c>
      <c r="AH29" s="74"/>
    </row>
    <row r="30" spans="4:34" ht="13" thickBot="1">
      <c r="E30" s="10"/>
      <c r="F30" s="10"/>
      <c r="G30" s="10"/>
      <c r="H30" s="10"/>
      <c r="I30" s="10"/>
      <c r="J30" s="10"/>
      <c r="K30" s="10"/>
      <c r="L30" s="10"/>
      <c r="M30" s="77" t="s">
        <v>278</v>
      </c>
      <c r="N30" s="70" t="s">
        <v>248</v>
      </c>
      <c r="O30" s="9" t="str">
        <f>IF(OR(N17="",N44=""),"",+IF(N17&gt;N44,M17,M44))</f>
        <v/>
      </c>
      <c r="U30" s="29"/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Perd.J20</v>
      </c>
      <c r="AF30" s="37" t="s">
        <v>157</v>
      </c>
      <c r="AG30" s="65" t="str">
        <f t="shared" ca="1" si="3"/>
        <v>Perd.J21</v>
      </c>
      <c r="AH30" s="74"/>
    </row>
    <row r="31" spans="4:34" ht="13" thickBot="1">
      <c r="D31">
        <v>12</v>
      </c>
      <c r="E31" s="10"/>
      <c r="F31" s="9"/>
      <c r="G31" s="9">
        <f>E31</f>
        <v>0</v>
      </c>
      <c r="H31" s="11"/>
      <c r="I31" s="10"/>
      <c r="J31" s="10"/>
      <c r="K31" s="10"/>
      <c r="L31" s="10"/>
      <c r="M31" s="10"/>
      <c r="N31" s="14"/>
      <c r="O31" s="10"/>
      <c r="Z31" s="34"/>
      <c r="AA31" s="40"/>
      <c r="AB31" s="40"/>
      <c r="AC31" s="38" t="s">
        <v>159</v>
      </c>
      <c r="AD31" s="48">
        <v>23</v>
      </c>
      <c r="AE31" s="53" t="str">
        <f ca="1">LOOKUP(AD31,T$5:T$78,U$5:U$33)</f>
        <v>Venc.J20</v>
      </c>
      <c r="AF31" s="37" t="s">
        <v>157</v>
      </c>
      <c r="AG31" s="65" t="str">
        <f ca="1">LOOKUP(AD31,T$5:T$78,W$5:W$34)</f>
        <v>Venc.J21</v>
      </c>
      <c r="AH31" s="74"/>
    </row>
    <row r="32" spans="4:34" ht="13" thickBot="1">
      <c r="E32" s="12"/>
      <c r="F32" s="10"/>
      <c r="G32" s="10"/>
      <c r="H32" s="13"/>
      <c r="I32" s="10"/>
      <c r="J32" s="10"/>
      <c r="K32" s="10"/>
      <c r="L32" s="10"/>
      <c r="M32" s="10"/>
      <c r="N32" s="14"/>
      <c r="O32" s="10"/>
      <c r="U32" s="29"/>
      <c r="Z32" s="42"/>
      <c r="AA32" s="43"/>
      <c r="AB32" s="43"/>
      <c r="AC32" s="43"/>
      <c r="AD32" s="61"/>
      <c r="AE32" s="62"/>
      <c r="AF32" s="63"/>
      <c r="AG32" s="60"/>
      <c r="AH32" s="75"/>
    </row>
    <row r="33" spans="4:15" ht="13.35" thickTop="1" thickBot="1">
      <c r="E33" s="10"/>
      <c r="F33" s="10"/>
      <c r="G33" s="10"/>
      <c r="H33" s="14" t="s">
        <v>225</v>
      </c>
      <c r="I33" s="9" t="str">
        <f>IF(OR(H31="",H35=""),"",+IF(H31&gt;H35,G31,G35))</f>
        <v/>
      </c>
      <c r="J33" s="11"/>
      <c r="K33" s="10"/>
      <c r="L33" s="10"/>
      <c r="M33" s="10"/>
      <c r="N33" s="14"/>
      <c r="O33" s="10"/>
    </row>
    <row r="34" spans="4:15" ht="13" thickBot="1">
      <c r="D34">
        <v>13</v>
      </c>
      <c r="E34" s="10"/>
      <c r="F34" s="11"/>
      <c r="G34" s="10"/>
      <c r="H34" s="14"/>
      <c r="I34" s="10"/>
      <c r="J34" s="13"/>
      <c r="K34" s="10"/>
      <c r="L34" s="10"/>
      <c r="M34" s="10"/>
      <c r="N34" s="14"/>
      <c r="O34" s="10"/>
    </row>
    <row r="35" spans="4:15" ht="13" thickBot="1">
      <c r="E35" s="12"/>
      <c r="F35" s="13" t="s">
        <v>208</v>
      </c>
      <c r="G35" s="9" t="str">
        <f>IF(OR(F34="",F36=""),"",+IF(F34&gt;F36,E34,E36))</f>
        <v/>
      </c>
      <c r="H35" s="16"/>
      <c r="I35" s="10"/>
      <c r="J35" s="14"/>
      <c r="K35" s="10"/>
      <c r="L35" s="10"/>
      <c r="M35" s="10"/>
      <c r="N35" s="14"/>
      <c r="O35" s="10"/>
    </row>
    <row r="36" spans="4:15" ht="13" thickBot="1">
      <c r="D36">
        <v>14</v>
      </c>
      <c r="E36" s="10"/>
      <c r="F36" s="16"/>
      <c r="G36" s="10"/>
      <c r="H36" s="10"/>
      <c r="I36" s="10"/>
      <c r="J36" s="14"/>
      <c r="K36" s="10"/>
      <c r="L36" s="10"/>
      <c r="M36" s="10"/>
      <c r="N36" s="14"/>
      <c r="O36" s="10"/>
    </row>
    <row r="37" spans="4:15" ht="13" thickBot="1">
      <c r="E37" s="12"/>
      <c r="F37" s="10"/>
      <c r="G37" s="10"/>
      <c r="H37" s="10"/>
      <c r="I37" s="10"/>
      <c r="J37" s="14" t="s">
        <v>238</v>
      </c>
      <c r="K37" s="9" t="str">
        <f>IF(OR(J33="",J41=""),"",+IF(J33&gt;J41,I33,I41))</f>
        <v/>
      </c>
      <c r="L37" s="17"/>
      <c r="M37" s="10"/>
      <c r="N37" s="14"/>
      <c r="O37" s="10"/>
    </row>
    <row r="38" spans="4:15" ht="13" thickBot="1">
      <c r="D38">
        <v>15</v>
      </c>
      <c r="E38" s="10"/>
      <c r="F38" s="11"/>
      <c r="G38" s="10"/>
      <c r="H38" s="10"/>
      <c r="I38" s="10"/>
      <c r="J38" s="14"/>
      <c r="K38" s="10"/>
      <c r="L38" s="13"/>
      <c r="M38" s="10"/>
      <c r="N38" s="14"/>
      <c r="O38" s="10"/>
    </row>
    <row r="39" spans="4:15" ht="13" thickBot="1">
      <c r="E39" s="12"/>
      <c r="F39" s="13" t="s">
        <v>210</v>
      </c>
      <c r="G39" s="9" t="str">
        <f>IF(OR(F38="",F40=""),"",+IF(F38&gt;F40,E38,E40))</f>
        <v/>
      </c>
      <c r="H39" s="11"/>
      <c r="I39" s="10"/>
      <c r="J39" s="14"/>
      <c r="K39" s="10"/>
      <c r="L39" s="14"/>
      <c r="M39" s="10"/>
      <c r="N39" s="14"/>
      <c r="O39" s="10"/>
    </row>
    <row r="40" spans="4:15" ht="13" thickBot="1">
      <c r="D40">
        <v>16</v>
      </c>
      <c r="E40" s="9"/>
      <c r="F40" s="16"/>
      <c r="G40" s="10"/>
      <c r="H40" s="13"/>
      <c r="I40" s="10"/>
      <c r="J40" s="14"/>
      <c r="K40" s="10"/>
      <c r="L40" s="14"/>
      <c r="M40" s="10"/>
      <c r="N40" s="14"/>
      <c r="O40" s="10"/>
    </row>
    <row r="41" spans="4:15" ht="13" thickBot="1">
      <c r="E41" s="10"/>
      <c r="F41" s="10"/>
      <c r="G41" s="10"/>
      <c r="H41" s="14" t="s">
        <v>227</v>
      </c>
      <c r="I41" s="9" t="str">
        <f>IF(OR(H39="",H42=""),"",+IF(H39&gt;H42,G39,E42))</f>
        <v/>
      </c>
      <c r="J41" s="16"/>
      <c r="K41" s="10"/>
      <c r="L41" s="14"/>
      <c r="M41" s="10"/>
      <c r="N41" s="14"/>
      <c r="O41" s="10"/>
    </row>
    <row r="42" spans="4:15" ht="13" thickBot="1">
      <c r="D42">
        <v>17</v>
      </c>
      <c r="E42" s="9"/>
      <c r="F42" s="9"/>
      <c r="G42" s="9">
        <f>E42</f>
        <v>0</v>
      </c>
      <c r="H42" s="16"/>
      <c r="I42" s="10"/>
      <c r="J42" s="10"/>
      <c r="K42" s="10"/>
      <c r="L42" s="14"/>
      <c r="M42" s="10"/>
      <c r="N42" s="14"/>
      <c r="O42" s="10"/>
    </row>
    <row r="43" spans="4:15">
      <c r="E43" s="10"/>
      <c r="F43" s="10"/>
      <c r="G43" s="10"/>
      <c r="H43" s="10"/>
      <c r="I43" s="10"/>
      <c r="J43" s="10"/>
      <c r="K43" s="10"/>
      <c r="L43" s="14"/>
      <c r="M43" s="10"/>
      <c r="N43" s="14"/>
      <c r="O43" s="10"/>
    </row>
    <row r="44" spans="4:15" ht="13" thickBot="1">
      <c r="D44">
        <v>18</v>
      </c>
      <c r="E44" s="10"/>
      <c r="F44" s="9"/>
      <c r="G44" s="9">
        <f>E44</f>
        <v>0</v>
      </c>
      <c r="H44" s="11"/>
      <c r="I44" s="10"/>
      <c r="J44" s="10"/>
      <c r="K44" s="10"/>
      <c r="L44" s="14" t="s">
        <v>244</v>
      </c>
      <c r="M44" s="9" t="str">
        <f>IF(OR(L37="",L50=""),"",+IF(L37&gt;L50,K37,K50))</f>
        <v/>
      </c>
      <c r="N44" s="16"/>
      <c r="O44" s="10"/>
    </row>
    <row r="45" spans="4:15">
      <c r="E45" s="12"/>
      <c r="F45" s="10"/>
      <c r="G45" s="10"/>
      <c r="H45" s="13"/>
      <c r="I45" s="10"/>
      <c r="J45" s="10"/>
      <c r="K45" s="10"/>
      <c r="L45" s="14"/>
      <c r="M45" s="10"/>
      <c r="N45" s="10"/>
      <c r="O45" s="10"/>
    </row>
    <row r="46" spans="4:15" ht="13" thickBot="1">
      <c r="E46" s="10"/>
      <c r="F46" s="10"/>
      <c r="G46" s="10"/>
      <c r="H46" s="14" t="s">
        <v>229</v>
      </c>
      <c r="I46" s="9" t="str">
        <f>IF(OR(H44="",H48=""),"",+IF(H44&gt;H48,G44,G48))</f>
        <v/>
      </c>
      <c r="J46" s="11"/>
      <c r="K46" s="10"/>
      <c r="L46" s="14"/>
      <c r="M46" s="10"/>
      <c r="N46" s="10"/>
      <c r="O46" s="10"/>
    </row>
    <row r="47" spans="4:15" ht="13" thickBot="1">
      <c r="D47">
        <v>19</v>
      </c>
      <c r="E47" s="10"/>
      <c r="F47" s="11"/>
      <c r="G47" s="10"/>
      <c r="H47" s="14"/>
      <c r="I47" s="10"/>
      <c r="J47" s="13"/>
      <c r="K47" s="10"/>
      <c r="L47" s="14"/>
      <c r="M47" s="10"/>
      <c r="N47" s="10"/>
      <c r="O47" s="10"/>
    </row>
    <row r="48" spans="4:15" ht="13" thickBot="1">
      <c r="E48" s="12"/>
      <c r="F48" s="13" t="s">
        <v>212</v>
      </c>
      <c r="G48" s="9" t="str">
        <f>IF(OR(F47="",F49=""),"",+IF(F47&gt;F49,E47,E49))</f>
        <v/>
      </c>
      <c r="H48" s="16"/>
      <c r="I48" s="10"/>
      <c r="J48" s="14"/>
      <c r="K48" s="10"/>
      <c r="L48" s="14"/>
      <c r="M48" s="10"/>
      <c r="N48" s="10"/>
      <c r="O48" s="10"/>
    </row>
    <row r="49" spans="4:15" ht="13" thickBot="1">
      <c r="D49">
        <v>20</v>
      </c>
      <c r="E49" s="10"/>
      <c r="F49" s="16"/>
      <c r="G49" s="10"/>
      <c r="H49" s="10"/>
      <c r="I49" s="10"/>
      <c r="J49" s="14"/>
      <c r="K49" s="10"/>
      <c r="L49" s="14"/>
      <c r="M49" s="10"/>
      <c r="N49" s="10"/>
      <c r="O49" s="10"/>
    </row>
    <row r="50" spans="4:15" ht="13" thickBot="1">
      <c r="E50" s="12"/>
      <c r="F50" s="10"/>
      <c r="G50" s="10"/>
      <c r="H50" s="10"/>
      <c r="I50" s="10"/>
      <c r="J50" s="14" t="s">
        <v>240</v>
      </c>
      <c r="K50" s="9" t="str">
        <f>IF(OR(J46="",J54=""),"",+IF(J46&gt;J54,I46,I54))</f>
        <v/>
      </c>
      <c r="L50" s="16"/>
      <c r="M50" s="10"/>
      <c r="N50" s="10"/>
      <c r="O50" s="10"/>
    </row>
    <row r="51" spans="4:15" ht="13" thickBot="1">
      <c r="D51">
        <v>21</v>
      </c>
      <c r="E51" s="10"/>
      <c r="F51" s="11"/>
      <c r="G51" s="10"/>
      <c r="H51" s="10"/>
      <c r="I51" s="10"/>
      <c r="J51" s="14"/>
      <c r="K51" s="10"/>
      <c r="L51" s="10"/>
      <c r="M51" s="10"/>
      <c r="N51" s="10"/>
      <c r="O51" s="10"/>
    </row>
    <row r="52" spans="4:15" ht="13" thickBot="1">
      <c r="E52" s="12"/>
      <c r="F52" s="13" t="s">
        <v>214</v>
      </c>
      <c r="G52" s="9" t="str">
        <f>IF(OR(F51="",F53=""),"",+IF(F51&gt;F53,E51,E53))</f>
        <v/>
      </c>
      <c r="H52" s="11"/>
      <c r="I52" s="10"/>
      <c r="J52" s="14"/>
      <c r="K52" s="10"/>
      <c r="L52" s="10"/>
      <c r="M52" s="10"/>
      <c r="N52" s="10"/>
      <c r="O52" s="10"/>
    </row>
    <row r="53" spans="4:15" ht="13" thickBot="1">
      <c r="D53">
        <v>22</v>
      </c>
      <c r="E53" s="9"/>
      <c r="F53" s="16"/>
      <c r="G53" s="10"/>
      <c r="H53" s="13"/>
      <c r="I53" s="10"/>
      <c r="J53" s="14"/>
      <c r="K53" s="10"/>
      <c r="L53" s="10"/>
      <c r="M53" s="10"/>
      <c r="N53" s="10"/>
      <c r="O53" s="10"/>
    </row>
    <row r="54" spans="4:15" ht="13" thickBot="1">
      <c r="E54" s="10"/>
      <c r="F54" s="10"/>
      <c r="G54" s="10"/>
      <c r="H54" s="14" t="s">
        <v>232</v>
      </c>
      <c r="I54" s="9" t="str">
        <f>IF(OR(H52="",H55=""),"",+IF(H52&gt;H55,G52,E55))</f>
        <v/>
      </c>
      <c r="J54" s="16"/>
      <c r="K54" s="10"/>
      <c r="L54" s="10"/>
      <c r="M54" s="10"/>
      <c r="N54" s="10"/>
      <c r="O54" s="10"/>
    </row>
    <row r="55" spans="4:15" ht="13" thickBot="1">
      <c r="D55">
        <v>23</v>
      </c>
      <c r="E55" s="9"/>
      <c r="F55" s="9"/>
      <c r="G55" s="9">
        <f>E55</f>
        <v>0</v>
      </c>
      <c r="H55" s="16"/>
      <c r="I55" s="10"/>
      <c r="J55" s="10"/>
      <c r="K55" s="10"/>
      <c r="L55" s="10"/>
      <c r="M55" s="10"/>
      <c r="N55" s="10"/>
      <c r="O55" s="10"/>
    </row>
    <row r="57" spans="4:15" ht="13" thickBot="1">
      <c r="M57" s="9" t="str">
        <f>IF(OR(M17="",M44=""),"",+IF(L12&gt;L24,K24,K12))</f>
        <v/>
      </c>
      <c r="N57" s="11"/>
      <c r="O57" s="10"/>
    </row>
    <row r="58" spans="4:15">
      <c r="M58" s="12"/>
      <c r="N58" s="13"/>
      <c r="O58" s="10"/>
    </row>
    <row r="59" spans="4:15">
      <c r="M59" s="10"/>
      <c r="N59" s="14"/>
      <c r="O59" s="10"/>
    </row>
    <row r="60" spans="4:15">
      <c r="M60" s="10"/>
      <c r="N60" s="14"/>
      <c r="O60" s="10"/>
    </row>
    <row r="61" spans="4:15">
      <c r="M61" s="10"/>
      <c r="N61" s="14"/>
      <c r="O61" s="10"/>
    </row>
    <row r="62" spans="4:15" ht="13" thickBot="1">
      <c r="M62" s="77" t="s">
        <v>279</v>
      </c>
      <c r="N62" s="70" t="s">
        <v>246</v>
      </c>
      <c r="O62" s="9" t="str">
        <f>IF(OR(N57="",N69=""),"",+IF(N57&gt;N69,M57,M69))</f>
        <v/>
      </c>
    </row>
    <row r="63" spans="4:15">
      <c r="M63" s="10"/>
      <c r="N63" s="14"/>
      <c r="O63" s="10"/>
    </row>
    <row r="64" spans="4:15">
      <c r="M64" s="10"/>
      <c r="N64" s="14"/>
      <c r="O64" s="10"/>
    </row>
    <row r="65" spans="13:15">
      <c r="M65" s="10"/>
      <c r="N65" s="14"/>
      <c r="O65" s="10"/>
    </row>
    <row r="66" spans="13:15">
      <c r="M66" s="10"/>
      <c r="N66" s="14"/>
      <c r="O66" s="10"/>
    </row>
    <row r="67" spans="13:15">
      <c r="M67" s="10"/>
      <c r="N67" s="14"/>
      <c r="O67" s="10"/>
    </row>
    <row r="68" spans="13:15">
      <c r="M68" s="10"/>
      <c r="N68" s="14"/>
      <c r="O68" s="10"/>
    </row>
    <row r="69" spans="13:15" ht="13" thickBot="1">
      <c r="M69" s="9" t="str">
        <f>IF(OR(M17="",M44=""),"",+IF(L37&gt;L50,K50,K37))</f>
        <v/>
      </c>
      <c r="N69" s="16"/>
      <c r="O69" s="10"/>
    </row>
    <row r="70" spans="13:15">
      <c r="M70" s="10"/>
      <c r="N70" s="10"/>
      <c r="O70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Plan20"/>
  <dimension ref="D4:AH67"/>
  <sheetViews>
    <sheetView showGridLines="0" topLeftCell="B14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5.644531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E21</f>
        <v>0</v>
      </c>
      <c r="V6" t="s">
        <v>77</v>
      </c>
      <c r="W6" s="29">
        <f>E23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E25</f>
        <v>0</v>
      </c>
      <c r="V7" t="s">
        <v>77</v>
      </c>
      <c r="W7" s="29">
        <f>E27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E34</f>
        <v>0</v>
      </c>
      <c r="V8" t="s">
        <v>77</v>
      </c>
      <c r="W8" s="29">
        <f>E36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214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E45</f>
        <v>0</v>
      </c>
      <c r="V9" t="s">
        <v>77</v>
      </c>
      <c r="W9" s="29">
        <f>E47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LOOKUP(AD9,T$5:T$78,U$5:U$32)</f>
        <v>0</v>
      </c>
      <c r="AF9" s="37" t="s">
        <v>157</v>
      </c>
      <c r="AG9" s="65">
        <f t="shared" ref="AG9:AG19" ca="1" si="1">LOOKUP(AD9,T$5:T$78,W$5:W$33)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E49</f>
        <v>0</v>
      </c>
      <c r="V10" t="s">
        <v>77</v>
      </c>
      <c r="W10" s="29">
        <f>E51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E7</f>
        <v>0</v>
      </c>
      <c r="V11" t="s">
        <v>77</v>
      </c>
      <c r="W11" s="29" t="s">
        <v>78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10"/>
      <c r="F12" s="16"/>
      <c r="G12" s="10"/>
      <c r="H12" s="10"/>
      <c r="I12" s="10"/>
      <c r="J12" s="14" t="s">
        <v>232</v>
      </c>
      <c r="K12" s="9" t="str">
        <f>IF(OR(J9="",J15=""),"",+IF(J9&gt;J15,I9,I15))</f>
        <v/>
      </c>
      <c r="L12" s="11"/>
      <c r="M12" s="10"/>
      <c r="N12" s="10"/>
      <c r="O12" s="10"/>
      <c r="T12">
        <v>8</v>
      </c>
      <c r="U12" s="28">
        <f>E14</f>
        <v>0</v>
      </c>
      <c r="V12" t="s">
        <v>77</v>
      </c>
      <c r="W12" s="29">
        <f>E16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T13">
        <v>9</v>
      </c>
      <c r="U13" s="28">
        <f>E18</f>
        <v>0</v>
      </c>
      <c r="V13" t="s">
        <v>77</v>
      </c>
      <c r="W13" s="29" t="s">
        <v>160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  <c r="AH13" s="74"/>
    </row>
    <row r="14" spans="4:34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T14">
        <v>10</v>
      </c>
      <c r="U14" s="28" t="s">
        <v>161</v>
      </c>
      <c r="V14" t="s">
        <v>77</v>
      </c>
      <c r="W14" s="29">
        <f>E29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  <c r="AH14" s="74"/>
    </row>
    <row r="15" spans="4:34" ht="13" thickBot="1">
      <c r="E15" s="10"/>
      <c r="F15" s="10"/>
      <c r="G15" s="10"/>
      <c r="H15" s="13" t="s">
        <v>217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T15">
        <v>11</v>
      </c>
      <c r="U15" s="28">
        <f>E31</f>
        <v>0</v>
      </c>
      <c r="V15" t="s">
        <v>77</v>
      </c>
      <c r="W15" s="29" t="s">
        <v>81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 t="str">
        <f t="shared" ca="1" si="1"/>
        <v>Venc.J1</v>
      </c>
      <c r="AH15" s="74"/>
    </row>
    <row r="16" spans="4:34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T16">
        <v>12</v>
      </c>
      <c r="U16" s="28">
        <f>E38</f>
        <v>0</v>
      </c>
      <c r="V16" t="s">
        <v>77</v>
      </c>
      <c r="W16" s="29">
        <f>E40</f>
        <v>0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  <c r="AH16" s="74"/>
    </row>
    <row r="17" spans="4:34" ht="13" thickBot="1">
      <c r="E17" s="10"/>
      <c r="F17" s="10"/>
      <c r="G17" s="10"/>
      <c r="H17" s="10"/>
      <c r="I17" s="10"/>
      <c r="J17" s="10"/>
      <c r="K17" s="10"/>
      <c r="L17" s="14" t="s">
        <v>240</v>
      </c>
      <c r="M17" s="9" t="str">
        <f>IF(OR(L12="",L24=""),"",+IF(L12&gt;L24,K12,K24))</f>
        <v/>
      </c>
      <c r="N17" s="17"/>
      <c r="O17" s="10"/>
      <c r="T17">
        <v>13</v>
      </c>
      <c r="U17" s="28">
        <f>E42</f>
        <v>0</v>
      </c>
      <c r="V17" t="s">
        <v>77</v>
      </c>
      <c r="W17" s="29" t="s">
        <v>162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 t="str">
        <f t="shared" ca="1" si="1"/>
        <v>Venc.J2</v>
      </c>
      <c r="AH17" s="74"/>
    </row>
    <row r="18" spans="4:34" ht="13" thickBot="1">
      <c r="D18">
        <v>6</v>
      </c>
      <c r="E18" s="10"/>
      <c r="F18" s="9"/>
      <c r="G18" s="9">
        <f>E18</f>
        <v>0</v>
      </c>
      <c r="H18" s="11"/>
      <c r="I18" s="10"/>
      <c r="J18" s="10"/>
      <c r="K18" s="10"/>
      <c r="L18" s="14"/>
      <c r="M18" s="10"/>
      <c r="N18" s="14"/>
      <c r="O18" s="10"/>
      <c r="T18">
        <v>14</v>
      </c>
      <c r="U18" s="28" t="s">
        <v>163</v>
      </c>
      <c r="V18" t="s">
        <v>77</v>
      </c>
      <c r="W18" s="29">
        <f>E53</f>
        <v>0</v>
      </c>
      <c r="Z18" s="34"/>
      <c r="AA18" s="40"/>
      <c r="AB18" s="40"/>
      <c r="AC18" s="38" t="s">
        <v>159</v>
      </c>
      <c r="AD18" s="48">
        <v>10</v>
      </c>
      <c r="AE18" s="53" t="str">
        <f t="shared" ca="1" si="0"/>
        <v>Venc.J3</v>
      </c>
      <c r="AF18" s="37" t="s">
        <v>157</v>
      </c>
      <c r="AG18" s="65">
        <f t="shared" ca="1" si="1"/>
        <v>0</v>
      </c>
      <c r="AH18" s="74"/>
    </row>
    <row r="19" spans="4:34">
      <c r="E19" s="12"/>
      <c r="F19" s="10"/>
      <c r="G19" s="10"/>
      <c r="H19" s="13"/>
      <c r="I19" s="10"/>
      <c r="J19" s="10"/>
      <c r="K19" s="10"/>
      <c r="L19" s="14"/>
      <c r="M19" s="10"/>
      <c r="N19" s="14"/>
      <c r="O19" s="10"/>
      <c r="T19">
        <v>15</v>
      </c>
      <c r="U19" s="28" t="s">
        <v>84</v>
      </c>
      <c r="V19" t="s">
        <v>77</v>
      </c>
      <c r="W19" s="29" t="s">
        <v>164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 t="str">
        <f t="shared" ca="1" si="1"/>
        <v>Venc.J4</v>
      </c>
      <c r="AH19" s="74"/>
    </row>
    <row r="20" spans="4:34" ht="13" thickBot="1">
      <c r="E20" s="10"/>
      <c r="F20" s="10"/>
      <c r="G20" s="10"/>
      <c r="H20" s="14" t="s">
        <v>219</v>
      </c>
      <c r="I20" s="9" t="str">
        <f>IF(OR(H18="",H22=""),"",+IF(H18&gt;H22,G18,G22))</f>
        <v/>
      </c>
      <c r="J20" s="11"/>
      <c r="K20" s="10"/>
      <c r="L20" s="14"/>
      <c r="M20" s="10"/>
      <c r="N20" s="14"/>
      <c r="O20" s="10"/>
      <c r="T20">
        <v>16</v>
      </c>
      <c r="U20" s="28" t="s">
        <v>86</v>
      </c>
      <c r="V20" t="s">
        <v>77</v>
      </c>
      <c r="W20" s="29" t="s">
        <v>87</v>
      </c>
      <c r="Z20" s="34"/>
      <c r="AA20" s="40"/>
      <c r="AB20" s="40"/>
      <c r="AC20" s="38" t="s">
        <v>159</v>
      </c>
      <c r="AD20" s="48">
        <v>12</v>
      </c>
      <c r="AE20" s="53">
        <f t="shared" ref="AE20:AE30" ca="1" si="2">LOOKUP(AD20,T$5:T$78,U$5:U$32)</f>
        <v>0</v>
      </c>
      <c r="AF20" s="37" t="s">
        <v>157</v>
      </c>
      <c r="AG20" s="65">
        <f t="shared" ref="AG20:AG30" ca="1" si="3">LOOKUP(AD20,T$5:T$78,W$5:W$33)</f>
        <v>0</v>
      </c>
      <c r="AH20" s="74"/>
    </row>
    <row r="21" spans="4:34" ht="13" thickBot="1">
      <c r="D21">
        <v>7</v>
      </c>
      <c r="E21" s="10"/>
      <c r="F21" s="11"/>
      <c r="G21" s="10"/>
      <c r="H21" s="14"/>
      <c r="I21" s="10"/>
      <c r="J21" s="13"/>
      <c r="K21" s="10"/>
      <c r="L21" s="14"/>
      <c r="M21" s="10"/>
      <c r="N21" s="14"/>
      <c r="O21" s="10"/>
      <c r="T21">
        <v>17</v>
      </c>
      <c r="U21" s="28" t="s">
        <v>88</v>
      </c>
      <c r="V21" t="s">
        <v>77</v>
      </c>
      <c r="W21" s="29" t="s">
        <v>89</v>
      </c>
      <c r="Z21" s="34"/>
      <c r="AA21" s="40"/>
      <c r="AB21" s="40"/>
      <c r="AC21" s="38" t="s">
        <v>159</v>
      </c>
      <c r="AD21" s="48">
        <v>13</v>
      </c>
      <c r="AE21" s="53">
        <f t="shared" ca="1" si="2"/>
        <v>0</v>
      </c>
      <c r="AF21" s="37" t="s">
        <v>157</v>
      </c>
      <c r="AG21" s="65" t="str">
        <f t="shared" ca="1" si="3"/>
        <v>Venc.J5</v>
      </c>
      <c r="AH21" s="74"/>
    </row>
    <row r="22" spans="4:34" ht="13" thickBot="1">
      <c r="E22" s="12"/>
      <c r="F22" s="13" t="s">
        <v>204</v>
      </c>
      <c r="G22" s="9" t="str">
        <f>IF(OR(F21="",F23=""),"",+IF(F21&gt;F23,E21,E23))</f>
        <v/>
      </c>
      <c r="H22" s="16"/>
      <c r="I22" s="10"/>
      <c r="J22" s="14"/>
      <c r="K22" s="10"/>
      <c r="L22" s="14"/>
      <c r="M22" s="10"/>
      <c r="N22" s="14"/>
      <c r="O22" s="10"/>
      <c r="T22">
        <v>18</v>
      </c>
      <c r="U22" s="28" t="s">
        <v>90</v>
      </c>
      <c r="V22" t="s">
        <v>77</v>
      </c>
      <c r="W22" s="29" t="s">
        <v>91</v>
      </c>
      <c r="Z22" s="34"/>
      <c r="AA22" s="40"/>
      <c r="AB22" s="40"/>
      <c r="AC22" s="38" t="s">
        <v>159</v>
      </c>
      <c r="AD22" s="48">
        <v>14</v>
      </c>
      <c r="AE22" s="53" t="str">
        <f t="shared" ca="1" si="2"/>
        <v>Venc.J6</v>
      </c>
      <c r="AF22" s="37" t="s">
        <v>157</v>
      </c>
      <c r="AG22" s="65">
        <f t="shared" ca="1" si="3"/>
        <v>0</v>
      </c>
      <c r="AH22" s="74"/>
    </row>
    <row r="23" spans="4:34" ht="13" thickBot="1">
      <c r="D23">
        <v>8</v>
      </c>
      <c r="E23" s="10"/>
      <c r="F23" s="16"/>
      <c r="G23" s="10"/>
      <c r="H23" s="10"/>
      <c r="I23" s="10"/>
      <c r="J23" s="14"/>
      <c r="K23" s="10"/>
      <c r="L23" s="14"/>
      <c r="M23" s="10"/>
      <c r="N23" s="14"/>
      <c r="O23" s="10"/>
      <c r="T23">
        <v>19</v>
      </c>
      <c r="U23" s="28" t="s">
        <v>92</v>
      </c>
      <c r="V23" t="s">
        <v>77</v>
      </c>
      <c r="W23" s="29" t="s">
        <v>165</v>
      </c>
      <c r="Z23" s="34"/>
      <c r="AA23" s="40"/>
      <c r="AB23" s="40"/>
      <c r="AC23" s="38" t="s">
        <v>159</v>
      </c>
      <c r="AD23" s="48">
        <v>15</v>
      </c>
      <c r="AE23" s="53" t="str">
        <f t="shared" ca="1" si="2"/>
        <v>Venc.J7</v>
      </c>
      <c r="AF23" s="37" t="s">
        <v>157</v>
      </c>
      <c r="AG23" s="65" t="str">
        <f t="shared" ca="1" si="3"/>
        <v>Venc.J8</v>
      </c>
      <c r="AH23" s="74"/>
    </row>
    <row r="24" spans="4:34" ht="13" thickBot="1">
      <c r="E24" s="12"/>
      <c r="F24" s="10"/>
      <c r="G24" s="10"/>
      <c r="H24" s="10"/>
      <c r="I24" s="10"/>
      <c r="J24" s="14" t="s">
        <v>234</v>
      </c>
      <c r="K24" s="9" t="str">
        <f>IF(OR(J20="",J28=""),"",+IF(J20&gt;J28,I20,I28))</f>
        <v/>
      </c>
      <c r="L24" s="16"/>
      <c r="M24" s="10"/>
      <c r="N24" s="14"/>
      <c r="O24" s="10"/>
      <c r="T24">
        <v>20</v>
      </c>
      <c r="U24" s="28" t="s">
        <v>94</v>
      </c>
      <c r="V24" t="s">
        <v>77</v>
      </c>
      <c r="W24" s="29" t="s">
        <v>95</v>
      </c>
      <c r="Z24" s="34"/>
      <c r="AA24" s="40"/>
      <c r="AB24" s="40"/>
      <c r="AC24" s="38" t="s">
        <v>159</v>
      </c>
      <c r="AD24" s="48">
        <v>16</v>
      </c>
      <c r="AE24" s="53" t="str">
        <f t="shared" ca="1" si="2"/>
        <v>Venc.J9</v>
      </c>
      <c r="AF24" s="37" t="s">
        <v>157</v>
      </c>
      <c r="AG24" s="65" t="str">
        <f t="shared" ca="1" si="3"/>
        <v>Venc.J10</v>
      </c>
      <c r="AH24" s="74"/>
    </row>
    <row r="25" spans="4:34" ht="13" thickBot="1">
      <c r="D25">
        <v>9</v>
      </c>
      <c r="E25" s="10"/>
      <c r="F25" s="11"/>
      <c r="G25" s="10"/>
      <c r="H25" s="10"/>
      <c r="I25" s="10"/>
      <c r="J25" s="14"/>
      <c r="K25" s="10"/>
      <c r="L25" s="10"/>
      <c r="M25" s="10"/>
      <c r="N25" s="14"/>
      <c r="O25" s="10"/>
      <c r="T25">
        <v>21</v>
      </c>
      <c r="U25" s="71" t="s">
        <v>277</v>
      </c>
      <c r="V25" t="s">
        <v>77</v>
      </c>
      <c r="W25" s="72" t="s">
        <v>296</v>
      </c>
      <c r="Z25" s="34"/>
      <c r="AA25" s="40"/>
      <c r="AB25" s="40"/>
      <c r="AC25" s="38" t="s">
        <v>159</v>
      </c>
      <c r="AD25" s="48">
        <v>17</v>
      </c>
      <c r="AE25" s="53" t="str">
        <f t="shared" ca="1" si="2"/>
        <v>Venc.J11</v>
      </c>
      <c r="AF25" s="37" t="s">
        <v>157</v>
      </c>
      <c r="AG25" s="65" t="str">
        <f t="shared" ca="1" si="3"/>
        <v>Venc.J12</v>
      </c>
      <c r="AH25" s="74"/>
    </row>
    <row r="26" spans="4:34" ht="13" thickBot="1">
      <c r="E26" s="12"/>
      <c r="F26" s="13" t="s">
        <v>206</v>
      </c>
      <c r="G26" s="9" t="str">
        <f>IF(OR(F25="",F27=""),"",+IF(F25&gt;F27,E25,E27))</f>
        <v/>
      </c>
      <c r="H26" s="11"/>
      <c r="I26" s="10"/>
      <c r="J26" s="14"/>
      <c r="K26" s="10"/>
      <c r="L26" s="10"/>
      <c r="M26" s="10"/>
      <c r="N26" s="14"/>
      <c r="O26" s="10"/>
      <c r="T26">
        <v>22</v>
      </c>
      <c r="U26" s="28" t="s">
        <v>96</v>
      </c>
      <c r="V26" t="s">
        <v>77</v>
      </c>
      <c r="W26" s="29" t="s">
        <v>97</v>
      </c>
      <c r="Z26" s="34"/>
      <c r="AA26" s="40"/>
      <c r="AB26" s="40"/>
      <c r="AC26" s="38" t="s">
        <v>159</v>
      </c>
      <c r="AD26" s="48">
        <v>18</v>
      </c>
      <c r="AE26" s="53" t="str">
        <f t="shared" ca="1" si="2"/>
        <v>Venc.J13</v>
      </c>
      <c r="AF26" s="37" t="s">
        <v>157</v>
      </c>
      <c r="AG26" s="65" t="str">
        <f t="shared" ca="1" si="3"/>
        <v>Venc.J14</v>
      </c>
      <c r="AH26" s="74"/>
    </row>
    <row r="27" spans="4:34" ht="13" thickBot="1">
      <c r="D27">
        <v>10</v>
      </c>
      <c r="E27" s="9"/>
      <c r="F27" s="16"/>
      <c r="G27" s="10"/>
      <c r="H27" s="13"/>
      <c r="I27" s="10"/>
      <c r="J27" s="14"/>
      <c r="K27" s="10"/>
      <c r="L27" s="10"/>
      <c r="M27" s="10"/>
      <c r="N27" s="14"/>
      <c r="O27" s="10"/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Venc.J15</v>
      </c>
      <c r="AF27" s="37" t="s">
        <v>157</v>
      </c>
      <c r="AG27" s="65" t="str">
        <f t="shared" ca="1" si="3"/>
        <v>Venc.J16</v>
      </c>
      <c r="AH27" s="74"/>
    </row>
    <row r="28" spans="4:34" ht="13" thickBot="1">
      <c r="E28" s="10"/>
      <c r="F28" s="10"/>
      <c r="G28" s="10"/>
      <c r="H28" s="14" t="s">
        <v>221</v>
      </c>
      <c r="I28" s="9" t="str">
        <f>IF(OR(H26="",H29=""),"",+IF(H26&gt;H29,G26,E29))</f>
        <v/>
      </c>
      <c r="J28" s="16"/>
      <c r="K28" s="10"/>
      <c r="L28" s="10"/>
      <c r="M28" s="77" t="s">
        <v>278</v>
      </c>
      <c r="N28" s="70" t="s">
        <v>246</v>
      </c>
      <c r="O28" s="9" t="str">
        <f>IF(OR(N17="",N41=""),"",+IF(N17&gt;N41,M17,M41))</f>
        <v/>
      </c>
      <c r="U28" s="29"/>
      <c r="W28" s="28"/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Venc.J17</v>
      </c>
      <c r="AF28" s="37" t="s">
        <v>157</v>
      </c>
      <c r="AG28" s="65" t="str">
        <f t="shared" ca="1" si="3"/>
        <v>Venc.J18</v>
      </c>
      <c r="AH28" s="74"/>
    </row>
    <row r="29" spans="4:34" ht="13" thickBot="1">
      <c r="D29">
        <v>11</v>
      </c>
      <c r="E29" s="9"/>
      <c r="F29" s="9"/>
      <c r="G29" s="9">
        <f>E29</f>
        <v>0</v>
      </c>
      <c r="H29" s="16"/>
      <c r="I29" s="10"/>
      <c r="J29" s="10"/>
      <c r="K29" s="10"/>
      <c r="L29" s="10"/>
      <c r="M29" s="10"/>
      <c r="N29" s="14"/>
      <c r="O29" s="10"/>
      <c r="U29" s="29"/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Perd.J19</v>
      </c>
      <c r="AF29" s="37" t="s">
        <v>157</v>
      </c>
      <c r="AG29" s="65" t="str">
        <f t="shared" ca="1" si="3"/>
        <v>Perd.J20</v>
      </c>
      <c r="AH29" s="74"/>
    </row>
    <row r="30" spans="4:34">
      <c r="E30" s="10"/>
      <c r="F30" s="10"/>
      <c r="G30" s="10"/>
      <c r="H30" s="10"/>
      <c r="I30" s="10"/>
      <c r="J30" s="10"/>
      <c r="K30" s="10"/>
      <c r="L30" s="10"/>
      <c r="M30" s="10"/>
      <c r="N30" s="14"/>
      <c r="O30" s="10"/>
      <c r="Z30" s="34"/>
      <c r="AA30" s="40"/>
      <c r="AB30" s="40"/>
      <c r="AC30" s="38" t="s">
        <v>159</v>
      </c>
      <c r="AD30" s="48">
        <v>22</v>
      </c>
      <c r="AE30" s="53" t="str">
        <f t="shared" ca="1" si="2"/>
        <v>Venc.J19</v>
      </c>
      <c r="AF30" s="37" t="s">
        <v>157</v>
      </c>
      <c r="AG30" s="65" t="str">
        <f t="shared" ca="1" si="3"/>
        <v>Venc.J20</v>
      </c>
      <c r="AH30" s="74"/>
    </row>
    <row r="31" spans="4:34" ht="13" thickBot="1">
      <c r="D31">
        <v>12</v>
      </c>
      <c r="E31" s="10"/>
      <c r="F31" s="9"/>
      <c r="G31" s="9">
        <f>E31</f>
        <v>0</v>
      </c>
      <c r="H31" s="11"/>
      <c r="I31" s="10"/>
      <c r="J31" s="10"/>
      <c r="K31" s="10"/>
      <c r="L31" s="10"/>
      <c r="M31" s="10"/>
      <c r="N31" s="14"/>
      <c r="O31" s="10"/>
      <c r="U31" s="29"/>
      <c r="Z31" s="42"/>
      <c r="AA31" s="43"/>
      <c r="AB31" s="43"/>
      <c r="AC31" s="43"/>
      <c r="AD31" s="61"/>
      <c r="AE31" s="62"/>
      <c r="AF31" s="63"/>
      <c r="AG31" s="60"/>
      <c r="AH31" s="75"/>
    </row>
    <row r="32" spans="4:34">
      <c r="E32" s="12"/>
      <c r="F32" s="10"/>
      <c r="G32" s="10"/>
      <c r="H32" s="13"/>
      <c r="I32" s="10"/>
      <c r="J32" s="10"/>
      <c r="K32" s="10"/>
      <c r="L32" s="10"/>
      <c r="M32" s="10"/>
      <c r="N32" s="14"/>
      <c r="O32" s="10"/>
    </row>
    <row r="33" spans="4:22" ht="13" thickBot="1">
      <c r="E33" s="10"/>
      <c r="F33" s="10"/>
      <c r="G33" s="10"/>
      <c r="H33" s="14"/>
      <c r="I33" s="9" t="str">
        <f>IF(OR(H31="",H35=""),"",+IF(H31&gt;H35,G31,G35))</f>
        <v/>
      </c>
      <c r="J33" s="11"/>
      <c r="K33" s="10"/>
      <c r="L33" s="10"/>
      <c r="M33" s="10"/>
      <c r="N33" s="14"/>
      <c r="O33" s="10"/>
    </row>
    <row r="34" spans="4:22" ht="13" thickBot="1">
      <c r="D34">
        <v>13</v>
      </c>
      <c r="E34" s="10"/>
      <c r="F34" s="11"/>
      <c r="G34" s="10"/>
      <c r="H34" s="14" t="s">
        <v>223</v>
      </c>
      <c r="I34" s="10"/>
      <c r="J34" s="13"/>
      <c r="K34" s="10"/>
      <c r="L34" s="10"/>
      <c r="M34" s="10"/>
      <c r="N34" s="14"/>
      <c r="O34" s="10"/>
      <c r="V34" s="76"/>
    </row>
    <row r="35" spans="4:22" ht="13" thickBot="1">
      <c r="E35" s="12"/>
      <c r="F35" s="13" t="s">
        <v>208</v>
      </c>
      <c r="G35" s="9" t="str">
        <f>IF(OR(F34="",F36=""),"",+IF(F34&gt;F36,E34,E36))</f>
        <v/>
      </c>
      <c r="H35" s="16"/>
      <c r="I35" s="10"/>
      <c r="J35" s="14"/>
      <c r="K35" s="10"/>
      <c r="L35" s="10"/>
      <c r="M35" s="10"/>
      <c r="N35" s="14"/>
      <c r="O35" s="10"/>
    </row>
    <row r="36" spans="4:22" ht="13" thickBot="1">
      <c r="D36">
        <v>14</v>
      </c>
      <c r="E36" s="10"/>
      <c r="F36" s="16"/>
      <c r="G36" s="10"/>
      <c r="H36" s="10"/>
      <c r="I36" s="10"/>
      <c r="J36" s="14" t="s">
        <v>236</v>
      </c>
      <c r="K36" s="9" t="str">
        <f>IF(OR(J33="",J39=""),"",+IF(J33&gt;J39,I33,I39))</f>
        <v/>
      </c>
      <c r="L36" s="11"/>
      <c r="M36" s="10"/>
      <c r="N36" s="14"/>
      <c r="O36" s="10"/>
    </row>
    <row r="37" spans="4:22">
      <c r="E37" s="12"/>
      <c r="F37" s="10"/>
      <c r="G37" s="10"/>
      <c r="H37" s="10"/>
      <c r="I37" s="10"/>
      <c r="J37" s="14"/>
      <c r="K37" s="12"/>
      <c r="L37" s="13"/>
      <c r="M37" s="10"/>
      <c r="N37" s="14"/>
      <c r="O37" s="10"/>
    </row>
    <row r="38" spans="4:22" ht="13" thickBot="1">
      <c r="D38">
        <v>15</v>
      </c>
      <c r="E38" s="9"/>
      <c r="F38" s="9"/>
      <c r="G38" s="9">
        <f>E38</f>
        <v>0</v>
      </c>
      <c r="H38" s="11"/>
      <c r="I38" s="10"/>
      <c r="J38" s="14"/>
      <c r="K38" s="10"/>
      <c r="L38" s="14"/>
      <c r="M38" s="10"/>
      <c r="N38" s="14"/>
      <c r="O38" s="10"/>
    </row>
    <row r="39" spans="4:22" ht="13" thickBot="1">
      <c r="E39" s="10"/>
      <c r="F39" s="10"/>
      <c r="G39" s="10"/>
      <c r="H39" s="13" t="s">
        <v>225</v>
      </c>
      <c r="I39" s="9" t="str">
        <f>IF(OR(H38="",H40=""),"",+IF(H38&gt;H40,E38,E40))</f>
        <v/>
      </c>
      <c r="J39" s="16"/>
      <c r="K39" s="10"/>
      <c r="L39" s="14"/>
      <c r="M39" s="10"/>
      <c r="N39" s="14"/>
      <c r="O39" s="10"/>
    </row>
    <row r="40" spans="4:22" ht="13" thickBot="1">
      <c r="D40">
        <v>16</v>
      </c>
      <c r="E40" s="9"/>
      <c r="F40" s="9"/>
      <c r="G40" s="9">
        <f>E40</f>
        <v>0</v>
      </c>
      <c r="H40" s="16"/>
      <c r="I40" s="10"/>
      <c r="J40" s="10"/>
      <c r="K40" s="10"/>
      <c r="L40" s="14"/>
      <c r="M40" s="10"/>
      <c r="N40" s="14"/>
      <c r="O40" s="10"/>
    </row>
    <row r="41" spans="4:22" ht="13" thickBot="1">
      <c r="E41" s="10"/>
      <c r="F41" s="10"/>
      <c r="G41" s="10"/>
      <c r="H41" s="10"/>
      <c r="I41" s="10"/>
      <c r="J41" s="10"/>
      <c r="K41" s="10"/>
      <c r="L41" s="14" t="s">
        <v>242</v>
      </c>
      <c r="M41" s="9" t="str">
        <f>IF(OR(L36="",L48=""),"",+IF(L36&gt;L48,K36,K48))</f>
        <v/>
      </c>
      <c r="N41" s="16"/>
      <c r="O41" s="10"/>
    </row>
    <row r="42" spans="4:22" ht="13" thickBot="1">
      <c r="D42">
        <v>17</v>
      </c>
      <c r="E42" s="10"/>
      <c r="F42" s="9"/>
      <c r="G42" s="9">
        <f>E42</f>
        <v>0</v>
      </c>
      <c r="H42" s="11"/>
      <c r="I42" s="10"/>
      <c r="J42" s="10"/>
      <c r="K42" s="10"/>
      <c r="L42" s="14"/>
      <c r="M42" s="10"/>
      <c r="N42" s="10"/>
      <c r="O42" s="10"/>
    </row>
    <row r="43" spans="4:22">
      <c r="E43" s="12"/>
      <c r="F43" s="10"/>
      <c r="G43" s="10"/>
      <c r="H43" s="13"/>
      <c r="I43" s="10"/>
      <c r="J43" s="10"/>
      <c r="K43" s="10"/>
      <c r="L43" s="14"/>
      <c r="M43" s="10"/>
      <c r="N43" s="10"/>
      <c r="O43" s="10"/>
    </row>
    <row r="44" spans="4:22" ht="13" thickBot="1">
      <c r="E44" s="10"/>
      <c r="F44" s="10"/>
      <c r="G44" s="10"/>
      <c r="H44" s="14" t="s">
        <v>227</v>
      </c>
      <c r="I44" s="9" t="str">
        <f>IF(OR(H42="",H46=""),"",+IF(H42&gt;H46,G42,G46))</f>
        <v/>
      </c>
      <c r="J44" s="11"/>
      <c r="K44" s="10"/>
      <c r="L44" s="14"/>
      <c r="M44" s="10"/>
      <c r="N44" s="10"/>
      <c r="O44" s="10"/>
    </row>
    <row r="45" spans="4:22" ht="13" thickBot="1">
      <c r="D45">
        <v>18</v>
      </c>
      <c r="E45" s="10"/>
      <c r="F45" s="11"/>
      <c r="G45" s="10"/>
      <c r="H45" s="14"/>
      <c r="I45" s="10"/>
      <c r="J45" s="13"/>
      <c r="K45" s="10"/>
      <c r="L45" s="14"/>
      <c r="M45" s="10"/>
      <c r="N45" s="10"/>
      <c r="O45" s="10"/>
    </row>
    <row r="46" spans="4:22" ht="13" thickBot="1">
      <c r="E46" s="12"/>
      <c r="F46" s="13" t="s">
        <v>210</v>
      </c>
      <c r="G46" s="9" t="str">
        <f>IF(OR(F45="",F47=""),"",+IF(F45&gt;F47,E45,E47))</f>
        <v/>
      </c>
      <c r="H46" s="16"/>
      <c r="I46" s="10"/>
      <c r="J46" s="14"/>
      <c r="K46" s="10"/>
      <c r="L46" s="14"/>
      <c r="M46" s="10"/>
      <c r="N46" s="10"/>
      <c r="O46" s="10"/>
    </row>
    <row r="47" spans="4:22" ht="13" thickBot="1">
      <c r="D47">
        <v>19</v>
      </c>
      <c r="E47" s="10"/>
      <c r="F47" s="16"/>
      <c r="G47" s="10"/>
      <c r="H47" s="10"/>
      <c r="I47" s="10"/>
      <c r="J47" s="14"/>
      <c r="K47" s="10"/>
      <c r="L47" s="14"/>
      <c r="M47" s="10"/>
      <c r="N47" s="10"/>
      <c r="O47" s="10"/>
    </row>
    <row r="48" spans="4:22" ht="13" thickBot="1">
      <c r="E48" s="12"/>
      <c r="F48" s="10"/>
      <c r="G48" s="10"/>
      <c r="H48" s="10"/>
      <c r="I48" s="10"/>
      <c r="J48" s="14" t="s">
        <v>238</v>
      </c>
      <c r="K48" s="9" t="str">
        <f>IF(OR(J44="",J52=""),"",+IF(J44&gt;J52,I44,I52))</f>
        <v/>
      </c>
      <c r="L48" s="16"/>
      <c r="M48" s="10"/>
      <c r="N48" s="10"/>
      <c r="O48" s="10"/>
    </row>
    <row r="49" spans="4:15" ht="13" thickBot="1">
      <c r="D49">
        <v>20</v>
      </c>
      <c r="E49" s="10"/>
      <c r="F49" s="11"/>
      <c r="G49" s="10"/>
      <c r="H49" s="10"/>
      <c r="I49" s="10"/>
      <c r="J49" s="14"/>
      <c r="K49" s="10"/>
      <c r="L49" s="10"/>
      <c r="M49" s="10"/>
      <c r="N49" s="10"/>
      <c r="O49" s="10"/>
    </row>
    <row r="50" spans="4:15" ht="13" thickBot="1">
      <c r="E50" s="12"/>
      <c r="F50" s="13" t="s">
        <v>212</v>
      </c>
      <c r="G50" s="9" t="str">
        <f>IF(OR(F49="",F51=""),"",+IF(F49&gt;F51,E49,E51))</f>
        <v/>
      </c>
      <c r="H50" s="11"/>
      <c r="I50" s="10"/>
      <c r="J50" s="14"/>
      <c r="K50" s="10"/>
      <c r="L50" s="10"/>
      <c r="M50" s="10"/>
      <c r="N50" s="10"/>
      <c r="O50" s="10"/>
    </row>
    <row r="51" spans="4:15" ht="13" thickBot="1">
      <c r="D51">
        <v>21</v>
      </c>
      <c r="E51" s="9"/>
      <c r="F51" s="16"/>
      <c r="G51" s="10"/>
      <c r="H51" s="13"/>
      <c r="I51" s="10"/>
      <c r="J51" s="14"/>
      <c r="K51" s="10"/>
      <c r="L51" s="10"/>
      <c r="M51" s="10"/>
      <c r="N51" s="10"/>
      <c r="O51" s="10"/>
    </row>
    <row r="52" spans="4:15" ht="13" thickBot="1">
      <c r="E52" s="10"/>
      <c r="F52" s="10"/>
      <c r="G52" s="10"/>
      <c r="H52" s="14" t="s">
        <v>229</v>
      </c>
      <c r="I52" s="9" t="str">
        <f>IF(OR(H50="",H53=""),"",+IF(H50&gt;H53,G50,E53))</f>
        <v/>
      </c>
      <c r="J52" s="16"/>
      <c r="K52" s="10"/>
      <c r="L52" s="10"/>
      <c r="M52" s="10"/>
      <c r="N52" s="10"/>
      <c r="O52" s="10"/>
    </row>
    <row r="53" spans="4:15" ht="13" thickBot="1">
      <c r="D53">
        <v>22</v>
      </c>
      <c r="E53" s="9"/>
      <c r="F53" s="9"/>
      <c r="G53" s="9">
        <f>E53</f>
        <v>0</v>
      </c>
      <c r="H53" s="16"/>
      <c r="I53" s="10"/>
      <c r="J53" s="10"/>
      <c r="K53" s="10"/>
      <c r="L53" s="10"/>
      <c r="M53" s="10"/>
      <c r="N53" s="10"/>
      <c r="O53" s="10"/>
    </row>
    <row r="54" spans="4:15" ht="13" thickBot="1">
      <c r="M54" s="9" t="str">
        <f>IF(OR(M17="",M41=""),"",+IF(L12&gt;L24,K24,K12))</f>
        <v/>
      </c>
      <c r="N54" s="11"/>
      <c r="O54" s="10"/>
    </row>
    <row r="55" spans="4:15">
      <c r="M55" s="12"/>
      <c r="N55" s="13"/>
      <c r="O55" s="10"/>
    </row>
    <row r="56" spans="4:15">
      <c r="M56" s="10"/>
      <c r="N56" s="14"/>
      <c r="O56" s="10"/>
    </row>
    <row r="57" spans="4:15">
      <c r="M57" s="10"/>
      <c r="N57" s="14"/>
      <c r="O57" s="10"/>
    </row>
    <row r="58" spans="4:15">
      <c r="M58" s="10"/>
      <c r="N58" s="14"/>
      <c r="O58" s="10"/>
    </row>
    <row r="59" spans="4:15" ht="13" thickBot="1">
      <c r="M59" s="77" t="s">
        <v>279</v>
      </c>
      <c r="N59" s="14" t="s">
        <v>240</v>
      </c>
      <c r="O59" s="9" t="str">
        <f>IF(OR(N54="",N66=""),"",+IF(N54&gt;N66,M54,M66))</f>
        <v/>
      </c>
    </row>
    <row r="60" spans="4:15">
      <c r="M60" s="10"/>
      <c r="N60" s="14"/>
      <c r="O60" s="10"/>
    </row>
    <row r="61" spans="4:15">
      <c r="M61" s="10"/>
      <c r="N61" s="14"/>
      <c r="O61" s="10"/>
    </row>
    <row r="62" spans="4:15">
      <c r="M62" s="10"/>
      <c r="N62" s="14"/>
      <c r="O62" s="10"/>
    </row>
    <row r="63" spans="4:15">
      <c r="M63" s="10"/>
      <c r="N63" s="14"/>
      <c r="O63" s="10"/>
    </row>
    <row r="64" spans="4:15">
      <c r="M64" s="10"/>
      <c r="N64" s="14"/>
      <c r="O64" s="10"/>
    </row>
    <row r="65" spans="13:15">
      <c r="M65" s="10"/>
      <c r="N65" s="14"/>
      <c r="O65" s="10"/>
    </row>
    <row r="66" spans="13:15" ht="13" thickBot="1">
      <c r="M66" s="9" t="str">
        <f>IF(OR(M17="",M41=""),"",+IF(L36&gt;L48,K48,K36))</f>
        <v/>
      </c>
      <c r="N66" s="16"/>
      <c r="O66" s="10"/>
    </row>
    <row r="67" spans="13:15">
      <c r="M67" s="10"/>
      <c r="N67" s="10"/>
      <c r="O67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Plan19"/>
  <dimension ref="D4:AH58"/>
  <sheetViews>
    <sheetView showGridLines="0" topLeftCell="B12" zoomScale="80" zoomScaleNormal="80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15" max="15" width="14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E22</f>
        <v>0</v>
      </c>
      <c r="V6" t="s">
        <v>77</v>
      </c>
      <c r="W6" s="29">
        <f>E24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E31</f>
        <v>0</v>
      </c>
      <c r="V7" t="s">
        <v>77</v>
      </c>
      <c r="W7" s="29">
        <f>E33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E42</f>
        <v>0</v>
      </c>
      <c r="V8" t="s">
        <v>77</v>
      </c>
      <c r="W8" s="29">
        <f>E44</f>
        <v>0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212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E46</f>
        <v>0</v>
      </c>
      <c r="V9" t="s">
        <v>77</v>
      </c>
      <c r="W9" s="29">
        <f>E48</f>
        <v>0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LOOKUP(AD9,T$5:T$78,U$5:U$31)</f>
        <v>0</v>
      </c>
      <c r="AF9" s="37" t="s">
        <v>157</v>
      </c>
      <c r="AG9" s="65">
        <f t="shared" ref="AG9:AG19" ca="1" si="1">LOOKUP(AD9,T$5:T$78,W$5:W$27)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E7</f>
        <v>0</v>
      </c>
      <c r="V10" t="s">
        <v>77</v>
      </c>
      <c r="W10" s="29" t="s">
        <v>78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E14</f>
        <v>0</v>
      </c>
      <c r="V11" t="s">
        <v>77</v>
      </c>
      <c r="W11" s="29">
        <f>E16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10"/>
      <c r="F12" s="16"/>
      <c r="G12" s="10"/>
      <c r="H12" s="10"/>
      <c r="I12" s="10"/>
      <c r="J12" s="14" t="s">
        <v>229</v>
      </c>
      <c r="K12" s="9" t="str">
        <f>IF(OR(J9="",J15=""),"",+IF(J9&gt;J15,I9,I15))</f>
        <v/>
      </c>
      <c r="L12" s="11"/>
      <c r="M12" s="10"/>
      <c r="N12" s="10"/>
      <c r="O12" s="10"/>
      <c r="T12">
        <v>8</v>
      </c>
      <c r="U12" s="28">
        <f>E18</f>
        <v>0</v>
      </c>
      <c r="V12" t="s">
        <v>77</v>
      </c>
      <c r="W12" s="29">
        <f>E20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T13">
        <v>9</v>
      </c>
      <c r="U13" s="28" t="s">
        <v>160</v>
      </c>
      <c r="V13" t="s">
        <v>77</v>
      </c>
      <c r="W13" s="29">
        <f>E26</f>
        <v>0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>
        <f t="shared" ca="1" si="1"/>
        <v>0</v>
      </c>
      <c r="AH13" s="74"/>
    </row>
    <row r="14" spans="4:34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T14">
        <v>10</v>
      </c>
      <c r="U14" s="28">
        <f>E28</f>
        <v>0</v>
      </c>
      <c r="V14" t="s">
        <v>77</v>
      </c>
      <c r="W14" s="29" t="s">
        <v>161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 t="str">
        <f t="shared" ca="1" si="1"/>
        <v>Venc.J1</v>
      </c>
      <c r="AH14" s="74"/>
    </row>
    <row r="15" spans="4:34" ht="13" thickBot="1">
      <c r="E15" s="10"/>
      <c r="F15" s="10"/>
      <c r="G15" s="10"/>
      <c r="H15" s="13" t="s">
        <v>214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T15">
        <v>11</v>
      </c>
      <c r="U15" s="28">
        <f>E35</f>
        <v>0</v>
      </c>
      <c r="V15" t="s">
        <v>77</v>
      </c>
      <c r="W15" s="29">
        <f>E37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  <c r="AH15" s="74"/>
    </row>
    <row r="16" spans="4:34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T16">
        <v>12</v>
      </c>
      <c r="U16" s="28">
        <f>E39</f>
        <v>0</v>
      </c>
      <c r="V16" t="s">
        <v>77</v>
      </c>
      <c r="W16" s="29" t="s">
        <v>81</v>
      </c>
      <c r="Z16" s="34"/>
      <c r="AA16" s="40"/>
      <c r="AB16" s="40"/>
      <c r="AC16" s="38" t="s">
        <v>159</v>
      </c>
      <c r="AD16" s="48">
        <v>8</v>
      </c>
      <c r="AE16" s="53">
        <f t="shared" ca="1" si="0"/>
        <v>0</v>
      </c>
      <c r="AF16" s="37" t="s">
        <v>157</v>
      </c>
      <c r="AG16" s="65">
        <f t="shared" ca="1" si="1"/>
        <v>0</v>
      </c>
      <c r="AH16" s="74"/>
    </row>
    <row r="17" spans="4:34" ht="13" thickBot="1">
      <c r="E17" s="10"/>
      <c r="F17" s="10"/>
      <c r="G17" s="10"/>
      <c r="H17" s="10"/>
      <c r="I17" s="10"/>
      <c r="J17" s="10"/>
      <c r="K17" s="10"/>
      <c r="L17" s="14" t="s">
        <v>238</v>
      </c>
      <c r="M17" s="9" t="str">
        <f>IF(OR(L12="",L22=""),"",+IF(L12&gt;L22,K12,K22))</f>
        <v/>
      </c>
      <c r="N17" s="11"/>
      <c r="O17" s="10"/>
      <c r="T17">
        <v>13</v>
      </c>
      <c r="U17" s="28" t="s">
        <v>162</v>
      </c>
      <c r="V17" t="s">
        <v>77</v>
      </c>
      <c r="W17" s="29">
        <f>E50</f>
        <v>0</v>
      </c>
      <c r="Z17" s="34"/>
      <c r="AA17" s="40"/>
      <c r="AB17" s="40"/>
      <c r="AC17" s="38" t="s">
        <v>159</v>
      </c>
      <c r="AD17" s="48">
        <v>9</v>
      </c>
      <c r="AE17" s="53" t="str">
        <f t="shared" ca="1" si="0"/>
        <v>Venc.J2</v>
      </c>
      <c r="AF17" s="37" t="s">
        <v>157</v>
      </c>
      <c r="AG17" s="65">
        <f t="shared" ca="1" si="1"/>
        <v>0</v>
      </c>
      <c r="AH17" s="74"/>
    </row>
    <row r="18" spans="4:34" ht="13" thickBot="1">
      <c r="D18">
        <v>6</v>
      </c>
      <c r="E18" s="9"/>
      <c r="F18" s="9"/>
      <c r="G18" s="9">
        <f>E18</f>
        <v>0</v>
      </c>
      <c r="H18" s="11"/>
      <c r="I18" s="10"/>
      <c r="J18" s="10"/>
      <c r="K18" s="10"/>
      <c r="L18" s="14"/>
      <c r="M18" s="10"/>
      <c r="N18" s="13"/>
      <c r="O18" s="10"/>
      <c r="T18">
        <v>14</v>
      </c>
      <c r="U18" s="28" t="s">
        <v>163</v>
      </c>
      <c r="V18" t="s">
        <v>77</v>
      </c>
      <c r="W18" s="28" t="s">
        <v>84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 t="str">
        <f t="shared" ca="1" si="1"/>
        <v>Venc.J3</v>
      </c>
      <c r="AH18" s="74"/>
    </row>
    <row r="19" spans="4:34" ht="13" thickBot="1">
      <c r="E19" s="10"/>
      <c r="F19" s="10"/>
      <c r="G19" s="10"/>
      <c r="H19" s="13" t="s">
        <v>217</v>
      </c>
      <c r="I19" s="9" t="str">
        <f>IF(OR(H18="",H20=""),"",+IF(H18&gt;H20,E18,E20))</f>
        <v/>
      </c>
      <c r="J19" s="17"/>
      <c r="K19" s="10"/>
      <c r="L19" s="14"/>
      <c r="M19" s="10"/>
      <c r="N19" s="14"/>
      <c r="O19" s="10"/>
      <c r="T19">
        <v>15</v>
      </c>
      <c r="U19" s="29" t="s">
        <v>164</v>
      </c>
      <c r="V19" t="s">
        <v>77</v>
      </c>
      <c r="W19" s="28" t="s">
        <v>86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>
        <f t="shared" ca="1" si="1"/>
        <v>0</v>
      </c>
      <c r="AH19" s="74"/>
    </row>
    <row r="20" spans="4:34" ht="13" thickBot="1">
      <c r="D20">
        <v>7</v>
      </c>
      <c r="E20" s="9"/>
      <c r="F20" s="9"/>
      <c r="G20" s="9">
        <f>E20</f>
        <v>0</v>
      </c>
      <c r="H20" s="16"/>
      <c r="I20" s="10"/>
      <c r="J20" s="13"/>
      <c r="K20" s="10"/>
      <c r="L20" s="14"/>
      <c r="M20" s="10"/>
      <c r="N20" s="14"/>
      <c r="O20" s="10"/>
      <c r="T20">
        <v>16</v>
      </c>
      <c r="U20" s="29" t="s">
        <v>87</v>
      </c>
      <c r="V20" t="s">
        <v>77</v>
      </c>
      <c r="W20" s="28" t="s">
        <v>88</v>
      </c>
      <c r="Z20" s="34"/>
      <c r="AA20" s="40"/>
      <c r="AB20" s="40"/>
      <c r="AC20" s="38" t="s">
        <v>159</v>
      </c>
      <c r="AD20" s="48">
        <v>12</v>
      </c>
      <c r="AE20" s="53">
        <f t="shared" ref="AE20:AE29" ca="1" si="2">LOOKUP(AD20,T$5:T$78,U$5:U$31)</f>
        <v>0</v>
      </c>
      <c r="AF20" s="37" t="s">
        <v>157</v>
      </c>
      <c r="AG20" s="65" t="str">
        <f t="shared" ref="AG20:AG29" ca="1" si="3">LOOKUP(AD20,T$5:T$78,W$5:W$27)</f>
        <v>Venc.J4</v>
      </c>
      <c r="AH20" s="74"/>
    </row>
    <row r="21" spans="4:34">
      <c r="E21" s="10"/>
      <c r="F21" s="10"/>
      <c r="G21" s="10"/>
      <c r="H21" s="10"/>
      <c r="I21" s="10"/>
      <c r="J21" s="14"/>
      <c r="K21" s="10"/>
      <c r="L21" s="14"/>
      <c r="M21" s="10"/>
      <c r="N21" s="14"/>
      <c r="O21" s="10"/>
      <c r="T21">
        <v>17</v>
      </c>
      <c r="U21" s="29" t="s">
        <v>89</v>
      </c>
      <c r="V21" t="s">
        <v>77</v>
      </c>
      <c r="W21" s="28" t="s">
        <v>90</v>
      </c>
      <c r="Z21" s="34"/>
      <c r="AA21" s="40"/>
      <c r="AB21" s="40"/>
      <c r="AC21" s="38" t="s">
        <v>159</v>
      </c>
      <c r="AD21" s="48">
        <v>13</v>
      </c>
      <c r="AE21" s="53" t="str">
        <f t="shared" ca="1" si="2"/>
        <v>Venc.J5</v>
      </c>
      <c r="AF21" s="37" t="s">
        <v>157</v>
      </c>
      <c r="AG21" s="65">
        <f t="shared" ca="1" si="3"/>
        <v>0</v>
      </c>
      <c r="AH21" s="74"/>
    </row>
    <row r="22" spans="4:34" ht="13" thickBot="1">
      <c r="D22">
        <v>8</v>
      </c>
      <c r="E22" s="10"/>
      <c r="F22" s="11"/>
      <c r="G22" s="10"/>
      <c r="H22" s="10"/>
      <c r="I22" s="10"/>
      <c r="J22" s="14" t="s">
        <v>232</v>
      </c>
      <c r="K22" s="18" t="str">
        <f>IF(OR(I19="",I24=""),"",+IF(J19&gt;J24,I19,I24))</f>
        <v/>
      </c>
      <c r="L22" s="16"/>
      <c r="M22" s="10"/>
      <c r="N22" s="14"/>
      <c r="O22" s="10"/>
      <c r="T22">
        <v>18</v>
      </c>
      <c r="U22" s="29" t="s">
        <v>91</v>
      </c>
      <c r="V22" t="s">
        <v>77</v>
      </c>
      <c r="W22" s="28" t="s">
        <v>92</v>
      </c>
      <c r="Z22" s="34"/>
      <c r="AA22" s="40"/>
      <c r="AB22" s="40"/>
      <c r="AC22" s="38" t="s">
        <v>159</v>
      </c>
      <c r="AD22" s="48">
        <v>14</v>
      </c>
      <c r="AE22" s="53" t="str">
        <f t="shared" ca="1" si="2"/>
        <v>Venc.J6</v>
      </c>
      <c r="AF22" s="37" t="s">
        <v>157</v>
      </c>
      <c r="AG22" s="65" t="str">
        <f t="shared" ca="1" si="3"/>
        <v>Venc.J7</v>
      </c>
      <c r="AH22" s="74"/>
    </row>
    <row r="23" spans="4:34" ht="13" thickBot="1">
      <c r="E23" s="12"/>
      <c r="F23" s="13" t="s">
        <v>204</v>
      </c>
      <c r="G23" s="9" t="str">
        <f>IF(OR(F22="",F24=""),"",+IF(F22&gt;F24,E22,E24))</f>
        <v/>
      </c>
      <c r="H23" s="17"/>
      <c r="I23" s="10"/>
      <c r="J23" s="14"/>
      <c r="K23" s="10"/>
      <c r="L23" s="10"/>
      <c r="M23" s="10"/>
      <c r="N23" s="14"/>
      <c r="O23" s="10"/>
      <c r="T23">
        <v>19</v>
      </c>
      <c r="U23" s="29" t="s">
        <v>165</v>
      </c>
      <c r="V23" t="s">
        <v>77</v>
      </c>
      <c r="W23" s="28" t="s">
        <v>94</v>
      </c>
      <c r="Z23" s="34"/>
      <c r="AA23" s="40"/>
      <c r="AB23" s="40"/>
      <c r="AC23" s="38" t="s">
        <v>159</v>
      </c>
      <c r="AD23" s="48">
        <v>15</v>
      </c>
      <c r="AE23" s="53" t="str">
        <f t="shared" ca="1" si="2"/>
        <v>Venc.J8</v>
      </c>
      <c r="AF23" s="37" t="s">
        <v>157</v>
      </c>
      <c r="AG23" s="65" t="str">
        <f t="shared" ca="1" si="3"/>
        <v>Venc.J9</v>
      </c>
      <c r="AH23" s="74"/>
    </row>
    <row r="24" spans="4:34" ht="13" thickBot="1">
      <c r="D24">
        <v>9</v>
      </c>
      <c r="E24" s="9"/>
      <c r="F24" s="16"/>
      <c r="G24" s="10"/>
      <c r="H24" s="13" t="s">
        <v>219</v>
      </c>
      <c r="I24" s="9" t="str">
        <f>IF(OR(H23="",H26=""),"",+IF(H23&gt;H26,G23,G26))</f>
        <v/>
      </c>
      <c r="J24" s="16"/>
      <c r="K24" s="10"/>
      <c r="L24" s="10"/>
      <c r="M24" s="10"/>
      <c r="N24" s="14"/>
      <c r="O24" s="10"/>
      <c r="T24">
        <v>20</v>
      </c>
      <c r="U24" s="72" t="s">
        <v>276</v>
      </c>
      <c r="V24" t="s">
        <v>77</v>
      </c>
      <c r="W24" s="71" t="s">
        <v>277</v>
      </c>
      <c r="Z24" s="34"/>
      <c r="AA24" s="40"/>
      <c r="AB24" s="40"/>
      <c r="AC24" s="38" t="s">
        <v>159</v>
      </c>
      <c r="AD24" s="48">
        <v>16</v>
      </c>
      <c r="AE24" s="53" t="str">
        <f t="shared" ca="1" si="2"/>
        <v>Venc.J10</v>
      </c>
      <c r="AF24" s="37" t="s">
        <v>157</v>
      </c>
      <c r="AG24" s="65" t="str">
        <f t="shared" ca="1" si="3"/>
        <v>Venc.J11</v>
      </c>
      <c r="AH24" s="74"/>
    </row>
    <row r="25" spans="4:34">
      <c r="E25" s="10"/>
      <c r="F25" s="10"/>
      <c r="G25" s="10"/>
      <c r="H25" s="14"/>
      <c r="I25" s="10"/>
      <c r="J25" s="10"/>
      <c r="K25" s="10"/>
      <c r="L25" s="10"/>
      <c r="M25" s="10"/>
      <c r="N25" s="14"/>
      <c r="O25" s="10"/>
      <c r="T25">
        <v>21</v>
      </c>
      <c r="U25" s="29" t="s">
        <v>95</v>
      </c>
      <c r="V25" t="s">
        <v>77</v>
      </c>
      <c r="W25" s="28" t="s">
        <v>96</v>
      </c>
      <c r="Z25" s="34"/>
      <c r="AA25" s="40"/>
      <c r="AB25" s="40"/>
      <c r="AC25" s="38" t="s">
        <v>159</v>
      </c>
      <c r="AD25" s="48">
        <v>17</v>
      </c>
      <c r="AE25" s="53" t="str">
        <f t="shared" ca="1" si="2"/>
        <v>Venc.J12</v>
      </c>
      <c r="AF25" s="37" t="s">
        <v>157</v>
      </c>
      <c r="AG25" s="65" t="str">
        <f t="shared" ca="1" si="3"/>
        <v>Venc.J13</v>
      </c>
      <c r="AH25" s="74"/>
    </row>
    <row r="26" spans="4:34" ht="13" thickBot="1">
      <c r="D26">
        <v>10</v>
      </c>
      <c r="E26" s="9"/>
      <c r="F26" s="9"/>
      <c r="G26" s="9">
        <f>E26</f>
        <v>0</v>
      </c>
      <c r="H26" s="16"/>
      <c r="I26" s="10"/>
      <c r="J26" s="10"/>
      <c r="K26" s="10"/>
      <c r="L26" s="10"/>
      <c r="M26" s="10"/>
      <c r="N26" s="14"/>
      <c r="O26" s="10"/>
      <c r="Z26" s="34"/>
      <c r="AA26" s="40"/>
      <c r="AB26" s="40"/>
      <c r="AC26" s="38" t="s">
        <v>159</v>
      </c>
      <c r="AD26" s="48">
        <v>18</v>
      </c>
      <c r="AE26" s="53" t="str">
        <f t="shared" ca="1" si="2"/>
        <v>Venc.J14</v>
      </c>
      <c r="AF26" s="37" t="s">
        <v>157</v>
      </c>
      <c r="AG26" s="65" t="str">
        <f t="shared" ca="1" si="3"/>
        <v>Venc.J15</v>
      </c>
      <c r="AH26" s="74"/>
    </row>
    <row r="27" spans="4:34" ht="13" thickBot="1">
      <c r="E27" s="10"/>
      <c r="F27" s="10"/>
      <c r="G27" s="10"/>
      <c r="H27" s="10"/>
      <c r="I27" s="10"/>
      <c r="J27" s="10"/>
      <c r="K27" s="10"/>
      <c r="L27" s="10"/>
      <c r="M27" s="77" t="s">
        <v>278</v>
      </c>
      <c r="N27" s="70" t="s">
        <v>244</v>
      </c>
      <c r="O27" s="9" t="str">
        <f>IF(OR(N17="",N39=""),"",+IF(N17&gt;N39,M17,M39))</f>
        <v/>
      </c>
      <c r="U27" s="29"/>
      <c r="W27" s="28"/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Venc.J16</v>
      </c>
      <c r="AF27" s="37" t="s">
        <v>157</v>
      </c>
      <c r="AG27" s="65" t="str">
        <f t="shared" ca="1" si="3"/>
        <v>Venc.J17</v>
      </c>
      <c r="AH27" s="74"/>
    </row>
    <row r="28" spans="4:34" ht="13" thickBot="1">
      <c r="D28">
        <v>11</v>
      </c>
      <c r="E28" s="10"/>
      <c r="F28" s="9"/>
      <c r="G28" s="9">
        <f>E28</f>
        <v>0</v>
      </c>
      <c r="H28" s="11"/>
      <c r="I28" s="10"/>
      <c r="J28" s="10"/>
      <c r="K28" s="10"/>
      <c r="L28" s="10"/>
      <c r="M28" s="10"/>
      <c r="N28" s="14"/>
      <c r="O28" s="10"/>
      <c r="U28" s="29"/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Perd.J18</v>
      </c>
      <c r="AF28" s="37" t="s">
        <v>157</v>
      </c>
      <c r="AG28" s="65" t="str">
        <f t="shared" ca="1" si="3"/>
        <v>Perd.J19</v>
      </c>
      <c r="AH28" s="74"/>
    </row>
    <row r="29" spans="4:34">
      <c r="E29" s="12"/>
      <c r="F29" s="10"/>
      <c r="G29" s="10"/>
      <c r="H29" s="13"/>
      <c r="I29" s="10"/>
      <c r="J29" s="10"/>
      <c r="K29" s="10"/>
      <c r="L29" s="10"/>
      <c r="M29" s="10"/>
      <c r="N29" s="14"/>
      <c r="O29" s="10"/>
      <c r="Z29" s="34"/>
      <c r="AA29" s="40"/>
      <c r="AB29" s="40"/>
      <c r="AC29" s="38" t="s">
        <v>159</v>
      </c>
      <c r="AD29" s="48">
        <v>21</v>
      </c>
      <c r="AE29" s="53" t="str">
        <f t="shared" ca="1" si="2"/>
        <v>Venc.J18</v>
      </c>
      <c r="AF29" s="37" t="s">
        <v>157</v>
      </c>
      <c r="AG29" s="65" t="str">
        <f t="shared" ca="1" si="3"/>
        <v>Venc.J19</v>
      </c>
      <c r="AH29" s="74"/>
    </row>
    <row r="30" spans="4:34" ht="13" thickBot="1">
      <c r="E30" s="10"/>
      <c r="F30" s="10"/>
      <c r="G30" s="10"/>
      <c r="H30" s="14" t="s">
        <v>221</v>
      </c>
      <c r="I30" s="9" t="str">
        <f>IF(OR(H28="",H32=""),"",+IF(H28&gt;H32,G28,G32))</f>
        <v/>
      </c>
      <c r="J30" s="11"/>
      <c r="K30" s="10"/>
      <c r="L30" s="10"/>
      <c r="M30" s="10"/>
      <c r="N30" s="14"/>
      <c r="O30" s="10"/>
      <c r="U30" s="29"/>
      <c r="Z30" s="42"/>
      <c r="AA30" s="43"/>
      <c r="AB30" s="43"/>
      <c r="AC30" s="43"/>
      <c r="AD30" s="61"/>
      <c r="AE30" s="62"/>
      <c r="AF30" s="63"/>
      <c r="AG30" s="60"/>
      <c r="AH30" s="75"/>
    </row>
    <row r="31" spans="4:34" ht="13" thickBot="1">
      <c r="D31">
        <v>12</v>
      </c>
      <c r="E31" s="10"/>
      <c r="F31" s="11"/>
      <c r="G31" s="10"/>
      <c r="H31" s="14"/>
      <c r="I31" s="10"/>
      <c r="J31" s="13"/>
      <c r="K31" s="10"/>
      <c r="L31" s="10"/>
      <c r="M31" s="10"/>
      <c r="N31" s="14"/>
      <c r="O31" s="10"/>
    </row>
    <row r="32" spans="4:34" ht="13" thickBot="1">
      <c r="E32" s="12"/>
      <c r="F32" s="13" t="s">
        <v>206</v>
      </c>
      <c r="G32" s="9" t="str">
        <f>IF(OR(F31="",F33=""),"",+IF(F31&gt;F33,E31,E33))</f>
        <v/>
      </c>
      <c r="H32" s="16"/>
      <c r="I32" s="10"/>
      <c r="J32" s="14"/>
      <c r="K32" s="10"/>
      <c r="L32" s="10"/>
      <c r="M32" s="10"/>
      <c r="N32" s="14"/>
      <c r="O32" s="10"/>
    </row>
    <row r="33" spans="4:22" ht="13" thickBot="1">
      <c r="D33">
        <v>13</v>
      </c>
      <c r="E33" s="10"/>
      <c r="F33" s="16"/>
      <c r="G33" s="10"/>
      <c r="H33" s="10"/>
      <c r="I33" s="10"/>
      <c r="J33" s="14" t="s">
        <v>234</v>
      </c>
      <c r="K33" s="9" t="str">
        <f>IF(OR(J30="",J36=""),"",+IF(J30&gt;J36,I30,I36))</f>
        <v/>
      </c>
      <c r="L33" s="11"/>
      <c r="M33" s="10"/>
      <c r="N33" s="14"/>
      <c r="O33" s="10"/>
      <c r="V33" s="76"/>
    </row>
    <row r="34" spans="4:22">
      <c r="E34" s="12"/>
      <c r="F34" s="10"/>
      <c r="G34" s="10"/>
      <c r="H34" s="10"/>
      <c r="I34" s="10"/>
      <c r="J34" s="14"/>
      <c r="K34" s="10"/>
      <c r="L34" s="13"/>
      <c r="M34" s="10"/>
      <c r="N34" s="14"/>
      <c r="O34" s="10"/>
    </row>
    <row r="35" spans="4:22" ht="13" thickBot="1">
      <c r="D35">
        <v>14</v>
      </c>
      <c r="E35" s="9"/>
      <c r="F35" s="9"/>
      <c r="G35" s="9">
        <f>E35</f>
        <v>0</v>
      </c>
      <c r="H35" s="11"/>
      <c r="I35" s="10"/>
      <c r="J35" s="14"/>
      <c r="K35" s="10"/>
      <c r="L35" s="14"/>
      <c r="M35" s="10"/>
      <c r="N35" s="14"/>
      <c r="O35" s="10"/>
    </row>
    <row r="36" spans="4:22" ht="13" thickBot="1">
      <c r="E36" s="10"/>
      <c r="F36" s="10"/>
      <c r="G36" s="10"/>
      <c r="H36" s="13" t="s">
        <v>223</v>
      </c>
      <c r="I36" s="9" t="str">
        <f>IF(OR(H35="",H37=""),"",+IF(H35&gt;H37,E35,E37))</f>
        <v/>
      </c>
      <c r="J36" s="16"/>
      <c r="K36" s="10"/>
      <c r="L36" s="14"/>
      <c r="M36" s="10"/>
      <c r="N36" s="14"/>
      <c r="O36" s="10"/>
    </row>
    <row r="37" spans="4:22" ht="13" thickBot="1">
      <c r="D37">
        <v>15</v>
      </c>
      <c r="E37" s="9"/>
      <c r="F37" s="9"/>
      <c r="G37" s="9">
        <f>E37</f>
        <v>0</v>
      </c>
      <c r="H37" s="16"/>
      <c r="I37" s="10"/>
      <c r="J37" s="10"/>
      <c r="K37" s="10"/>
      <c r="L37" s="14"/>
      <c r="M37" s="10"/>
      <c r="N37" s="14"/>
      <c r="O37" s="10"/>
    </row>
    <row r="38" spans="4:22">
      <c r="E38" s="10"/>
      <c r="F38" s="10"/>
      <c r="G38" s="10"/>
      <c r="H38" s="10"/>
      <c r="I38" s="10"/>
      <c r="J38" s="10"/>
      <c r="K38" s="10"/>
      <c r="L38" s="14"/>
      <c r="M38" s="10"/>
      <c r="N38" s="14"/>
      <c r="O38" s="10"/>
    </row>
    <row r="39" spans="4:22" ht="13" thickBot="1">
      <c r="D39">
        <v>16</v>
      </c>
      <c r="E39" s="10"/>
      <c r="F39" s="9"/>
      <c r="G39" s="9">
        <f>E39</f>
        <v>0</v>
      </c>
      <c r="H39" s="11"/>
      <c r="I39" s="10"/>
      <c r="J39" s="10"/>
      <c r="K39" s="10"/>
      <c r="L39" s="14" t="s">
        <v>240</v>
      </c>
      <c r="M39" s="9" t="str">
        <f>IF(OR(L33="",L45=""),"",+IF(L33&gt;L416,K33,K45))</f>
        <v/>
      </c>
      <c r="N39" s="16"/>
      <c r="O39" s="10"/>
    </row>
    <row r="40" spans="4:22">
      <c r="E40" s="12"/>
      <c r="F40" s="10"/>
      <c r="G40" s="10"/>
      <c r="H40" s="13"/>
      <c r="I40" s="10"/>
      <c r="J40" s="10"/>
      <c r="K40" s="10"/>
      <c r="L40" s="14"/>
      <c r="M40" s="10"/>
      <c r="N40" s="10"/>
      <c r="O40" s="10"/>
    </row>
    <row r="41" spans="4:22" ht="13" thickBot="1">
      <c r="E41" s="10"/>
      <c r="F41" s="10"/>
      <c r="G41" s="10"/>
      <c r="H41" s="14" t="s">
        <v>225</v>
      </c>
      <c r="I41" s="9" t="str">
        <f>IF(OR(H39="",H43=""),"",+IF(H39&gt;H43,G39,G43))</f>
        <v/>
      </c>
      <c r="J41" s="11"/>
      <c r="K41" s="10"/>
      <c r="L41" s="14"/>
      <c r="M41" s="10"/>
      <c r="N41" s="10"/>
      <c r="O41" s="10"/>
    </row>
    <row r="42" spans="4:22" ht="13" thickBot="1">
      <c r="D42">
        <v>17</v>
      </c>
      <c r="E42" s="10"/>
      <c r="F42" s="11"/>
      <c r="G42" s="10"/>
      <c r="H42" s="14"/>
      <c r="I42" s="10"/>
      <c r="J42" s="13"/>
      <c r="K42" s="10"/>
      <c r="L42" s="14"/>
      <c r="M42" s="10"/>
      <c r="N42" s="10"/>
      <c r="O42" s="10"/>
    </row>
    <row r="43" spans="4:22" ht="13" thickBot="1">
      <c r="E43" s="12"/>
      <c r="F43" s="13" t="s">
        <v>208</v>
      </c>
      <c r="G43" s="9" t="str">
        <f>IF(OR(F42="",F44=""),"",+IF(F42&gt;F44,E42,E44))</f>
        <v/>
      </c>
      <c r="H43" s="16"/>
      <c r="I43" s="10"/>
      <c r="J43" s="14"/>
      <c r="K43" s="10"/>
      <c r="L43" s="14"/>
      <c r="M43" s="10"/>
      <c r="N43" s="10"/>
      <c r="O43" s="10"/>
    </row>
    <row r="44" spans="4:22" ht="13" thickBot="1">
      <c r="D44">
        <v>18</v>
      </c>
      <c r="E44" s="10"/>
      <c r="F44" s="16"/>
      <c r="G44" s="10"/>
      <c r="H44" s="10"/>
      <c r="I44" s="10"/>
      <c r="J44" s="14"/>
      <c r="K44" s="10"/>
      <c r="L44" s="14"/>
      <c r="M44" s="10"/>
      <c r="N44" s="10"/>
      <c r="O44" s="10"/>
    </row>
    <row r="45" spans="4:22" ht="13" thickBot="1">
      <c r="E45" s="12"/>
      <c r="F45" s="10"/>
      <c r="G45" s="10"/>
      <c r="H45" s="10"/>
      <c r="I45" s="10"/>
      <c r="J45" s="14" t="s">
        <v>236</v>
      </c>
      <c r="K45" s="9" t="str">
        <f>IF(OR(J41="",J49=""),"",+IF(J41&gt;J49,I41,I49))</f>
        <v/>
      </c>
      <c r="L45" s="16"/>
      <c r="M45" s="10"/>
      <c r="N45" s="10"/>
      <c r="O45" s="10"/>
    </row>
    <row r="46" spans="4:22" ht="13" thickBot="1">
      <c r="D46">
        <v>19</v>
      </c>
      <c r="E46" s="10"/>
      <c r="F46" s="11"/>
      <c r="G46" s="10"/>
      <c r="H46" s="10"/>
      <c r="I46" s="10"/>
      <c r="J46" s="14"/>
      <c r="K46" s="10"/>
      <c r="L46" s="10"/>
      <c r="M46" s="10"/>
      <c r="N46" s="10"/>
      <c r="O46" s="10"/>
    </row>
    <row r="47" spans="4:22" ht="13" thickBot="1">
      <c r="E47" s="12"/>
      <c r="F47" s="13" t="s">
        <v>210</v>
      </c>
      <c r="G47" s="9" t="str">
        <f>IF(OR(F46="",F48=""),"",+IF(F46&gt;F48,E46,E48))</f>
        <v/>
      </c>
      <c r="H47" s="11"/>
      <c r="I47" s="10"/>
      <c r="J47" s="14"/>
      <c r="K47" s="10"/>
      <c r="L47" s="10"/>
      <c r="M47" s="10"/>
      <c r="N47" s="10"/>
      <c r="O47" s="10"/>
    </row>
    <row r="48" spans="4:22" ht="13" thickBot="1">
      <c r="D48">
        <v>20</v>
      </c>
      <c r="E48" s="9"/>
      <c r="F48" s="16"/>
      <c r="G48" s="10"/>
      <c r="H48" s="13"/>
      <c r="I48" s="10"/>
      <c r="J48" s="14"/>
      <c r="K48" s="10"/>
      <c r="L48" s="10"/>
      <c r="M48" s="10"/>
      <c r="N48" s="10"/>
      <c r="O48" s="10"/>
    </row>
    <row r="49" spans="4:15" ht="13" thickBot="1">
      <c r="E49" s="10"/>
      <c r="F49" s="10"/>
      <c r="G49" s="10"/>
      <c r="H49" s="14" t="s">
        <v>227</v>
      </c>
      <c r="I49" s="9" t="str">
        <f>IF(OR(H47="",H50=""),"",+IF(H47&gt;H50,G47,E50))</f>
        <v/>
      </c>
      <c r="J49" s="16"/>
      <c r="K49" s="10"/>
      <c r="L49" s="10"/>
      <c r="M49" s="10"/>
      <c r="N49" s="10"/>
      <c r="O49" s="10"/>
    </row>
    <row r="50" spans="4:15" ht="13" thickBot="1">
      <c r="D50">
        <v>21</v>
      </c>
      <c r="E50" s="9"/>
      <c r="F50" s="9"/>
      <c r="G50" s="9">
        <f>E50</f>
        <v>0</v>
      </c>
      <c r="H50" s="16"/>
      <c r="I50" s="10"/>
      <c r="J50" s="10"/>
      <c r="K50" s="10"/>
      <c r="L50" s="10"/>
      <c r="M50" s="10"/>
      <c r="N50" s="10"/>
      <c r="O50" s="10"/>
    </row>
    <row r="51" spans="4:15" ht="13" thickBot="1">
      <c r="M51" s="9" t="str">
        <f>IF(OR(L49="",L53=""),"",+IF(L49&gt;L53,K49,K53))</f>
        <v/>
      </c>
      <c r="N51" s="11"/>
      <c r="O51" s="10"/>
    </row>
    <row r="52" spans="4:15">
      <c r="M52" s="10"/>
      <c r="N52" s="13"/>
      <c r="O52" s="10"/>
    </row>
    <row r="53" spans="4:15">
      <c r="M53" s="10"/>
      <c r="N53" s="14"/>
      <c r="O53" s="10"/>
    </row>
    <row r="54" spans="4:15" ht="13" thickBot="1">
      <c r="M54" s="77" t="s">
        <v>279</v>
      </c>
      <c r="N54" s="70" t="s">
        <v>242</v>
      </c>
      <c r="O54" s="9" t="str">
        <f>IF(OR(N51="",N57=""),"",+IF(N51&gt;N57,M51,M57))</f>
        <v/>
      </c>
    </row>
    <row r="55" spans="4:15">
      <c r="M55" s="10"/>
      <c r="N55" s="14"/>
      <c r="O55" s="12"/>
    </row>
    <row r="56" spans="4:15">
      <c r="M56" s="10"/>
      <c r="N56" s="14"/>
      <c r="O56" s="10"/>
    </row>
    <row r="57" spans="4:15" ht="13" thickBot="1">
      <c r="M57" s="9" t="str">
        <f>IF(OR(L56="",L58=""),"",+IF(L56&gt;L58,I56,I58))</f>
        <v/>
      </c>
      <c r="N57" s="16"/>
      <c r="O57" s="10"/>
    </row>
    <row r="58" spans="4:15">
      <c r="M58" s="10"/>
      <c r="N58" s="10"/>
      <c r="O58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Plan18"/>
  <dimension ref="D4:AH61"/>
  <sheetViews>
    <sheetView showGridLines="0" topLeftCell="A12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3.6445312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>
        <f>E10</f>
        <v>0</v>
      </c>
      <c r="V5" t="s">
        <v>77</v>
      </c>
      <c r="W5" s="29">
        <f>E12</f>
        <v>0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>
        <f>E22</f>
        <v>0</v>
      </c>
      <c r="V6" t="s">
        <v>77</v>
      </c>
      <c r="W6" s="29">
        <f>E24</f>
        <v>0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>
        <f>E31</f>
        <v>0</v>
      </c>
      <c r="V7" t="s">
        <v>77</v>
      </c>
      <c r="W7" s="29">
        <f>E33</f>
        <v>0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>
        <f>E43</f>
        <v>0</v>
      </c>
      <c r="V8" t="s">
        <v>77</v>
      </c>
      <c r="W8" s="29">
        <f>E45</f>
        <v>0</v>
      </c>
      <c r="Z8" s="34"/>
      <c r="AA8" s="37" t="s">
        <v>154</v>
      </c>
      <c r="AB8" s="37" t="s">
        <v>155</v>
      </c>
      <c r="AC8" s="105"/>
      <c r="AD8" s="106"/>
      <c r="AE8" s="55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210</v>
      </c>
      <c r="I9" s="9" t="str">
        <f>IF(OR(H7="",H11=""),"",+IF(H7&gt;H11,G7,G11))</f>
        <v/>
      </c>
      <c r="J9" s="11"/>
      <c r="K9" s="10"/>
      <c r="L9" s="10"/>
      <c r="M9" s="10"/>
      <c r="N9" s="10"/>
      <c r="O9" s="10"/>
      <c r="T9">
        <v>5</v>
      </c>
      <c r="U9" s="28">
        <f>E7</f>
        <v>0</v>
      </c>
      <c r="V9" t="s">
        <v>77</v>
      </c>
      <c r="W9" s="29" t="s">
        <v>78</v>
      </c>
      <c r="Z9" s="34"/>
      <c r="AA9" s="40"/>
      <c r="AB9" s="40"/>
      <c r="AC9" s="38" t="s">
        <v>159</v>
      </c>
      <c r="AD9" s="48">
        <v>1</v>
      </c>
      <c r="AE9" s="53">
        <f t="shared" ref="AE9:AE19" ca="1" si="0">LOOKUP(AD9,T$5:T$78,U$5:U$26)</f>
        <v>0</v>
      </c>
      <c r="AF9" s="37" t="s">
        <v>157</v>
      </c>
      <c r="AG9" s="65">
        <f t="shared" ref="AG9:AG19" ca="1" si="1">LOOKUP(AD9,T$5:T$78,W$5:W$26)</f>
        <v>0</v>
      </c>
      <c r="AH9" s="74"/>
    </row>
    <row r="10" spans="4:34" ht="13" thickBot="1">
      <c r="D10">
        <v>2</v>
      </c>
      <c r="E10" s="10"/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>
        <f>E14</f>
        <v>0</v>
      </c>
      <c r="V10" t="s">
        <v>77</v>
      </c>
      <c r="W10" s="29">
        <f>E16</f>
        <v>0</v>
      </c>
      <c r="Z10" s="34"/>
      <c r="AA10" s="40"/>
      <c r="AB10" s="40"/>
      <c r="AC10" s="38" t="s">
        <v>159</v>
      </c>
      <c r="AD10" s="48">
        <v>2</v>
      </c>
      <c r="AE10" s="53">
        <f t="shared" ca="1" si="0"/>
        <v>0</v>
      </c>
      <c r="AF10" s="37" t="s">
        <v>157</v>
      </c>
      <c r="AG10" s="65">
        <f t="shared" ca="1" si="1"/>
        <v>0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>
        <f>E18</f>
        <v>0</v>
      </c>
      <c r="V11" t="s">
        <v>77</v>
      </c>
      <c r="W11" s="29">
        <f>E20</f>
        <v>0</v>
      </c>
      <c r="Z11" s="34"/>
      <c r="AA11" s="40"/>
      <c r="AB11" s="40"/>
      <c r="AC11" s="38" t="s">
        <v>159</v>
      </c>
      <c r="AD11" s="48">
        <v>3</v>
      </c>
      <c r="AE11" s="53">
        <f t="shared" ca="1" si="0"/>
        <v>0</v>
      </c>
      <c r="AF11" s="37" t="s">
        <v>157</v>
      </c>
      <c r="AG11" s="65">
        <f t="shared" ca="1" si="1"/>
        <v>0</v>
      </c>
      <c r="AH11" s="74"/>
    </row>
    <row r="12" spans="4:34" ht="13" thickBot="1">
      <c r="D12">
        <v>3</v>
      </c>
      <c r="E12" s="10"/>
      <c r="F12" s="16"/>
      <c r="G12" s="10"/>
      <c r="H12" s="10"/>
      <c r="I12" s="10"/>
      <c r="J12" s="14" t="s">
        <v>227</v>
      </c>
      <c r="K12" s="9" t="str">
        <f>IF(OR(J9="",J15=""),"",+IF(J9&gt;J15,I9,I15))</f>
        <v/>
      </c>
      <c r="L12" s="11"/>
      <c r="M12" s="10"/>
      <c r="N12" s="10"/>
      <c r="O12" s="10"/>
      <c r="T12">
        <v>8</v>
      </c>
      <c r="U12" s="28" t="s">
        <v>160</v>
      </c>
      <c r="V12" t="s">
        <v>77</v>
      </c>
      <c r="W12" s="29">
        <f>E26</f>
        <v>0</v>
      </c>
      <c r="Z12" s="34"/>
      <c r="AA12" s="40"/>
      <c r="AB12" s="40"/>
      <c r="AC12" s="38" t="s">
        <v>159</v>
      </c>
      <c r="AD12" s="48">
        <v>4</v>
      </c>
      <c r="AE12" s="53">
        <f t="shared" ca="1" si="0"/>
        <v>0</v>
      </c>
      <c r="AF12" s="37" t="s">
        <v>157</v>
      </c>
      <c r="AG12" s="65">
        <f t="shared" ca="1" si="1"/>
        <v>0</v>
      </c>
      <c r="AH12" s="74"/>
    </row>
    <row r="13" spans="4:34">
      <c r="E13" s="12"/>
      <c r="F13" s="10"/>
      <c r="G13" s="10"/>
      <c r="H13" s="10"/>
      <c r="I13" s="10"/>
      <c r="J13" s="14"/>
      <c r="K13" s="12"/>
      <c r="L13" s="13"/>
      <c r="M13" s="10"/>
      <c r="N13" s="10"/>
      <c r="O13" s="10"/>
      <c r="T13">
        <v>9</v>
      </c>
      <c r="U13" s="28">
        <f>E28</f>
        <v>0</v>
      </c>
      <c r="V13" t="s">
        <v>77</v>
      </c>
      <c r="W13" s="29" t="s">
        <v>161</v>
      </c>
      <c r="Z13" s="34"/>
      <c r="AA13" s="40"/>
      <c r="AB13" s="40"/>
      <c r="AC13" s="38" t="s">
        <v>159</v>
      </c>
      <c r="AD13" s="48">
        <v>5</v>
      </c>
      <c r="AE13" s="53">
        <f t="shared" ca="1" si="0"/>
        <v>0</v>
      </c>
      <c r="AF13" s="37" t="s">
        <v>157</v>
      </c>
      <c r="AG13" s="65" t="str">
        <f t="shared" ca="1" si="1"/>
        <v>Venc.J1</v>
      </c>
      <c r="AH13" s="74"/>
    </row>
    <row r="14" spans="4:34" ht="13" thickBot="1">
      <c r="D14">
        <v>4</v>
      </c>
      <c r="E14" s="9"/>
      <c r="F14" s="9"/>
      <c r="G14" s="9">
        <f>E14</f>
        <v>0</v>
      </c>
      <c r="H14" s="11"/>
      <c r="I14" s="10"/>
      <c r="J14" s="14"/>
      <c r="K14" s="10"/>
      <c r="L14" s="14"/>
      <c r="M14" s="10"/>
      <c r="N14" s="10"/>
      <c r="O14" s="10"/>
      <c r="T14">
        <v>10</v>
      </c>
      <c r="U14" s="28">
        <f>E35</f>
        <v>0</v>
      </c>
      <c r="V14" t="s">
        <v>77</v>
      </c>
      <c r="W14" s="29">
        <f>E37</f>
        <v>0</v>
      </c>
      <c r="Z14" s="34"/>
      <c r="AA14" s="40"/>
      <c r="AB14" s="40"/>
      <c r="AC14" s="38" t="s">
        <v>159</v>
      </c>
      <c r="AD14" s="48">
        <v>6</v>
      </c>
      <c r="AE14" s="53">
        <f t="shared" ca="1" si="0"/>
        <v>0</v>
      </c>
      <c r="AF14" s="37" t="s">
        <v>157</v>
      </c>
      <c r="AG14" s="65">
        <f t="shared" ca="1" si="1"/>
        <v>0</v>
      </c>
      <c r="AH14" s="74"/>
    </row>
    <row r="15" spans="4:34" ht="13" thickBot="1">
      <c r="E15" s="10"/>
      <c r="F15" s="10"/>
      <c r="G15" s="10"/>
      <c r="H15" s="13" t="s">
        <v>212</v>
      </c>
      <c r="I15" s="9" t="str">
        <f>IF(OR(H14="",H16=""),"",+IF(H14&gt;H16,E14,E16))</f>
        <v/>
      </c>
      <c r="J15" s="16"/>
      <c r="K15" s="10"/>
      <c r="L15" s="14"/>
      <c r="M15" s="10"/>
      <c r="N15" s="10"/>
      <c r="O15" s="10"/>
      <c r="T15">
        <v>11</v>
      </c>
      <c r="U15" s="28">
        <f>E39</f>
        <v>0</v>
      </c>
      <c r="V15" t="s">
        <v>77</v>
      </c>
      <c r="W15" s="29">
        <f>E41</f>
        <v>0</v>
      </c>
      <c r="Z15" s="34"/>
      <c r="AA15" s="40"/>
      <c r="AB15" s="40"/>
      <c r="AC15" s="38" t="s">
        <v>159</v>
      </c>
      <c r="AD15" s="48">
        <v>7</v>
      </c>
      <c r="AE15" s="53">
        <f t="shared" ca="1" si="0"/>
        <v>0</v>
      </c>
      <c r="AF15" s="37" t="s">
        <v>157</v>
      </c>
      <c r="AG15" s="65">
        <f t="shared" ca="1" si="1"/>
        <v>0</v>
      </c>
      <c r="AH15" s="74"/>
    </row>
    <row r="16" spans="4:34" ht="13" thickBot="1">
      <c r="D16">
        <v>5</v>
      </c>
      <c r="E16" s="9"/>
      <c r="F16" s="9"/>
      <c r="G16" s="9">
        <f>E16</f>
        <v>0</v>
      </c>
      <c r="H16" s="16"/>
      <c r="I16" s="10"/>
      <c r="J16" s="10"/>
      <c r="K16" s="10"/>
      <c r="L16" s="14"/>
      <c r="M16" s="10"/>
      <c r="N16" s="10"/>
      <c r="O16" s="10"/>
      <c r="T16">
        <v>12</v>
      </c>
      <c r="U16" s="28" t="s">
        <v>81</v>
      </c>
      <c r="V16" t="s">
        <v>77</v>
      </c>
      <c r="W16" s="29">
        <f>E47</f>
        <v>0</v>
      </c>
      <c r="Z16" s="34"/>
      <c r="AA16" s="40"/>
      <c r="AB16" s="40"/>
      <c r="AC16" s="38" t="s">
        <v>159</v>
      </c>
      <c r="AD16" s="48">
        <v>8</v>
      </c>
      <c r="AE16" s="53" t="str">
        <f t="shared" ca="1" si="0"/>
        <v>Venc.J2</v>
      </c>
      <c r="AF16" s="37" t="s">
        <v>157</v>
      </c>
      <c r="AG16" s="65">
        <f t="shared" ca="1" si="1"/>
        <v>0</v>
      </c>
      <c r="AH16" s="74"/>
    </row>
    <row r="17" spans="4:34" ht="13" thickBot="1">
      <c r="E17" s="10"/>
      <c r="F17" s="10"/>
      <c r="G17" s="10"/>
      <c r="H17" s="10"/>
      <c r="I17" s="10"/>
      <c r="J17" s="10"/>
      <c r="K17" s="10"/>
      <c r="L17" s="14" t="s">
        <v>236</v>
      </c>
      <c r="M17" s="9" t="str">
        <f>IF(OR(L12="",L22=""),"",+IF(L12&gt;L22,K12,K22))</f>
        <v/>
      </c>
      <c r="N17" s="11"/>
      <c r="O17" s="10"/>
      <c r="T17">
        <v>13</v>
      </c>
      <c r="U17" s="28" t="s">
        <v>162</v>
      </c>
      <c r="V17" t="s">
        <v>77</v>
      </c>
      <c r="W17" s="29" t="s">
        <v>163</v>
      </c>
      <c r="Z17" s="34"/>
      <c r="AA17" s="40"/>
      <c r="AB17" s="40"/>
      <c r="AC17" s="38" t="s">
        <v>159</v>
      </c>
      <c r="AD17" s="48">
        <v>9</v>
      </c>
      <c r="AE17" s="53">
        <f t="shared" ca="1" si="0"/>
        <v>0</v>
      </c>
      <c r="AF17" s="37" t="s">
        <v>157</v>
      </c>
      <c r="AG17" s="65" t="str">
        <f t="shared" ca="1" si="1"/>
        <v>Venc.J3</v>
      </c>
      <c r="AH17" s="74"/>
    </row>
    <row r="18" spans="4:34" ht="13" thickBot="1">
      <c r="D18">
        <v>6</v>
      </c>
      <c r="E18" s="9"/>
      <c r="F18" s="9"/>
      <c r="G18" s="9">
        <f>E18</f>
        <v>0</v>
      </c>
      <c r="H18" s="11"/>
      <c r="I18" s="10"/>
      <c r="J18" s="10"/>
      <c r="K18" s="10"/>
      <c r="L18" s="14"/>
      <c r="M18" s="10"/>
      <c r="N18" s="13"/>
      <c r="O18" s="10"/>
      <c r="T18">
        <v>14</v>
      </c>
      <c r="U18" s="28" t="s">
        <v>84</v>
      </c>
      <c r="V18" t="s">
        <v>77</v>
      </c>
      <c r="W18" s="29" t="s">
        <v>164</v>
      </c>
      <c r="Z18" s="34"/>
      <c r="AA18" s="40"/>
      <c r="AB18" s="40"/>
      <c r="AC18" s="38" t="s">
        <v>159</v>
      </c>
      <c r="AD18" s="48">
        <v>10</v>
      </c>
      <c r="AE18" s="53">
        <f t="shared" ca="1" si="0"/>
        <v>0</v>
      </c>
      <c r="AF18" s="37" t="s">
        <v>157</v>
      </c>
      <c r="AG18" s="65">
        <f t="shared" ca="1" si="1"/>
        <v>0</v>
      </c>
      <c r="AH18" s="74"/>
    </row>
    <row r="19" spans="4:34" ht="13" thickBot="1">
      <c r="E19" s="10"/>
      <c r="F19" s="10"/>
      <c r="G19" s="10"/>
      <c r="H19" s="13" t="s">
        <v>214</v>
      </c>
      <c r="I19" s="9" t="str">
        <f>IF(OR(H18="",H20=""),"",+IF(H18&gt;H20,E18,E20))</f>
        <v/>
      </c>
      <c r="J19" s="17"/>
      <c r="K19" s="10"/>
      <c r="L19" s="14"/>
      <c r="M19" s="10"/>
      <c r="N19" s="14"/>
      <c r="O19" s="10"/>
      <c r="T19">
        <v>15</v>
      </c>
      <c r="U19" s="28" t="s">
        <v>86</v>
      </c>
      <c r="V19" t="s">
        <v>77</v>
      </c>
      <c r="W19" s="29" t="s">
        <v>87</v>
      </c>
      <c r="Z19" s="34"/>
      <c r="AA19" s="40"/>
      <c r="AB19" s="40"/>
      <c r="AC19" s="38" t="s">
        <v>159</v>
      </c>
      <c r="AD19" s="48">
        <v>11</v>
      </c>
      <c r="AE19" s="53">
        <f t="shared" ca="1" si="0"/>
        <v>0</v>
      </c>
      <c r="AF19" s="37" t="s">
        <v>157</v>
      </c>
      <c r="AG19" s="65">
        <f t="shared" ca="1" si="1"/>
        <v>0</v>
      </c>
      <c r="AH19" s="74"/>
    </row>
    <row r="20" spans="4:34" ht="13" thickBot="1">
      <c r="D20">
        <v>7</v>
      </c>
      <c r="E20" s="9"/>
      <c r="F20" s="9"/>
      <c r="G20" s="9">
        <f>E20</f>
        <v>0</v>
      </c>
      <c r="H20" s="16"/>
      <c r="I20" s="10"/>
      <c r="J20" s="13"/>
      <c r="K20" s="10"/>
      <c r="L20" s="14"/>
      <c r="M20" s="10"/>
      <c r="N20" s="14"/>
      <c r="O20" s="10"/>
      <c r="T20">
        <v>16</v>
      </c>
      <c r="U20" s="28" t="s">
        <v>88</v>
      </c>
      <c r="V20" t="s">
        <v>77</v>
      </c>
      <c r="W20" s="29" t="s">
        <v>89</v>
      </c>
      <c r="Z20" s="34"/>
      <c r="AA20" s="40"/>
      <c r="AB20" s="40"/>
      <c r="AC20" s="38" t="s">
        <v>159</v>
      </c>
      <c r="AD20" s="48">
        <v>12</v>
      </c>
      <c r="AE20" s="53" t="str">
        <f t="shared" ref="AE20:AE28" ca="1" si="2">LOOKUP(AD20,T$5:T$78,U$5:U$26)</f>
        <v>Venc.J4</v>
      </c>
      <c r="AF20" s="37" t="s">
        <v>157</v>
      </c>
      <c r="AG20" s="65">
        <f t="shared" ref="AG20:AG28" ca="1" si="3">LOOKUP(AD20,T$5:T$78,W$5:W$26)</f>
        <v>0</v>
      </c>
      <c r="AH20" s="74"/>
    </row>
    <row r="21" spans="4:34">
      <c r="E21" s="10"/>
      <c r="F21" s="10"/>
      <c r="G21" s="10"/>
      <c r="H21" s="10"/>
      <c r="I21" s="10"/>
      <c r="J21" s="14"/>
      <c r="K21" s="10"/>
      <c r="L21" s="14"/>
      <c r="M21" s="10"/>
      <c r="N21" s="14"/>
      <c r="O21" s="10"/>
      <c r="T21">
        <v>17</v>
      </c>
      <c r="U21" s="28" t="s">
        <v>90</v>
      </c>
      <c r="V21" t="s">
        <v>77</v>
      </c>
      <c r="W21" s="29" t="s">
        <v>91</v>
      </c>
      <c r="Z21" s="34"/>
      <c r="AA21" s="40"/>
      <c r="AB21" s="40"/>
      <c r="AC21" s="38" t="s">
        <v>159</v>
      </c>
      <c r="AD21" s="48">
        <v>13</v>
      </c>
      <c r="AE21" s="53" t="str">
        <f t="shared" ca="1" si="2"/>
        <v>Venc.J5</v>
      </c>
      <c r="AF21" s="37" t="s">
        <v>157</v>
      </c>
      <c r="AG21" s="65" t="str">
        <f t="shared" ca="1" si="3"/>
        <v>Venc.J6</v>
      </c>
      <c r="AH21" s="74"/>
    </row>
    <row r="22" spans="4:34" ht="13" thickBot="1">
      <c r="D22">
        <v>8</v>
      </c>
      <c r="E22" s="10"/>
      <c r="F22" s="11"/>
      <c r="G22" s="10"/>
      <c r="H22" s="10"/>
      <c r="I22" s="10"/>
      <c r="J22" s="14" t="s">
        <v>229</v>
      </c>
      <c r="K22" s="18" t="str">
        <f>IF(OR(I19="",I24=""),"",+IF(J19&gt;J24,I19,I24))</f>
        <v/>
      </c>
      <c r="L22" s="16"/>
      <c r="M22" s="10"/>
      <c r="N22" s="14"/>
      <c r="O22" s="10"/>
      <c r="T22">
        <v>18</v>
      </c>
      <c r="U22" s="28" t="s">
        <v>92</v>
      </c>
      <c r="V22" t="s">
        <v>77</v>
      </c>
      <c r="W22" s="29" t="s">
        <v>165</v>
      </c>
      <c r="Z22" s="34"/>
      <c r="AA22" s="40"/>
      <c r="AB22" s="40"/>
      <c r="AC22" s="38" t="s">
        <v>159</v>
      </c>
      <c r="AD22" s="48">
        <v>14</v>
      </c>
      <c r="AE22" s="53" t="str">
        <f t="shared" ca="1" si="2"/>
        <v>Venc.J7</v>
      </c>
      <c r="AF22" s="37" t="s">
        <v>157</v>
      </c>
      <c r="AG22" s="65" t="str">
        <f t="shared" ca="1" si="3"/>
        <v>Venc.J8</v>
      </c>
      <c r="AH22" s="74"/>
    </row>
    <row r="23" spans="4:34" ht="13" thickBot="1">
      <c r="E23" s="12"/>
      <c r="F23" s="13" t="s">
        <v>204</v>
      </c>
      <c r="G23" s="9" t="str">
        <f>IF(OR(F22="",F24=""),"",+IF(F22&gt;F24,E22,E24))</f>
        <v/>
      </c>
      <c r="H23" s="17"/>
      <c r="I23" s="10"/>
      <c r="J23" s="14"/>
      <c r="K23" s="10"/>
      <c r="L23" s="10"/>
      <c r="M23" s="10"/>
      <c r="N23" s="14"/>
      <c r="O23" s="10"/>
      <c r="T23">
        <v>19</v>
      </c>
      <c r="U23" s="28" t="s">
        <v>94</v>
      </c>
      <c r="V23" t="s">
        <v>77</v>
      </c>
      <c r="W23" s="29" t="s">
        <v>95</v>
      </c>
      <c r="Z23" s="34"/>
      <c r="AA23" s="40"/>
      <c r="AB23" s="40"/>
      <c r="AC23" s="38" t="s">
        <v>159</v>
      </c>
      <c r="AD23" s="48">
        <v>15</v>
      </c>
      <c r="AE23" s="53" t="str">
        <f t="shared" ca="1" si="2"/>
        <v>Venc.J9</v>
      </c>
      <c r="AF23" s="37" t="s">
        <v>157</v>
      </c>
      <c r="AG23" s="65" t="str">
        <f t="shared" ca="1" si="3"/>
        <v>Venc.J10</v>
      </c>
      <c r="AH23" s="74"/>
    </row>
    <row r="24" spans="4:34" ht="13" thickBot="1">
      <c r="D24">
        <v>9</v>
      </c>
      <c r="E24" s="9"/>
      <c r="F24" s="16"/>
      <c r="G24" s="10"/>
      <c r="H24" s="13" t="s">
        <v>217</v>
      </c>
      <c r="I24" s="9" t="str">
        <f>IF(OR(H23="",H26=""),"",+IF(H23&gt;H26,G23,G26))</f>
        <v/>
      </c>
      <c r="J24" s="16"/>
      <c r="K24" s="10"/>
      <c r="L24" s="10"/>
      <c r="M24" s="10"/>
      <c r="N24" s="14"/>
      <c r="O24" s="10"/>
      <c r="Z24" s="34"/>
      <c r="AA24" s="40"/>
      <c r="AB24" s="40"/>
      <c r="AC24" s="38" t="s">
        <v>159</v>
      </c>
      <c r="AD24" s="48">
        <v>16</v>
      </c>
      <c r="AE24" s="53" t="str">
        <f t="shared" ca="1" si="2"/>
        <v>Venc.J11</v>
      </c>
      <c r="AF24" s="37" t="s">
        <v>157</v>
      </c>
      <c r="AG24" s="65" t="str">
        <f t="shared" ca="1" si="3"/>
        <v>Venc.J12</v>
      </c>
      <c r="AH24" s="74"/>
    </row>
    <row r="25" spans="4:34">
      <c r="E25" s="10"/>
      <c r="F25" s="10"/>
      <c r="G25" s="10"/>
      <c r="H25" s="14"/>
      <c r="I25" s="10"/>
      <c r="J25" s="10"/>
      <c r="K25" s="10"/>
      <c r="L25" s="10"/>
      <c r="M25" s="10"/>
      <c r="N25" s="14"/>
      <c r="O25" s="10"/>
      <c r="Z25" s="34"/>
      <c r="AA25" s="40"/>
      <c r="AB25" s="40"/>
      <c r="AC25" s="38" t="s">
        <v>159</v>
      </c>
      <c r="AD25" s="48">
        <v>17</v>
      </c>
      <c r="AE25" s="53" t="str">
        <f t="shared" ca="1" si="2"/>
        <v>Venc.J13</v>
      </c>
      <c r="AF25" s="37" t="s">
        <v>157</v>
      </c>
      <c r="AG25" s="65" t="str">
        <f t="shared" ca="1" si="3"/>
        <v>Venc.J14</v>
      </c>
      <c r="AH25" s="74"/>
    </row>
    <row r="26" spans="4:34" ht="13" thickBot="1">
      <c r="D26">
        <v>10</v>
      </c>
      <c r="E26" s="9"/>
      <c r="F26" s="9"/>
      <c r="G26" s="9">
        <f>E26</f>
        <v>0</v>
      </c>
      <c r="H26" s="16"/>
      <c r="I26" s="10"/>
      <c r="J26" s="10"/>
      <c r="K26" s="10"/>
      <c r="L26" s="10"/>
      <c r="M26" s="10"/>
      <c r="N26" s="14"/>
      <c r="O26" s="10"/>
      <c r="U26" s="29"/>
      <c r="W26" s="28"/>
      <c r="Z26" s="34"/>
      <c r="AA26" s="40"/>
      <c r="AB26" s="40"/>
      <c r="AC26" s="38" t="s">
        <v>159</v>
      </c>
      <c r="AD26" s="48">
        <v>18</v>
      </c>
      <c r="AE26" s="53" t="str">
        <f t="shared" ca="1" si="2"/>
        <v>Venc.J15</v>
      </c>
      <c r="AF26" s="37" t="s">
        <v>157</v>
      </c>
      <c r="AG26" s="65" t="str">
        <f t="shared" ca="1" si="3"/>
        <v>Venc.J16</v>
      </c>
      <c r="AH26" s="74"/>
    </row>
    <row r="27" spans="4:34" ht="13" thickBot="1">
      <c r="E27" s="10"/>
      <c r="F27" s="10"/>
      <c r="G27" s="10"/>
      <c r="H27" s="10"/>
      <c r="I27" s="10"/>
      <c r="J27" s="10"/>
      <c r="K27" s="10"/>
      <c r="L27" s="10"/>
      <c r="M27" s="79" t="s">
        <v>278</v>
      </c>
      <c r="N27" s="70" t="s">
        <v>242</v>
      </c>
      <c r="O27" s="9" t="str">
        <f>IF(OR(N17="",N38=""),"",+IF(N17&gt;N38,M17,M38))</f>
        <v/>
      </c>
      <c r="Z27" s="34"/>
      <c r="AA27" s="40"/>
      <c r="AB27" s="40"/>
      <c r="AC27" s="38" t="s">
        <v>159</v>
      </c>
      <c r="AD27" s="48">
        <v>19</v>
      </c>
      <c r="AE27" s="53" t="str">
        <f t="shared" ca="1" si="2"/>
        <v>Venc.J17</v>
      </c>
      <c r="AF27" s="37" t="s">
        <v>157</v>
      </c>
      <c r="AG27" s="65" t="str">
        <f t="shared" ca="1" si="3"/>
        <v>Venc.J18</v>
      </c>
      <c r="AH27" s="74"/>
    </row>
    <row r="28" spans="4:34" ht="13" thickBot="1">
      <c r="D28">
        <v>11</v>
      </c>
      <c r="E28" s="10"/>
      <c r="F28" s="9"/>
      <c r="G28" s="9">
        <f>E28</f>
        <v>0</v>
      </c>
      <c r="H28" s="11"/>
      <c r="I28" s="10"/>
      <c r="J28" s="10"/>
      <c r="K28" s="10"/>
      <c r="L28" s="10"/>
      <c r="M28" s="10"/>
      <c r="N28" s="14"/>
      <c r="O28" s="10"/>
      <c r="Z28" s="34"/>
      <c r="AA28" s="40"/>
      <c r="AB28" s="40"/>
      <c r="AC28" s="38" t="s">
        <v>159</v>
      </c>
      <c r="AD28" s="48">
        <v>20</v>
      </c>
      <c r="AE28" s="53" t="str">
        <f t="shared" ca="1" si="2"/>
        <v>Venc.J17</v>
      </c>
      <c r="AF28" s="37" t="s">
        <v>157</v>
      </c>
      <c r="AG28" s="65" t="str">
        <f t="shared" ca="1" si="3"/>
        <v>Venc.J18</v>
      </c>
      <c r="AH28" s="74"/>
    </row>
    <row r="29" spans="4:34" ht="13" thickBot="1">
      <c r="E29" s="12"/>
      <c r="F29" s="10"/>
      <c r="G29" s="10"/>
      <c r="H29" s="13"/>
      <c r="I29" s="10"/>
      <c r="J29" s="10"/>
      <c r="K29" s="10"/>
      <c r="L29" s="10"/>
      <c r="M29" s="10"/>
      <c r="N29" s="14"/>
      <c r="O29" s="10"/>
      <c r="Z29" s="42"/>
      <c r="AA29" s="43"/>
      <c r="AB29" s="43"/>
      <c r="AC29" s="43"/>
      <c r="AD29" s="61"/>
      <c r="AE29" s="62"/>
      <c r="AF29" s="63"/>
      <c r="AG29" s="60"/>
      <c r="AH29" s="75"/>
    </row>
    <row r="30" spans="4:34" ht="13.35" thickTop="1" thickBot="1">
      <c r="E30" s="10"/>
      <c r="F30" s="10"/>
      <c r="G30" s="10"/>
      <c r="H30" s="14" t="s">
        <v>219</v>
      </c>
      <c r="I30" s="9" t="str">
        <f>IF(OR(H28="",H32=""),"",+IF(H28&gt;H32,G28,G32))</f>
        <v/>
      </c>
      <c r="J30" s="11"/>
      <c r="K30" s="10"/>
      <c r="L30" s="10"/>
      <c r="M30" s="10"/>
      <c r="N30" s="14"/>
      <c r="O30" s="10"/>
    </row>
    <row r="31" spans="4:34" ht="13" thickBot="1">
      <c r="D31">
        <v>12</v>
      </c>
      <c r="E31" s="10"/>
      <c r="F31" s="11"/>
      <c r="G31" s="10"/>
      <c r="H31" s="14"/>
      <c r="I31" s="10"/>
      <c r="J31" s="13"/>
      <c r="K31" s="10"/>
      <c r="L31" s="10"/>
      <c r="M31" s="10"/>
      <c r="N31" s="14"/>
      <c r="O31" s="10"/>
    </row>
    <row r="32" spans="4:34" ht="13" thickBot="1">
      <c r="E32" s="12"/>
      <c r="F32" s="13" t="s">
        <v>206</v>
      </c>
      <c r="G32" s="9" t="str">
        <f>IF(OR(F31="",F33=""),"",+IF(F31&gt;F33,E31,E33))</f>
        <v/>
      </c>
      <c r="H32" s="16"/>
      <c r="I32" s="10"/>
      <c r="J32" s="14"/>
      <c r="K32" s="10"/>
      <c r="L32" s="10"/>
      <c r="M32" s="10"/>
      <c r="N32" s="14"/>
      <c r="O32" s="10"/>
    </row>
    <row r="33" spans="4:22" ht="13" thickBot="1">
      <c r="D33">
        <v>13</v>
      </c>
      <c r="E33" s="10"/>
      <c r="F33" s="16"/>
      <c r="G33" s="10"/>
      <c r="H33" s="10"/>
      <c r="I33" s="10"/>
      <c r="J33" s="14" t="s">
        <v>232</v>
      </c>
      <c r="K33" s="9" t="str">
        <f>IF(OR(J30="",J36=""),"",+IF(J30&gt;J36,I30,I36))</f>
        <v/>
      </c>
      <c r="L33" s="11"/>
      <c r="M33" s="10"/>
      <c r="N33" s="14"/>
      <c r="O33" s="10"/>
    </row>
    <row r="34" spans="4:22">
      <c r="E34" s="12"/>
      <c r="F34" s="10"/>
      <c r="G34" s="10"/>
      <c r="H34" s="10"/>
      <c r="I34" s="10"/>
      <c r="J34" s="14"/>
      <c r="K34" s="12"/>
      <c r="L34" s="13"/>
      <c r="M34" s="10"/>
      <c r="N34" s="14"/>
      <c r="O34" s="10"/>
    </row>
    <row r="35" spans="4:22" ht="13" thickBot="1">
      <c r="D35">
        <v>14</v>
      </c>
      <c r="E35" s="9"/>
      <c r="F35" s="9"/>
      <c r="G35" s="9">
        <f>E35</f>
        <v>0</v>
      </c>
      <c r="H35" s="11"/>
      <c r="I35" s="10"/>
      <c r="J35" s="14"/>
      <c r="K35" s="10"/>
      <c r="L35" s="14"/>
      <c r="M35" s="10"/>
      <c r="N35" s="14"/>
      <c r="O35" s="10"/>
    </row>
    <row r="36" spans="4:22" ht="13" thickBot="1">
      <c r="E36" s="10"/>
      <c r="F36" s="10"/>
      <c r="G36" s="10"/>
      <c r="H36" s="13" t="s">
        <v>221</v>
      </c>
      <c r="I36" s="9" t="str">
        <f>IF(OR(H35="",H37=""),"",+IF(H35&gt;H37,E35,E37))</f>
        <v/>
      </c>
      <c r="J36" s="16"/>
      <c r="K36" s="10"/>
      <c r="L36" s="14"/>
      <c r="M36" s="10"/>
      <c r="N36" s="14"/>
      <c r="O36" s="10"/>
      <c r="V36" s="76"/>
    </row>
    <row r="37" spans="4:22" ht="13" thickBot="1">
      <c r="D37">
        <v>15</v>
      </c>
      <c r="E37" s="9"/>
      <c r="F37" s="9"/>
      <c r="G37" s="9">
        <f>E37</f>
        <v>0</v>
      </c>
      <c r="H37" s="16"/>
      <c r="I37" s="10"/>
      <c r="J37" s="10"/>
      <c r="K37" s="10"/>
      <c r="L37" s="14"/>
      <c r="M37" s="10"/>
      <c r="N37" s="14"/>
      <c r="O37" s="10"/>
    </row>
    <row r="38" spans="4:22" ht="13" thickBot="1">
      <c r="E38" s="10"/>
      <c r="F38" s="10"/>
      <c r="G38" s="10"/>
      <c r="H38" s="10"/>
      <c r="I38" s="10"/>
      <c r="J38" s="10"/>
      <c r="K38" s="10"/>
      <c r="L38" s="14" t="s">
        <v>238</v>
      </c>
      <c r="M38" s="9" t="str">
        <f>IF(OR(L33="",L43=""),"",+IF(L33&gt;L43,K33,K43))</f>
        <v/>
      </c>
      <c r="N38" s="16"/>
      <c r="O38" s="10"/>
    </row>
    <row r="39" spans="4:22" ht="13" thickBot="1">
      <c r="D39">
        <v>16</v>
      </c>
      <c r="E39" s="9"/>
      <c r="F39" s="9"/>
      <c r="G39" s="9">
        <f>E39</f>
        <v>0</v>
      </c>
      <c r="H39" s="11"/>
      <c r="I39" s="10"/>
      <c r="J39" s="10"/>
      <c r="K39" s="10"/>
      <c r="L39" s="14"/>
      <c r="M39" s="10"/>
      <c r="N39" s="10"/>
      <c r="O39" s="10"/>
    </row>
    <row r="40" spans="4:22" ht="13" thickBot="1">
      <c r="E40" s="10"/>
      <c r="F40" s="10"/>
      <c r="G40" s="10"/>
      <c r="H40" s="13" t="s">
        <v>223</v>
      </c>
      <c r="I40" s="9" t="str">
        <f>IF(OR(H39="",H41=""),"",+IF(H39&gt;H41,E39,E41))</f>
        <v/>
      </c>
      <c r="J40" s="17"/>
      <c r="K40" s="10"/>
      <c r="L40" s="14"/>
      <c r="M40" s="10"/>
      <c r="N40" s="10"/>
      <c r="O40" s="10"/>
    </row>
    <row r="41" spans="4:22" ht="13" thickBot="1">
      <c r="D41">
        <v>17</v>
      </c>
      <c r="E41" s="9"/>
      <c r="F41" s="9"/>
      <c r="G41" s="9">
        <f>E41</f>
        <v>0</v>
      </c>
      <c r="H41" s="16"/>
      <c r="I41" s="10"/>
      <c r="J41" s="13"/>
      <c r="K41" s="10"/>
      <c r="L41" s="14"/>
      <c r="M41" s="10"/>
      <c r="N41" s="10"/>
      <c r="O41" s="10"/>
    </row>
    <row r="42" spans="4:22">
      <c r="E42" s="10"/>
      <c r="F42" s="10"/>
      <c r="G42" s="10"/>
      <c r="H42" s="10"/>
      <c r="I42" s="10"/>
      <c r="J42" s="14"/>
      <c r="K42" s="10"/>
      <c r="L42" s="14"/>
      <c r="M42" s="10"/>
      <c r="N42" s="10"/>
      <c r="O42" s="10"/>
    </row>
    <row r="43" spans="4:22" ht="13" thickBot="1">
      <c r="D43">
        <v>18</v>
      </c>
      <c r="E43" s="10"/>
      <c r="F43" s="11"/>
      <c r="G43" s="10"/>
      <c r="H43" s="10"/>
      <c r="I43" s="10"/>
      <c r="J43" s="14" t="s">
        <v>234</v>
      </c>
      <c r="K43" s="18" t="str">
        <f>IF(OR(I40="",I45=""),"",+IF(J40&gt;J45,I40,I45))</f>
        <v/>
      </c>
      <c r="L43" s="16"/>
      <c r="M43" s="10"/>
      <c r="N43" s="10"/>
      <c r="O43" s="10"/>
    </row>
    <row r="44" spans="4:22" ht="13" thickBot="1">
      <c r="E44" s="12"/>
      <c r="F44" s="13" t="s">
        <v>208</v>
      </c>
      <c r="G44" s="9" t="str">
        <f>IF(OR(F43="",F45=""),"",+IF(F43&gt;F45,E43,E45))</f>
        <v/>
      </c>
      <c r="H44" s="17"/>
      <c r="I44" s="10"/>
      <c r="J44" s="14"/>
      <c r="K44" s="10"/>
      <c r="L44" s="10"/>
      <c r="M44" s="10"/>
      <c r="N44" s="10"/>
      <c r="O44" s="10"/>
    </row>
    <row r="45" spans="4:22" ht="13" thickBot="1">
      <c r="D45">
        <v>19</v>
      </c>
      <c r="E45" s="9"/>
      <c r="F45" s="16"/>
      <c r="G45" s="10"/>
      <c r="H45" s="13" t="s">
        <v>225</v>
      </c>
      <c r="I45" s="9" t="str">
        <f>IF(OR(H44="",H47=""),"",+IF(H44&gt;H47,G44,G47))</f>
        <v/>
      </c>
      <c r="J45" s="16"/>
      <c r="K45" s="10"/>
      <c r="L45" s="10"/>
      <c r="M45" s="10"/>
      <c r="N45" s="10"/>
      <c r="O45" s="10"/>
    </row>
    <row r="46" spans="4:22">
      <c r="E46" s="10"/>
      <c r="F46" s="10"/>
      <c r="G46" s="10"/>
      <c r="H46" s="14"/>
      <c r="I46" s="10"/>
      <c r="J46" s="10"/>
      <c r="K46" s="10"/>
      <c r="L46" s="10"/>
      <c r="M46" s="10"/>
      <c r="N46" s="10"/>
      <c r="O46" s="10"/>
    </row>
    <row r="47" spans="4:22" ht="13" thickBot="1">
      <c r="D47">
        <v>20</v>
      </c>
      <c r="E47" s="9"/>
      <c r="F47" s="9"/>
      <c r="G47" s="9">
        <f>E47</f>
        <v>0</v>
      </c>
      <c r="H47" s="16"/>
      <c r="I47" s="10"/>
      <c r="J47" s="10"/>
      <c r="K47" s="10"/>
      <c r="L47" s="10"/>
      <c r="M47" s="10"/>
      <c r="N47" s="10"/>
      <c r="O47" s="10"/>
    </row>
    <row r="50" spans="13:15" ht="13" thickBot="1">
      <c r="M50" s="9" t="str">
        <f>IF(OR(M17="",M38=""),"",+IF(L12&gt;L22,K22,K12))</f>
        <v/>
      </c>
      <c r="N50" s="11"/>
      <c r="O50" s="10"/>
    </row>
    <row r="51" spans="13:15">
      <c r="M51" s="12"/>
      <c r="N51" s="13"/>
      <c r="O51" s="10"/>
    </row>
    <row r="52" spans="13:15">
      <c r="M52" s="10"/>
      <c r="N52" s="14"/>
      <c r="O52" s="10"/>
    </row>
    <row r="53" spans="13:15">
      <c r="M53" s="10"/>
      <c r="N53" s="14"/>
      <c r="O53" s="10"/>
    </row>
    <row r="54" spans="13:15">
      <c r="M54" s="10"/>
      <c r="N54" s="14"/>
      <c r="O54" s="10"/>
    </row>
    <row r="55" spans="13:15" ht="13" thickBot="1">
      <c r="M55" s="79" t="s">
        <v>279</v>
      </c>
      <c r="N55" s="70" t="s">
        <v>240</v>
      </c>
      <c r="O55" s="9" t="str">
        <f>IF(OR(N50="",N60=""),"",+IF(N50&gt;N60,M50,M60))</f>
        <v/>
      </c>
    </row>
    <row r="56" spans="13:15">
      <c r="M56" s="10"/>
      <c r="N56" s="14"/>
      <c r="O56" s="10"/>
    </row>
    <row r="57" spans="13:15">
      <c r="M57" s="10"/>
      <c r="N57" s="14"/>
      <c r="O57" s="10"/>
    </row>
    <row r="58" spans="13:15">
      <c r="M58" s="10"/>
      <c r="N58" s="14"/>
      <c r="O58" s="10"/>
    </row>
    <row r="59" spans="13:15">
      <c r="M59" s="10"/>
      <c r="N59" s="14"/>
      <c r="O59" s="10"/>
    </row>
    <row r="60" spans="13:15" ht="13" thickBot="1">
      <c r="M60" s="9" t="str">
        <f>IF(OR(M17="",M38=""),"",+IF(L33&gt;L43,K43,K33))</f>
        <v/>
      </c>
      <c r="N60" s="16"/>
      <c r="O60" s="10"/>
    </row>
    <row r="61" spans="13:15">
      <c r="M61" s="10"/>
      <c r="N61" s="10"/>
      <c r="O61" s="10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Plan17"/>
  <dimension ref="D4:AI56"/>
  <sheetViews>
    <sheetView showGridLines="0" topLeftCell="G14" zoomScale="75" workbookViewId="0">
      <selection activeCell="I14" sqref="I14"/>
    </sheetView>
  </sheetViews>
  <sheetFormatPr defaultColWidth="9.1171875" defaultRowHeight="12.7"/>
  <cols>
    <col min="6" max="6" width="12.41015625" customWidth="1"/>
    <col min="7" max="7" width="3.64453125" customWidth="1"/>
    <col min="8" max="8" width="15.64453125" customWidth="1"/>
    <col min="9" max="9" width="3.64453125" customWidth="1"/>
    <col min="10" max="10" width="15.64453125" customWidth="1"/>
    <col min="11" max="11" width="3.64453125" customWidth="1"/>
    <col min="12" max="12" width="15.64453125" customWidth="1"/>
    <col min="13" max="13" width="3.64453125" customWidth="1"/>
    <col min="14" max="14" width="15.87890625" customWidth="1"/>
    <col min="15" max="15" width="3.64453125" customWidth="1"/>
    <col min="16" max="16" width="12.87890625" customWidth="1"/>
    <col min="22" max="22" width="10" style="28" bestFit="1" customWidth="1"/>
    <col min="23" max="23" width="6.1171875" customWidth="1"/>
    <col min="24" max="24" width="9.1171875" style="29"/>
    <col min="27" max="27" width="18.87890625" bestFit="1" customWidth="1"/>
    <col min="28" max="28" width="7.52734375" bestFit="1" customWidth="1"/>
    <col min="29" max="29" width="6.52734375" bestFit="1" customWidth="1"/>
    <col min="30" max="30" width="2.3515625" bestFit="1" customWidth="1"/>
    <col min="31" max="31" width="3.52734375" style="10" bestFit="1" customWidth="1"/>
    <col min="32" max="32" width="15.64453125" style="28" customWidth="1"/>
    <col min="33" max="33" width="6.52734375" bestFit="1" customWidth="1"/>
    <col min="34" max="34" width="15.64453125" style="29" customWidth="1"/>
  </cols>
  <sheetData>
    <row r="4" spans="4:35" ht="13" thickBot="1"/>
    <row r="5" spans="4:35" ht="13" thickTop="1">
      <c r="U5">
        <v>1</v>
      </c>
      <c r="V5" s="28" t="str">
        <f>F10</f>
        <v>Guaratinguetá</v>
      </c>
      <c r="W5" t="s">
        <v>77</v>
      </c>
      <c r="X5" s="29" t="str">
        <f>F12</f>
        <v>Cajati</v>
      </c>
      <c r="AA5" s="30"/>
      <c r="AB5" s="31"/>
      <c r="AC5" s="31"/>
      <c r="AD5" s="31"/>
      <c r="AE5" s="49"/>
      <c r="AF5" s="51"/>
      <c r="AG5" s="31"/>
      <c r="AH5" s="56"/>
      <c r="AI5" s="73"/>
    </row>
    <row r="6" spans="4:35">
      <c r="U6">
        <v>2</v>
      </c>
      <c r="V6" s="28" t="str">
        <f>F29</f>
        <v>Cosmópolis</v>
      </c>
      <c r="W6" t="s">
        <v>77</v>
      </c>
      <c r="X6" s="29" t="str">
        <f>F31</f>
        <v>Areias</v>
      </c>
      <c r="AA6" s="34"/>
      <c r="AB6" s="35" t="s">
        <v>153</v>
      </c>
      <c r="AC6" s="100"/>
      <c r="AD6" s="100"/>
      <c r="AE6" s="100"/>
      <c r="AF6" s="100"/>
      <c r="AG6" s="100"/>
      <c r="AH6" s="101"/>
      <c r="AI6" s="74"/>
    </row>
    <row r="7" spans="4:35" ht="13" thickBot="1">
      <c r="D7" t="s">
        <v>321</v>
      </c>
      <c r="E7">
        <v>1</v>
      </c>
      <c r="F7" s="9" t="s">
        <v>321</v>
      </c>
      <c r="G7" s="9"/>
      <c r="H7" s="9" t="str">
        <f>F7</f>
        <v>Americana</v>
      </c>
      <c r="I7" s="11"/>
      <c r="J7" s="10"/>
      <c r="K7" s="10"/>
      <c r="L7" s="10"/>
      <c r="M7" s="10"/>
      <c r="N7" s="10"/>
      <c r="O7" s="10"/>
      <c r="P7" s="10"/>
      <c r="U7">
        <v>3</v>
      </c>
      <c r="V7" s="28" t="str">
        <f>F41</f>
        <v>Joanópolis</v>
      </c>
      <c r="W7" t="s">
        <v>77</v>
      </c>
      <c r="X7" s="29" t="str">
        <f>F43</f>
        <v>Fartura</v>
      </c>
      <c r="AA7" s="34"/>
      <c r="AB7" s="102"/>
      <c r="AC7" s="103"/>
      <c r="AD7" s="103"/>
      <c r="AE7" s="103"/>
      <c r="AF7" s="103"/>
      <c r="AG7" s="103"/>
      <c r="AH7" s="104"/>
      <c r="AI7" s="74"/>
    </row>
    <row r="8" spans="4:35">
      <c r="F8" s="12"/>
      <c r="G8" s="10"/>
      <c r="H8" s="10"/>
      <c r="I8" s="13"/>
      <c r="J8" s="10"/>
      <c r="K8" s="10"/>
      <c r="L8" s="10"/>
      <c r="M8" s="10"/>
      <c r="N8" s="10"/>
      <c r="O8" s="10"/>
      <c r="P8" s="10"/>
      <c r="U8">
        <v>4</v>
      </c>
      <c r="V8" s="28" t="str">
        <f>F7</f>
        <v>Americana</v>
      </c>
      <c r="W8" t="s">
        <v>77</v>
      </c>
      <c r="X8" s="29" t="s">
        <v>78</v>
      </c>
      <c r="AA8" s="34"/>
      <c r="AB8" s="37" t="s">
        <v>154</v>
      </c>
      <c r="AC8" s="37" t="s">
        <v>155</v>
      </c>
      <c r="AD8" s="105" t="s">
        <v>158</v>
      </c>
      <c r="AE8" s="106"/>
      <c r="AF8" s="52"/>
      <c r="AG8" s="39" t="s">
        <v>156</v>
      </c>
      <c r="AH8" s="57"/>
      <c r="AI8" s="74"/>
    </row>
    <row r="9" spans="4:35" ht="13" thickBot="1">
      <c r="F9" s="10"/>
      <c r="G9" s="10"/>
      <c r="H9" s="10"/>
      <c r="I9" s="14" t="s">
        <v>208</v>
      </c>
      <c r="J9" s="9" t="str">
        <f>IF(OR(I7="",I11=""),"",+IF(I7&gt;I11,F7,H11))</f>
        <v/>
      </c>
      <c r="K9" s="11"/>
      <c r="L9" s="10"/>
      <c r="M9" s="10"/>
      <c r="N9" s="10"/>
      <c r="O9" s="10"/>
      <c r="P9" s="10"/>
      <c r="U9">
        <v>5</v>
      </c>
      <c r="V9" s="28" t="str">
        <f>F14</f>
        <v>Cajamar</v>
      </c>
      <c r="W9" t="s">
        <v>77</v>
      </c>
      <c r="X9" s="29" t="str">
        <f>F16</f>
        <v>Sumaré</v>
      </c>
      <c r="AA9" s="34"/>
      <c r="AB9" s="40"/>
      <c r="AC9" s="40"/>
      <c r="AD9" s="38" t="s">
        <v>159</v>
      </c>
      <c r="AE9" s="48">
        <v>1</v>
      </c>
      <c r="AF9" s="53" t="str">
        <f t="shared" ref="AF9:AF19" ca="1" si="0">LOOKUP(AE9,U$5:U$78,V$5:V$25)</f>
        <v>Guaratinguetá</v>
      </c>
      <c r="AG9" s="37" t="s">
        <v>157</v>
      </c>
      <c r="AH9" s="65" t="str">
        <f t="shared" ref="AH9:AH19" ca="1" si="1">LOOKUP(AE9,U$5:U$78,X$5:X$25)</f>
        <v>Cajati</v>
      </c>
      <c r="AI9" s="74"/>
    </row>
    <row r="10" spans="4:35" ht="13" thickBot="1">
      <c r="D10" t="s">
        <v>322</v>
      </c>
      <c r="E10">
        <v>2</v>
      </c>
      <c r="F10" s="10" t="s">
        <v>322</v>
      </c>
      <c r="G10" s="11"/>
      <c r="H10" s="10"/>
      <c r="I10" s="14"/>
      <c r="J10" s="10"/>
      <c r="K10" s="13"/>
      <c r="L10" s="10"/>
      <c r="M10" s="10"/>
      <c r="N10" s="10"/>
      <c r="O10" s="10"/>
      <c r="P10" s="10"/>
      <c r="U10">
        <v>6</v>
      </c>
      <c r="V10" s="28" t="str">
        <f>F18</f>
        <v>Araras</v>
      </c>
      <c r="W10" t="s">
        <v>77</v>
      </c>
      <c r="X10" s="29" t="str">
        <f>F20</f>
        <v>Artur Nogueira</v>
      </c>
      <c r="AA10" s="34"/>
      <c r="AB10" s="40"/>
      <c r="AC10" s="40"/>
      <c r="AD10" s="38" t="s">
        <v>159</v>
      </c>
      <c r="AE10" s="48">
        <v>2</v>
      </c>
      <c r="AF10" s="53" t="str">
        <f t="shared" ca="1" si="0"/>
        <v>Cosmópolis</v>
      </c>
      <c r="AG10" s="37" t="s">
        <v>157</v>
      </c>
      <c r="AH10" s="65" t="str">
        <f t="shared" ca="1" si="1"/>
        <v>Areias</v>
      </c>
      <c r="AI10" s="74"/>
    </row>
    <row r="11" spans="4:35" ht="13" thickBot="1">
      <c r="F11" s="12"/>
      <c r="G11" s="13" t="s">
        <v>202</v>
      </c>
      <c r="H11" s="9" t="str">
        <f>IF(OR(G10="",G12=""),"",+IF(G10&gt;G12,F10,F12))</f>
        <v/>
      </c>
      <c r="I11" s="16"/>
      <c r="J11" s="10"/>
      <c r="K11" s="14"/>
      <c r="L11" s="10"/>
      <c r="M11" s="10"/>
      <c r="N11" s="10"/>
      <c r="O11" s="10"/>
      <c r="P11" s="10"/>
      <c r="U11">
        <v>7</v>
      </c>
      <c r="V11" s="28" t="str">
        <f>F22</f>
        <v>Icém</v>
      </c>
      <c r="W11" t="s">
        <v>77</v>
      </c>
      <c r="X11" s="29" t="str">
        <f>F24</f>
        <v>Caconde</v>
      </c>
      <c r="AA11" s="34"/>
      <c r="AB11" s="40"/>
      <c r="AC11" s="40"/>
      <c r="AD11" s="38" t="s">
        <v>159</v>
      </c>
      <c r="AE11" s="48">
        <v>3</v>
      </c>
      <c r="AF11" s="53" t="str">
        <f t="shared" ca="1" si="0"/>
        <v>Joanópolis</v>
      </c>
      <c r="AG11" s="37" t="s">
        <v>157</v>
      </c>
      <c r="AH11" s="65" t="str">
        <f t="shared" ca="1" si="1"/>
        <v>Fartura</v>
      </c>
      <c r="AI11" s="74"/>
    </row>
    <row r="12" spans="4:35" ht="13" thickBot="1">
      <c r="D12" t="s">
        <v>323</v>
      </c>
      <c r="E12">
        <v>3</v>
      </c>
      <c r="F12" s="10" t="s">
        <v>323</v>
      </c>
      <c r="G12" s="16"/>
      <c r="H12" s="10"/>
      <c r="I12" s="10"/>
      <c r="J12" s="10"/>
      <c r="K12" s="14" t="s">
        <v>225</v>
      </c>
      <c r="L12" s="9" t="str">
        <f>IF(OR(K9="",K15=""),"",+IF(K9&gt;K15,J9,J15))</f>
        <v/>
      </c>
      <c r="M12" s="17"/>
      <c r="N12" s="10"/>
      <c r="O12" s="10"/>
      <c r="P12" s="10"/>
      <c r="U12">
        <v>8</v>
      </c>
      <c r="V12" s="28" t="str">
        <f>F26</f>
        <v>Engenheiro Coelho</v>
      </c>
      <c r="W12" t="s">
        <v>77</v>
      </c>
      <c r="X12" s="29" t="s">
        <v>160</v>
      </c>
      <c r="AA12" s="34"/>
      <c r="AB12" s="40"/>
      <c r="AC12" s="40"/>
      <c r="AD12" s="38" t="s">
        <v>159</v>
      </c>
      <c r="AE12" s="48">
        <v>4</v>
      </c>
      <c r="AF12" s="53" t="str">
        <f t="shared" ca="1" si="0"/>
        <v>Americana</v>
      </c>
      <c r="AG12" s="37" t="s">
        <v>157</v>
      </c>
      <c r="AH12" s="65" t="str">
        <f t="shared" ca="1" si="1"/>
        <v>Venc.J1</v>
      </c>
      <c r="AI12" s="74"/>
    </row>
    <row r="13" spans="4:35">
      <c r="F13" s="12"/>
      <c r="G13" s="10"/>
      <c r="H13" s="10"/>
      <c r="I13" s="10"/>
      <c r="J13" s="10"/>
      <c r="K13" s="14"/>
      <c r="L13" s="10"/>
      <c r="M13" s="10"/>
      <c r="N13" s="19"/>
      <c r="O13" s="10"/>
      <c r="P13" s="10"/>
      <c r="U13">
        <v>9</v>
      </c>
      <c r="V13" s="28" t="str">
        <f>F33</f>
        <v>Bananal</v>
      </c>
      <c r="W13" t="s">
        <v>77</v>
      </c>
      <c r="X13" s="29" t="str">
        <f>F35</f>
        <v>Bariri</v>
      </c>
      <c r="AA13" s="34"/>
      <c r="AB13" s="40"/>
      <c r="AC13" s="40"/>
      <c r="AD13" s="38" t="s">
        <v>159</v>
      </c>
      <c r="AE13" s="48">
        <v>5</v>
      </c>
      <c r="AF13" s="53" t="str">
        <f t="shared" ca="1" si="0"/>
        <v>Cajamar</v>
      </c>
      <c r="AG13" s="37" t="s">
        <v>157</v>
      </c>
      <c r="AH13" s="65" t="str">
        <f t="shared" ca="1" si="1"/>
        <v>Sumaré</v>
      </c>
      <c r="AI13" s="74"/>
    </row>
    <row r="14" spans="4:35" ht="13" thickBot="1">
      <c r="D14" t="s">
        <v>324</v>
      </c>
      <c r="E14">
        <v>4</v>
      </c>
      <c r="F14" s="9" t="s">
        <v>324</v>
      </c>
      <c r="G14" s="9"/>
      <c r="H14" s="9" t="str">
        <f>F14</f>
        <v>Cajamar</v>
      </c>
      <c r="I14" s="11"/>
      <c r="J14" s="10"/>
      <c r="K14" s="14"/>
      <c r="L14" s="10"/>
      <c r="M14" s="10"/>
      <c r="N14" s="19"/>
      <c r="O14" s="10"/>
      <c r="P14" s="10"/>
      <c r="U14">
        <v>10</v>
      </c>
      <c r="V14" s="28" t="str">
        <f>F37</f>
        <v>Bastos</v>
      </c>
      <c r="W14" t="s">
        <v>77</v>
      </c>
      <c r="X14" s="29" t="str">
        <f>F39</f>
        <v>Barretos</v>
      </c>
      <c r="AA14" s="34"/>
      <c r="AB14" s="40"/>
      <c r="AC14" s="40"/>
      <c r="AD14" s="38" t="s">
        <v>159</v>
      </c>
      <c r="AE14" s="48">
        <v>6</v>
      </c>
      <c r="AF14" s="53" t="str">
        <f t="shared" ca="1" si="0"/>
        <v>Araras</v>
      </c>
      <c r="AG14" s="37" t="s">
        <v>157</v>
      </c>
      <c r="AH14" s="65" t="str">
        <f t="shared" ca="1" si="1"/>
        <v>Artur Nogueira</v>
      </c>
      <c r="AI14" s="74"/>
    </row>
    <row r="15" spans="4:35" ht="13" thickBot="1">
      <c r="F15" s="10"/>
      <c r="G15" s="10"/>
      <c r="H15" s="10"/>
      <c r="I15" s="13" t="s">
        <v>210</v>
      </c>
      <c r="J15" s="9" t="str">
        <f>IF(OR(I14="",I16=""),"",+IF(I14&gt;I16,F14,F16))</f>
        <v/>
      </c>
      <c r="K15" s="16"/>
      <c r="L15" s="10"/>
      <c r="M15" s="10"/>
      <c r="N15" s="19"/>
      <c r="O15" s="10"/>
      <c r="P15" s="10"/>
      <c r="U15">
        <v>11</v>
      </c>
      <c r="V15" s="28" t="s">
        <v>161</v>
      </c>
      <c r="W15" t="s">
        <v>77</v>
      </c>
      <c r="X15" s="29" t="str">
        <f>F45</f>
        <v>Araraquara</v>
      </c>
      <c r="AA15" s="34"/>
      <c r="AB15" s="40"/>
      <c r="AC15" s="40"/>
      <c r="AD15" s="38" t="s">
        <v>159</v>
      </c>
      <c r="AE15" s="48">
        <v>7</v>
      </c>
      <c r="AF15" s="53" t="str">
        <f t="shared" ca="1" si="0"/>
        <v>Icém</v>
      </c>
      <c r="AG15" s="37" t="s">
        <v>157</v>
      </c>
      <c r="AH15" s="65" t="str">
        <f t="shared" ca="1" si="1"/>
        <v>Caconde</v>
      </c>
      <c r="AI15" s="74"/>
    </row>
    <row r="16" spans="4:35" ht="13" thickBot="1">
      <c r="D16" t="s">
        <v>325</v>
      </c>
      <c r="E16">
        <v>5</v>
      </c>
      <c r="F16" s="9" t="s">
        <v>325</v>
      </c>
      <c r="G16" s="9"/>
      <c r="H16" s="9" t="str">
        <f>F16</f>
        <v>Sumaré</v>
      </c>
      <c r="I16" s="16"/>
      <c r="J16" s="10"/>
      <c r="K16" s="10"/>
      <c r="L16" s="10"/>
      <c r="M16" s="10"/>
      <c r="N16" s="19"/>
      <c r="O16" s="10"/>
      <c r="P16" s="10"/>
      <c r="U16">
        <v>12</v>
      </c>
      <c r="V16" s="71" t="s">
        <v>81</v>
      </c>
      <c r="W16" t="s">
        <v>77</v>
      </c>
      <c r="X16" s="72" t="s">
        <v>162</v>
      </c>
      <c r="AA16" s="34"/>
      <c r="AB16" s="40"/>
      <c r="AC16" s="40"/>
      <c r="AD16" s="38" t="s">
        <v>159</v>
      </c>
      <c r="AE16" s="48">
        <v>8</v>
      </c>
      <c r="AF16" s="53" t="str">
        <f t="shared" ca="1" si="0"/>
        <v>Engenheiro Coelho</v>
      </c>
      <c r="AG16" s="37" t="s">
        <v>157</v>
      </c>
      <c r="AH16" s="65" t="str">
        <f t="shared" ca="1" si="1"/>
        <v>Venc.J2</v>
      </c>
      <c r="AI16" s="74"/>
    </row>
    <row r="17" spans="4:35" ht="13" thickBot="1">
      <c r="F17" s="10"/>
      <c r="G17" s="10"/>
      <c r="H17" s="10"/>
      <c r="I17" s="10"/>
      <c r="J17" s="10"/>
      <c r="K17" s="10"/>
      <c r="L17" s="10"/>
      <c r="M17" s="14" t="s">
        <v>234</v>
      </c>
      <c r="N17" s="9" t="str">
        <f>IF(OR(M12="",M21=""),"",+IF(M12&gt;M21,L12,L21))</f>
        <v/>
      </c>
      <c r="O17" s="17"/>
      <c r="P17" s="10"/>
      <c r="U17">
        <v>13</v>
      </c>
      <c r="V17" s="71" t="s">
        <v>163</v>
      </c>
      <c r="W17" t="s">
        <v>77</v>
      </c>
      <c r="X17" s="72" t="s">
        <v>84</v>
      </c>
      <c r="AA17" s="34"/>
      <c r="AB17" s="40"/>
      <c r="AC17" s="40"/>
      <c r="AD17" s="38" t="s">
        <v>159</v>
      </c>
      <c r="AE17" s="48">
        <v>9</v>
      </c>
      <c r="AF17" s="53" t="str">
        <f t="shared" ca="1" si="0"/>
        <v>Bananal</v>
      </c>
      <c r="AG17" s="37" t="s">
        <v>157</v>
      </c>
      <c r="AH17" s="65" t="str">
        <f t="shared" ca="1" si="1"/>
        <v>Bariri</v>
      </c>
      <c r="AI17" s="74"/>
    </row>
    <row r="18" spans="4:35" ht="13" thickBot="1">
      <c r="D18" t="s">
        <v>326</v>
      </c>
      <c r="E18">
        <v>6</v>
      </c>
      <c r="F18" s="9" t="s">
        <v>326</v>
      </c>
      <c r="G18" s="9"/>
      <c r="H18" s="9" t="str">
        <f>F18</f>
        <v>Araras</v>
      </c>
      <c r="I18" s="11"/>
      <c r="J18" s="10"/>
      <c r="K18" s="10"/>
      <c r="L18" s="10"/>
      <c r="M18" s="10"/>
      <c r="N18" s="19"/>
      <c r="O18" s="13"/>
      <c r="P18" s="10"/>
      <c r="U18">
        <v>14</v>
      </c>
      <c r="V18" s="71" t="s">
        <v>164</v>
      </c>
      <c r="W18" t="s">
        <v>77</v>
      </c>
      <c r="X18" s="72" t="s">
        <v>86</v>
      </c>
      <c r="AA18" s="34"/>
      <c r="AB18" s="40"/>
      <c r="AC18" s="40"/>
      <c r="AD18" s="38" t="s">
        <v>159</v>
      </c>
      <c r="AE18" s="48">
        <v>10</v>
      </c>
      <c r="AF18" s="53" t="str">
        <f t="shared" ca="1" si="0"/>
        <v>Bastos</v>
      </c>
      <c r="AG18" s="37" t="s">
        <v>157</v>
      </c>
      <c r="AH18" s="65" t="str">
        <f t="shared" ca="1" si="1"/>
        <v>Barretos</v>
      </c>
      <c r="AI18" s="74"/>
    </row>
    <row r="19" spans="4:35" ht="13" thickBot="1">
      <c r="F19" s="10"/>
      <c r="G19" s="10"/>
      <c r="H19" s="12"/>
      <c r="I19" s="13" t="s">
        <v>212</v>
      </c>
      <c r="J19" s="9" t="str">
        <f>IF(OR(I18="",I20=""),"",+IF(I18&gt;I20,F18,F20))</f>
        <v/>
      </c>
      <c r="K19" s="17"/>
      <c r="L19" s="10"/>
      <c r="M19" s="10"/>
      <c r="N19" s="19"/>
      <c r="O19" s="14"/>
      <c r="P19" s="10"/>
      <c r="U19">
        <v>15</v>
      </c>
      <c r="V19" s="71" t="s">
        <v>87</v>
      </c>
      <c r="W19" t="s">
        <v>77</v>
      </c>
      <c r="X19" s="72" t="s">
        <v>88</v>
      </c>
      <c r="AA19" s="34"/>
      <c r="AB19" s="40"/>
      <c r="AC19" s="40"/>
      <c r="AD19" s="38" t="s">
        <v>159</v>
      </c>
      <c r="AE19" s="48">
        <v>11</v>
      </c>
      <c r="AF19" s="53" t="str">
        <f t="shared" ca="1" si="0"/>
        <v>Venc.J3</v>
      </c>
      <c r="AG19" s="37" t="s">
        <v>157</v>
      </c>
      <c r="AH19" s="65" t="str">
        <f t="shared" ca="1" si="1"/>
        <v>Araraquara</v>
      </c>
      <c r="AI19" s="74"/>
    </row>
    <row r="20" spans="4:35" ht="13" thickBot="1">
      <c r="D20" t="s">
        <v>327</v>
      </c>
      <c r="E20">
        <v>7</v>
      </c>
      <c r="F20" s="9" t="s">
        <v>327</v>
      </c>
      <c r="G20" s="9"/>
      <c r="H20" s="9" t="str">
        <f>F20</f>
        <v>Artur Nogueira</v>
      </c>
      <c r="I20" s="16"/>
      <c r="J20" s="10"/>
      <c r="K20" s="14"/>
      <c r="L20" s="10"/>
      <c r="M20" s="10"/>
      <c r="N20" s="19"/>
      <c r="O20" s="14"/>
      <c r="P20" s="10"/>
      <c r="U20">
        <v>16</v>
      </c>
      <c r="V20" s="71" t="s">
        <v>89</v>
      </c>
      <c r="W20" t="s">
        <v>77</v>
      </c>
      <c r="X20" s="72" t="s">
        <v>90</v>
      </c>
      <c r="AA20" s="34"/>
      <c r="AB20" s="40"/>
      <c r="AC20" s="40"/>
      <c r="AD20" s="38" t="s">
        <v>159</v>
      </c>
      <c r="AE20" s="48">
        <v>12</v>
      </c>
      <c r="AF20" s="53" t="str">
        <f t="shared" ref="AF20:AF27" ca="1" si="2">LOOKUP(AE20,U$5:U$78,V$5:V$25)</f>
        <v>Venc.J4</v>
      </c>
      <c r="AG20" s="37" t="s">
        <v>157</v>
      </c>
      <c r="AH20" s="65" t="str">
        <f t="shared" ref="AH20:AH27" ca="1" si="3">LOOKUP(AE20,U$5:U$78,X$5:X$25)</f>
        <v>Venc.J5</v>
      </c>
      <c r="AI20" s="74"/>
    </row>
    <row r="21" spans="4:35" ht="13" thickBot="1">
      <c r="F21" s="10"/>
      <c r="G21" s="10"/>
      <c r="H21" s="12"/>
      <c r="I21" s="10"/>
      <c r="J21" s="10"/>
      <c r="K21" s="14" t="s">
        <v>227</v>
      </c>
      <c r="L21" s="9" t="str">
        <f>IF(OR(K19="",K23=""),"",+IF(K19&gt;K23,J19,J23))</f>
        <v/>
      </c>
      <c r="M21" s="16"/>
      <c r="N21" s="19"/>
      <c r="O21" s="14"/>
      <c r="P21" s="10"/>
      <c r="U21">
        <v>17</v>
      </c>
      <c r="V21" s="71" t="s">
        <v>91</v>
      </c>
      <c r="W21" t="s">
        <v>77</v>
      </c>
      <c r="X21" s="72" t="s">
        <v>92</v>
      </c>
      <c r="AA21" s="34"/>
      <c r="AB21" s="40"/>
      <c r="AC21" s="40"/>
      <c r="AD21" s="38" t="s">
        <v>159</v>
      </c>
      <c r="AE21" s="48">
        <v>13</v>
      </c>
      <c r="AF21" s="53" t="str">
        <f t="shared" ca="1" si="2"/>
        <v>Venc.J6</v>
      </c>
      <c r="AG21" s="37" t="s">
        <v>157</v>
      </c>
      <c r="AH21" s="65" t="str">
        <f t="shared" ca="1" si="3"/>
        <v>Venc.J7</v>
      </c>
      <c r="AI21" s="74"/>
    </row>
    <row r="22" spans="4:35" ht="13" thickBot="1">
      <c r="D22" t="s">
        <v>328</v>
      </c>
      <c r="E22">
        <v>8</v>
      </c>
      <c r="F22" s="9" t="s">
        <v>328</v>
      </c>
      <c r="G22" s="9"/>
      <c r="H22" s="9" t="str">
        <f>F22</f>
        <v>Icém</v>
      </c>
      <c r="I22" s="11"/>
      <c r="J22" s="10"/>
      <c r="K22" s="14"/>
      <c r="L22" s="10"/>
      <c r="M22" s="10"/>
      <c r="N22" s="10"/>
      <c r="O22" s="14"/>
      <c r="P22" s="10"/>
      <c r="U22">
        <v>18</v>
      </c>
      <c r="V22" s="71" t="s">
        <v>292</v>
      </c>
      <c r="W22" t="s">
        <v>77</v>
      </c>
      <c r="X22" s="72" t="s">
        <v>293</v>
      </c>
      <c r="AA22" s="34"/>
      <c r="AB22" s="40"/>
      <c r="AC22" s="40"/>
      <c r="AD22" s="38" t="s">
        <v>159</v>
      </c>
      <c r="AE22" s="48">
        <v>14</v>
      </c>
      <c r="AF22" s="53" t="str">
        <f t="shared" ca="1" si="2"/>
        <v>Venc.J8</v>
      </c>
      <c r="AG22" s="37" t="s">
        <v>157</v>
      </c>
      <c r="AH22" s="65" t="str">
        <f t="shared" ca="1" si="3"/>
        <v>Venc.J9</v>
      </c>
      <c r="AI22" s="74"/>
    </row>
    <row r="23" spans="4:35" ht="13" thickBot="1">
      <c r="F23" s="10"/>
      <c r="G23" s="10"/>
      <c r="H23" s="12"/>
      <c r="I23" s="13" t="s">
        <v>214</v>
      </c>
      <c r="J23" s="9" t="str">
        <f>IF(OR(I22="",I24=""),"",+IF(I22&gt;I24,F22,F24))</f>
        <v/>
      </c>
      <c r="K23" s="16"/>
      <c r="L23" s="10"/>
      <c r="M23" s="10"/>
      <c r="N23" s="10"/>
      <c r="O23" s="14"/>
      <c r="P23" s="10"/>
      <c r="U23" s="28">
        <v>19</v>
      </c>
      <c r="V23" s="76" t="s">
        <v>294</v>
      </c>
      <c r="W23" s="72" t="s">
        <v>77</v>
      </c>
      <c r="X23" s="72" t="s">
        <v>295</v>
      </c>
      <c r="AA23" s="34"/>
      <c r="AB23" s="40"/>
      <c r="AC23" s="40"/>
      <c r="AD23" s="38" t="s">
        <v>159</v>
      </c>
      <c r="AE23" s="48">
        <v>15</v>
      </c>
      <c r="AF23" s="53" t="str">
        <f t="shared" ca="1" si="2"/>
        <v>Venc.J10</v>
      </c>
      <c r="AG23" s="37" t="s">
        <v>157</v>
      </c>
      <c r="AH23" s="65" t="str">
        <f t="shared" ca="1" si="3"/>
        <v>Venc.J11</v>
      </c>
      <c r="AI23" s="74"/>
    </row>
    <row r="24" spans="4:35" ht="13" thickBot="1">
      <c r="D24" t="s">
        <v>329</v>
      </c>
      <c r="E24">
        <v>9</v>
      </c>
      <c r="F24" s="9" t="s">
        <v>329</v>
      </c>
      <c r="G24" s="9"/>
      <c r="H24" s="9" t="str">
        <f>F24</f>
        <v>Caconde</v>
      </c>
      <c r="I24" s="16"/>
      <c r="J24" s="10"/>
      <c r="K24" s="10"/>
      <c r="L24" s="10"/>
      <c r="M24" s="10"/>
      <c r="N24" s="10"/>
      <c r="O24" s="14"/>
      <c r="P24" s="10"/>
      <c r="AA24" s="34"/>
      <c r="AB24" s="40"/>
      <c r="AC24" s="40"/>
      <c r="AD24" s="38" t="s">
        <v>159</v>
      </c>
      <c r="AE24" s="48">
        <v>16</v>
      </c>
      <c r="AF24" s="53" t="str">
        <f t="shared" ca="1" si="2"/>
        <v>Venc.J12</v>
      </c>
      <c r="AG24" s="37" t="s">
        <v>157</v>
      </c>
      <c r="AH24" s="65" t="str">
        <f t="shared" ca="1" si="3"/>
        <v>Venc.J13</v>
      </c>
      <c r="AI24" s="74"/>
    </row>
    <row r="25" spans="4:35">
      <c r="F25" s="10"/>
      <c r="G25" s="10"/>
      <c r="H25" s="10"/>
      <c r="I25" s="10"/>
      <c r="J25" s="10"/>
      <c r="K25" s="10"/>
      <c r="L25" s="10"/>
      <c r="M25" s="10"/>
      <c r="N25" s="10"/>
      <c r="O25" s="14"/>
      <c r="P25" s="10"/>
      <c r="V25" s="29"/>
      <c r="X25" s="28"/>
      <c r="AA25" s="34"/>
      <c r="AB25" s="40"/>
      <c r="AC25" s="40"/>
      <c r="AD25" s="38" t="s">
        <v>159</v>
      </c>
      <c r="AE25" s="48">
        <v>17</v>
      </c>
      <c r="AF25" s="53" t="str">
        <f t="shared" ca="1" si="2"/>
        <v>Venc.J14</v>
      </c>
      <c r="AG25" s="37" t="s">
        <v>157</v>
      </c>
      <c r="AH25" s="65" t="str">
        <f t="shared" ca="1" si="3"/>
        <v>Venc.J15</v>
      </c>
      <c r="AI25" s="74"/>
    </row>
    <row r="26" spans="4:35" ht="13" thickBot="1">
      <c r="D26" t="s">
        <v>330</v>
      </c>
      <c r="E26">
        <v>10</v>
      </c>
      <c r="F26" s="10" t="s">
        <v>330</v>
      </c>
      <c r="G26" s="9"/>
      <c r="H26" s="9" t="str">
        <f>F26</f>
        <v>Engenheiro Coelho</v>
      </c>
      <c r="I26" s="11"/>
      <c r="J26" s="10"/>
      <c r="K26" s="10"/>
      <c r="L26" s="10"/>
      <c r="M26" s="10"/>
      <c r="N26" s="79" t="s">
        <v>278</v>
      </c>
      <c r="O26" s="70" t="s">
        <v>240</v>
      </c>
      <c r="P26" s="9" t="str">
        <f>IF(OR(O17="",O36=""),"",+IF(O17&gt;O36,N17,N36))</f>
        <v/>
      </c>
      <c r="AA26" s="34"/>
      <c r="AB26" s="40"/>
      <c r="AC26" s="40"/>
      <c r="AD26" s="38" t="s">
        <v>159</v>
      </c>
      <c r="AE26" s="48">
        <v>18</v>
      </c>
      <c r="AF26" s="53" t="str">
        <f t="shared" ca="1" si="2"/>
        <v>Perd.J16</v>
      </c>
      <c r="AG26" s="37" t="s">
        <v>157</v>
      </c>
      <c r="AH26" s="65" t="str">
        <f t="shared" ca="1" si="3"/>
        <v>Perd.J17</v>
      </c>
      <c r="AI26" s="74"/>
    </row>
    <row r="27" spans="4:35">
      <c r="F27" s="12"/>
      <c r="G27" s="10"/>
      <c r="H27" s="10"/>
      <c r="I27" s="13"/>
      <c r="J27" s="10"/>
      <c r="K27" s="10"/>
      <c r="L27" s="10"/>
      <c r="M27" s="10"/>
      <c r="N27" s="10"/>
      <c r="O27" s="14"/>
      <c r="P27" s="10"/>
      <c r="AA27" s="34"/>
      <c r="AB27" s="40"/>
      <c r="AC27" s="40"/>
      <c r="AD27" s="38" t="s">
        <v>159</v>
      </c>
      <c r="AE27" s="48">
        <v>19</v>
      </c>
      <c r="AF27" s="53" t="str">
        <f t="shared" ca="1" si="2"/>
        <v>Venc.J.16</v>
      </c>
      <c r="AG27" s="37" t="s">
        <v>157</v>
      </c>
      <c r="AH27" s="65" t="str">
        <f t="shared" ca="1" si="3"/>
        <v>Venc.J.17</v>
      </c>
      <c r="AI27" s="74"/>
    </row>
    <row r="28" spans="4:35" ht="13" thickBot="1">
      <c r="F28" s="10"/>
      <c r="G28" s="10"/>
      <c r="H28" s="10"/>
      <c r="I28" s="14" t="s">
        <v>217</v>
      </c>
      <c r="J28" s="9" t="str">
        <f>IF(OR(I26="",I30=""),"",+IF(I26&gt;I30,H26,H30))</f>
        <v/>
      </c>
      <c r="K28" s="11"/>
      <c r="L28" s="10"/>
      <c r="M28" s="10"/>
      <c r="N28" s="10"/>
      <c r="O28" s="14"/>
      <c r="P28" s="10"/>
      <c r="AA28" s="42"/>
      <c r="AB28" s="43"/>
      <c r="AC28" s="43"/>
      <c r="AD28" s="43"/>
      <c r="AE28" s="61"/>
      <c r="AF28" s="62"/>
      <c r="AG28" s="63"/>
      <c r="AH28" s="60"/>
      <c r="AI28" s="75"/>
    </row>
    <row r="29" spans="4:35" ht="13" thickBot="1">
      <c r="D29" t="s">
        <v>331</v>
      </c>
      <c r="E29">
        <v>11</v>
      </c>
      <c r="F29" s="10" t="s">
        <v>331</v>
      </c>
      <c r="G29" s="11"/>
      <c r="H29" s="10"/>
      <c r="I29" s="14"/>
      <c r="J29" s="10"/>
      <c r="K29" s="13"/>
      <c r="L29" s="10"/>
      <c r="M29" s="10"/>
      <c r="N29" s="10"/>
      <c r="O29" s="14"/>
      <c r="P29" s="10"/>
    </row>
    <row r="30" spans="4:35" ht="13" thickBot="1">
      <c r="F30" s="12"/>
      <c r="G30" s="13" t="s">
        <v>204</v>
      </c>
      <c r="H30" s="9" t="str">
        <f>IF(OR(G29="",G31=""),"",+IF(G29&gt;G31,F29,F31))</f>
        <v/>
      </c>
      <c r="I30" s="16"/>
      <c r="J30" s="10"/>
      <c r="K30" s="14"/>
      <c r="L30" s="10"/>
      <c r="M30" s="10"/>
      <c r="N30" s="10"/>
      <c r="O30" s="14"/>
      <c r="P30" s="10"/>
    </row>
    <row r="31" spans="4:35" ht="13" thickBot="1">
      <c r="D31" t="s">
        <v>332</v>
      </c>
      <c r="E31">
        <v>12</v>
      </c>
      <c r="F31" s="10" t="s">
        <v>332</v>
      </c>
      <c r="G31" s="16"/>
      <c r="H31" s="10"/>
      <c r="I31" s="10"/>
      <c r="J31" s="10"/>
      <c r="K31" s="14" t="s">
        <v>229</v>
      </c>
      <c r="L31" s="9" t="str">
        <f>IF(OR(K28="",K34=""),"",+IF(K28&gt;K34,J28,J34))</f>
        <v/>
      </c>
      <c r="M31" s="11"/>
      <c r="N31" s="10"/>
      <c r="O31" s="14"/>
      <c r="P31" s="10"/>
    </row>
    <row r="32" spans="4:35">
      <c r="F32" s="12"/>
      <c r="G32" s="10"/>
      <c r="H32" s="10"/>
      <c r="I32" s="10"/>
      <c r="J32" s="10"/>
      <c r="K32" s="14"/>
      <c r="L32" s="12"/>
      <c r="M32" s="13"/>
      <c r="N32" s="10"/>
      <c r="O32" s="14"/>
      <c r="P32" s="10"/>
    </row>
    <row r="33" spans="4:35" ht="13" thickBot="1">
      <c r="D33" t="s">
        <v>333</v>
      </c>
      <c r="E33">
        <v>13</v>
      </c>
      <c r="F33" s="9" t="s">
        <v>333</v>
      </c>
      <c r="G33" s="9"/>
      <c r="H33" s="9" t="str">
        <f>F33</f>
        <v>Bananal</v>
      </c>
      <c r="I33" s="11"/>
      <c r="J33" s="10"/>
      <c r="K33" s="14"/>
      <c r="L33" s="10"/>
      <c r="M33" s="14"/>
      <c r="N33" s="10"/>
      <c r="O33" s="14"/>
      <c r="P33" s="10"/>
      <c r="W33" s="76"/>
    </row>
    <row r="34" spans="4:35" ht="13.35" thickBot="1">
      <c r="F34" s="10"/>
      <c r="G34" s="10"/>
      <c r="H34" s="10"/>
      <c r="I34" s="13" t="s">
        <v>219</v>
      </c>
      <c r="J34" s="9" t="str">
        <f>IF(OR(I33="",I35=""),"",+IF(I33&gt;I35,F33,F35))</f>
        <v/>
      </c>
      <c r="K34" s="16"/>
      <c r="L34" s="10"/>
      <c r="M34" s="14"/>
      <c r="N34" s="10"/>
      <c r="O34" s="14"/>
      <c r="P34" s="10"/>
      <c r="V34"/>
      <c r="W34" s="99"/>
      <c r="AE34"/>
      <c r="AF34" s="10"/>
      <c r="AG34" s="28"/>
      <c r="AH34"/>
      <c r="AI34" s="29"/>
    </row>
    <row r="35" spans="4:35" ht="13" thickBot="1">
      <c r="D35" t="s">
        <v>334</v>
      </c>
      <c r="E35">
        <v>14</v>
      </c>
      <c r="F35" s="9" t="s">
        <v>334</v>
      </c>
      <c r="G35" s="9"/>
      <c r="H35" s="9" t="str">
        <f>F35</f>
        <v>Bariri</v>
      </c>
      <c r="I35" s="16"/>
      <c r="J35" s="10"/>
      <c r="K35" s="10"/>
      <c r="L35" s="10"/>
      <c r="M35" s="14"/>
      <c r="N35" s="10"/>
      <c r="O35" s="14"/>
      <c r="P35" s="10"/>
      <c r="V35"/>
      <c r="AE35"/>
      <c r="AF35" s="10"/>
      <c r="AG35" s="28"/>
      <c r="AH35"/>
      <c r="AI35" s="29"/>
    </row>
    <row r="36" spans="4:35" ht="13" thickBot="1">
      <c r="F36" s="10"/>
      <c r="G36" s="10"/>
      <c r="H36" s="10"/>
      <c r="I36" s="10"/>
      <c r="J36" s="10"/>
      <c r="K36" s="10"/>
      <c r="L36" s="10"/>
      <c r="M36" s="14" t="s">
        <v>236</v>
      </c>
      <c r="N36" s="9" t="str">
        <f>IF(OR(M31="",M41=""),"",+IF(M31&gt;M41,L31,L41))</f>
        <v/>
      </c>
      <c r="O36" s="16"/>
      <c r="P36" s="10"/>
      <c r="V36"/>
      <c r="AE36"/>
      <c r="AF36" s="10"/>
      <c r="AG36" s="28"/>
      <c r="AH36"/>
      <c r="AI36" s="29"/>
    </row>
    <row r="37" spans="4:35" ht="13" thickBot="1">
      <c r="D37" t="s">
        <v>335</v>
      </c>
      <c r="E37">
        <v>15</v>
      </c>
      <c r="F37" s="9" t="s">
        <v>335</v>
      </c>
      <c r="G37" s="9"/>
      <c r="H37" s="9" t="str">
        <f>F37</f>
        <v>Bastos</v>
      </c>
      <c r="I37" s="11"/>
      <c r="J37" s="10"/>
      <c r="K37" s="10"/>
      <c r="L37" s="10"/>
      <c r="M37" s="14"/>
      <c r="N37" s="10"/>
      <c r="O37" s="10"/>
      <c r="P37" s="10"/>
      <c r="V37"/>
      <c r="AE37"/>
      <c r="AF37" s="10"/>
      <c r="AG37" s="28"/>
      <c r="AH37"/>
      <c r="AI37" s="29"/>
    </row>
    <row r="38" spans="4:35" ht="13" thickBot="1">
      <c r="F38" s="10"/>
      <c r="G38" s="10"/>
      <c r="H38" s="10"/>
      <c r="I38" s="13" t="s">
        <v>221</v>
      </c>
      <c r="J38" s="9" t="str">
        <f>IF(OR(I37="",I39=""),"",+IF(I37&gt;I39,F37,F39))</f>
        <v/>
      </c>
      <c r="K38" s="17"/>
      <c r="L38" s="10"/>
      <c r="M38" s="14"/>
      <c r="N38" s="10"/>
      <c r="O38" s="10"/>
      <c r="P38" s="10"/>
      <c r="V38"/>
      <c r="AE38"/>
      <c r="AF38" s="10"/>
      <c r="AG38" s="28"/>
      <c r="AH38"/>
      <c r="AI38" s="29"/>
    </row>
    <row r="39" spans="4:35" ht="13" thickBot="1">
      <c r="D39" t="s">
        <v>336</v>
      </c>
      <c r="E39">
        <v>16</v>
      </c>
      <c r="F39" s="9" t="s">
        <v>336</v>
      </c>
      <c r="G39" s="9"/>
      <c r="H39" s="9" t="str">
        <f>F39</f>
        <v>Barretos</v>
      </c>
      <c r="I39" s="16"/>
      <c r="J39" s="10"/>
      <c r="K39" s="13"/>
      <c r="L39" s="10"/>
      <c r="M39" s="14"/>
      <c r="N39" s="10"/>
      <c r="O39" s="10"/>
      <c r="P39" s="10"/>
      <c r="V39"/>
      <c r="AE39"/>
      <c r="AF39" s="10"/>
      <c r="AG39" s="28"/>
      <c r="AH39"/>
      <c r="AI39" s="29"/>
    </row>
    <row r="40" spans="4:35">
      <c r="F40" s="10"/>
      <c r="G40" s="10"/>
      <c r="H40" s="10"/>
      <c r="I40" s="10"/>
      <c r="J40" s="10"/>
      <c r="K40" s="14"/>
      <c r="L40" s="10"/>
      <c r="M40" s="14"/>
      <c r="N40" s="10"/>
      <c r="O40" s="10"/>
      <c r="P40" s="10"/>
      <c r="V40"/>
      <c r="AE40"/>
      <c r="AF40" s="10"/>
      <c r="AG40" s="28"/>
      <c r="AH40"/>
      <c r="AI40" s="29"/>
    </row>
    <row r="41" spans="4:35" ht="13" thickBot="1">
      <c r="D41" t="s">
        <v>337</v>
      </c>
      <c r="E41">
        <v>17</v>
      </c>
      <c r="F41" s="10" t="s">
        <v>337</v>
      </c>
      <c r="G41" s="11"/>
      <c r="H41" s="10"/>
      <c r="I41" s="10"/>
      <c r="J41" s="10"/>
      <c r="K41" s="14" t="s">
        <v>232</v>
      </c>
      <c r="L41" s="18" t="str">
        <f>IF(OR(J38="",J43=""),"",+IF(K38&gt;K43,J38,J43))</f>
        <v/>
      </c>
      <c r="M41" s="16"/>
      <c r="N41" s="10"/>
      <c r="O41" s="10"/>
      <c r="P41" s="10"/>
      <c r="V41"/>
      <c r="AE41"/>
      <c r="AF41" s="10"/>
      <c r="AG41" s="28"/>
      <c r="AH41"/>
      <c r="AI41" s="29"/>
    </row>
    <row r="42" spans="4:35" ht="13" thickBot="1">
      <c r="F42" s="12"/>
      <c r="G42" s="13" t="s">
        <v>206</v>
      </c>
      <c r="H42" s="9" t="str">
        <f>IF(OR(G41="",G43=""),"",+IF(G41&gt;G43,F41,F43))</f>
        <v/>
      </c>
      <c r="I42" s="17"/>
      <c r="J42" s="10"/>
      <c r="K42" s="14"/>
      <c r="L42" s="10"/>
      <c r="M42" s="10"/>
      <c r="N42" s="10"/>
      <c r="O42" s="10"/>
      <c r="P42" s="10"/>
      <c r="V42"/>
      <c r="AE42"/>
      <c r="AF42" s="10"/>
      <c r="AG42" s="28"/>
      <c r="AH42"/>
      <c r="AI42" s="29"/>
    </row>
    <row r="43" spans="4:35" ht="13" thickBot="1">
      <c r="D43" t="s">
        <v>338</v>
      </c>
      <c r="E43">
        <v>18</v>
      </c>
      <c r="F43" s="9" t="s">
        <v>338</v>
      </c>
      <c r="G43" s="16"/>
      <c r="H43" s="10"/>
      <c r="I43" s="13"/>
      <c r="J43" s="9" t="str">
        <f>IF(OR(I42="",I45=""),"",+IF(I42&gt;I45,H42,H45))</f>
        <v/>
      </c>
      <c r="K43" s="16"/>
      <c r="L43" s="10"/>
      <c r="M43" s="10"/>
      <c r="N43" s="10"/>
      <c r="O43" s="10"/>
      <c r="P43" s="10"/>
      <c r="V43"/>
      <c r="AE43"/>
      <c r="AF43" s="10"/>
      <c r="AG43" s="28"/>
      <c r="AH43"/>
      <c r="AI43" s="29"/>
    </row>
    <row r="44" spans="4:35">
      <c r="F44" s="10"/>
      <c r="G44" s="10"/>
      <c r="H44" s="10"/>
      <c r="I44" s="14" t="s">
        <v>223</v>
      </c>
      <c r="J44" s="10"/>
      <c r="K44" s="10"/>
      <c r="L44" s="10"/>
      <c r="M44" s="10"/>
      <c r="N44" s="10"/>
      <c r="O44" s="10"/>
      <c r="P44" s="10"/>
      <c r="V44"/>
      <c r="AE44"/>
      <c r="AF44" s="10"/>
      <c r="AG44" s="28"/>
      <c r="AH44"/>
      <c r="AI44" s="29"/>
    </row>
    <row r="45" spans="4:35" ht="13" thickBot="1">
      <c r="D45" t="s">
        <v>339</v>
      </c>
      <c r="E45">
        <v>19</v>
      </c>
      <c r="F45" s="9" t="s">
        <v>339</v>
      </c>
      <c r="G45" s="9"/>
      <c r="H45" s="9" t="str">
        <f>F45</f>
        <v>Araraquara</v>
      </c>
      <c r="I45" s="16"/>
      <c r="J45" s="10"/>
      <c r="K45" s="10"/>
      <c r="L45" s="10"/>
      <c r="M45" s="10"/>
      <c r="N45" s="10"/>
      <c r="O45" s="10"/>
      <c r="P45" s="10"/>
      <c r="V45"/>
      <c r="AE45"/>
      <c r="AF45" s="10"/>
      <c r="AG45" s="28"/>
      <c r="AH45"/>
      <c r="AI45" s="29"/>
    </row>
    <row r="46" spans="4:35" ht="13" thickBot="1">
      <c r="N46" s="9" t="str">
        <f>IF(OR(N17="",N36=""),"",+IF(M12&gt;M21,L21,L12))</f>
        <v/>
      </c>
      <c r="O46" s="17"/>
      <c r="P46" s="10"/>
      <c r="V46"/>
      <c r="AE46"/>
      <c r="AF46" s="10"/>
      <c r="AG46" s="28"/>
      <c r="AH46"/>
      <c r="AI46" s="29"/>
    </row>
    <row r="47" spans="4:35">
      <c r="N47" s="10"/>
      <c r="O47" s="10"/>
      <c r="P47" s="19"/>
      <c r="V47"/>
      <c r="AE47"/>
      <c r="AF47" s="10"/>
      <c r="AG47" s="28"/>
      <c r="AH47"/>
      <c r="AI47" s="29"/>
    </row>
    <row r="48" spans="4:35">
      <c r="N48" s="10"/>
      <c r="O48" s="10"/>
      <c r="P48" s="19"/>
      <c r="V48"/>
      <c r="AE48"/>
      <c r="AF48" s="10"/>
      <c r="AG48" s="28"/>
      <c r="AH48"/>
      <c r="AI48" s="29"/>
    </row>
    <row r="49" spans="14:35">
      <c r="N49" s="10"/>
      <c r="O49" s="10"/>
      <c r="P49" s="19"/>
      <c r="V49"/>
      <c r="AE49"/>
      <c r="AF49" s="10"/>
      <c r="AG49" s="28"/>
      <c r="AH49"/>
      <c r="AI49" s="29"/>
    </row>
    <row r="50" spans="14:35">
      <c r="N50" s="10"/>
      <c r="O50" s="10"/>
      <c r="P50" s="19"/>
      <c r="V50"/>
      <c r="AE50"/>
      <c r="AF50" s="10"/>
      <c r="AG50" s="28"/>
      <c r="AH50"/>
      <c r="AI50" s="29"/>
    </row>
    <row r="51" spans="14:35" ht="13" thickBot="1">
      <c r="N51" s="79" t="s">
        <v>279</v>
      </c>
      <c r="O51" s="14" t="s">
        <v>238</v>
      </c>
      <c r="P51" s="9" t="str">
        <f>IF(OR(O46="",O55=""),"",+IF(O46&gt;O55,N46,N55))</f>
        <v/>
      </c>
      <c r="V51"/>
      <c r="AE51"/>
      <c r="AF51" s="10"/>
      <c r="AG51" s="28"/>
      <c r="AH51"/>
      <c r="AI51" s="29"/>
    </row>
    <row r="52" spans="14:35">
      <c r="N52" s="10"/>
      <c r="O52" s="10"/>
      <c r="P52" s="19"/>
      <c r="V52"/>
      <c r="AE52"/>
      <c r="AF52" s="10"/>
      <c r="AG52" s="28"/>
      <c r="AH52"/>
      <c r="AI52" s="29"/>
    </row>
    <row r="53" spans="14:35">
      <c r="N53" s="10"/>
      <c r="O53" s="10"/>
      <c r="P53" s="19"/>
    </row>
    <row r="54" spans="14:35">
      <c r="N54" s="10"/>
      <c r="O54" s="10"/>
      <c r="P54" s="19"/>
    </row>
    <row r="55" spans="14:35" ht="13" thickBot="1">
      <c r="N55" s="9" t="str">
        <f>IF(OR(N17="",N36=""),"",+IF(M31&gt;M41,L41,L31))</f>
        <v/>
      </c>
      <c r="O55" s="16"/>
      <c r="P55" s="19"/>
    </row>
    <row r="56" spans="14:35">
      <c r="N56" s="10"/>
      <c r="O56" s="10"/>
      <c r="P56" s="10"/>
    </row>
  </sheetData>
  <mergeCells count="3">
    <mergeCell ref="AC6:AH6"/>
    <mergeCell ref="AB7:AH7"/>
    <mergeCell ref="AD8:AE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Plan16"/>
  <dimension ref="D4:AH53"/>
  <sheetViews>
    <sheetView showGridLines="0" topLeftCell="A33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 t="e">
        <f>E10</f>
        <v>#REF!</v>
      </c>
      <c r="V5" t="s">
        <v>77</v>
      </c>
      <c r="W5" s="29" t="e">
        <f>E12</f>
        <v>#REF!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 t="e">
        <f>E38</f>
        <v>#REF!</v>
      </c>
      <c r="V6" t="s">
        <v>77</v>
      </c>
      <c r="W6" s="29" t="e">
        <f>E40</f>
        <v>#REF!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9" t="e">
        <f>#REF!</f>
        <v>#REF!</v>
      </c>
      <c r="F7" s="9"/>
      <c r="G7" s="9" t="e">
        <f>E7</f>
        <v>#REF!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 t="e">
        <f>E7</f>
        <v>#REF!</v>
      </c>
      <c r="V7" t="s">
        <v>77</v>
      </c>
      <c r="W7" s="29" t="s">
        <v>78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 t="e">
        <f>E14</f>
        <v>#REF!</v>
      </c>
      <c r="V8" t="s">
        <v>77</v>
      </c>
      <c r="W8" s="29" t="e">
        <f>E16</f>
        <v>#REF!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206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T9">
        <v>5</v>
      </c>
      <c r="U9" s="28" t="e">
        <f>E18</f>
        <v>#REF!</v>
      </c>
      <c r="V9" t="s">
        <v>77</v>
      </c>
      <c r="W9" s="29" t="e">
        <f>E20</f>
        <v>#REF!</v>
      </c>
      <c r="Z9" s="34"/>
      <c r="AA9" s="40"/>
      <c r="AB9" s="40"/>
      <c r="AC9" s="38" t="s">
        <v>159</v>
      </c>
      <c r="AD9" s="48"/>
      <c r="AE9" s="53" t="e">
        <f t="shared" ref="AE9:AE19" si="0">LOOKUP(AD9,T$5:T$78,U$5:U$24)</f>
        <v>#N/A</v>
      </c>
      <c r="AF9" s="37" t="s">
        <v>157</v>
      </c>
      <c r="AG9" s="65" t="e">
        <f t="shared" ref="AG9:AG19" si="1">LOOKUP(AD9,T$5:T$78,W$5:W$24)</f>
        <v>#N/A</v>
      </c>
      <c r="AH9" s="74"/>
    </row>
    <row r="10" spans="4:34" ht="13" thickBot="1">
      <c r="D10">
        <v>2</v>
      </c>
      <c r="E10" s="10" t="e">
        <f>#REF!</f>
        <v>#REF!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 t="e">
        <f>E22</f>
        <v>#REF!</v>
      </c>
      <c r="V10" t="s">
        <v>77</v>
      </c>
      <c r="W10" s="29" t="e">
        <f>E24</f>
        <v>#REF!</v>
      </c>
      <c r="Z10" s="34"/>
      <c r="AA10" s="40"/>
      <c r="AB10" s="40"/>
      <c r="AC10" s="38" t="s">
        <v>159</v>
      </c>
      <c r="AD10" s="48"/>
      <c r="AE10" s="53" t="e">
        <f t="shared" si="0"/>
        <v>#N/A</v>
      </c>
      <c r="AF10" s="37" t="s">
        <v>157</v>
      </c>
      <c r="AG10" s="65" t="e">
        <f t="shared" si="1"/>
        <v>#N/A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 t="e">
        <f>E26</f>
        <v>#REF!</v>
      </c>
      <c r="V11" t="s">
        <v>77</v>
      </c>
      <c r="W11" s="29" t="e">
        <f>E28</f>
        <v>#REF!</v>
      </c>
      <c r="Z11" s="34"/>
      <c r="AA11" s="40"/>
      <c r="AB11" s="40"/>
      <c r="AC11" s="38" t="s">
        <v>159</v>
      </c>
      <c r="AD11" s="48"/>
      <c r="AE11" s="53" t="e">
        <f t="shared" si="0"/>
        <v>#N/A</v>
      </c>
      <c r="AF11" s="37" t="s">
        <v>157</v>
      </c>
      <c r="AG11" s="65" t="e">
        <f t="shared" si="1"/>
        <v>#N/A</v>
      </c>
      <c r="AH11" s="74"/>
    </row>
    <row r="12" spans="4:34" ht="13" thickBot="1">
      <c r="D12">
        <v>3</v>
      </c>
      <c r="E12" s="10" t="e">
        <f>#REF!</f>
        <v>#REF!</v>
      </c>
      <c r="F12" s="16"/>
      <c r="G12" s="10"/>
      <c r="H12" s="10"/>
      <c r="I12" s="10"/>
      <c r="J12" s="14" t="s">
        <v>223</v>
      </c>
      <c r="K12" s="9" t="str">
        <f>IF(OR(J9="",J15=""),"",+IF(J9&gt;J15,I9,I15))</f>
        <v/>
      </c>
      <c r="L12" s="17"/>
      <c r="M12" s="10"/>
      <c r="N12" s="10"/>
      <c r="O12" s="10"/>
      <c r="T12">
        <v>8</v>
      </c>
      <c r="U12" s="28" t="e">
        <f>E30</f>
        <v>#REF!</v>
      </c>
      <c r="V12" t="s">
        <v>77</v>
      </c>
      <c r="W12" s="29" t="e">
        <f>E32</f>
        <v>#REF!</v>
      </c>
      <c r="Z12" s="34"/>
      <c r="AA12" s="40"/>
      <c r="AB12" s="40"/>
      <c r="AC12" s="38" t="s">
        <v>159</v>
      </c>
      <c r="AD12" s="48"/>
      <c r="AE12" s="53" t="e">
        <f t="shared" si="0"/>
        <v>#N/A</v>
      </c>
      <c r="AF12" s="37" t="s">
        <v>157</v>
      </c>
      <c r="AG12" s="65" t="e">
        <f t="shared" si="1"/>
        <v>#N/A</v>
      </c>
      <c r="AH12" s="74"/>
    </row>
    <row r="13" spans="4:34">
      <c r="E13" s="12"/>
      <c r="F13" s="10"/>
      <c r="G13" s="10"/>
      <c r="H13" s="10"/>
      <c r="I13" s="10"/>
      <c r="J13" s="14"/>
      <c r="K13" s="10"/>
      <c r="L13" s="10"/>
      <c r="M13" s="19"/>
      <c r="N13" s="10"/>
      <c r="O13" s="10"/>
      <c r="T13">
        <v>9</v>
      </c>
      <c r="U13" s="28" t="e">
        <f>E34</f>
        <v>#REF!</v>
      </c>
      <c r="V13" t="s">
        <v>77</v>
      </c>
      <c r="W13" s="29" t="e">
        <f>E36</f>
        <v>#REF!</v>
      </c>
      <c r="Z13" s="34"/>
      <c r="AA13" s="40"/>
      <c r="AB13" s="40"/>
      <c r="AC13" s="38" t="s">
        <v>159</v>
      </c>
      <c r="AD13" s="48"/>
      <c r="AE13" s="53" t="e">
        <f t="shared" si="0"/>
        <v>#N/A</v>
      </c>
      <c r="AF13" s="37" t="s">
        <v>157</v>
      </c>
      <c r="AG13" s="65" t="e">
        <f t="shared" si="1"/>
        <v>#N/A</v>
      </c>
      <c r="AH13" s="74"/>
    </row>
    <row r="14" spans="4:34" ht="13" thickBot="1">
      <c r="D14">
        <v>4</v>
      </c>
      <c r="E14" s="9" t="e">
        <f>#REF!</f>
        <v>#REF!</v>
      </c>
      <c r="F14" s="9"/>
      <c r="G14" s="9" t="e">
        <f>E14</f>
        <v>#REF!</v>
      </c>
      <c r="H14" s="11"/>
      <c r="I14" s="10"/>
      <c r="J14" s="14"/>
      <c r="K14" s="10"/>
      <c r="L14" s="10"/>
      <c r="M14" s="19"/>
      <c r="N14" s="10"/>
      <c r="O14" s="10"/>
      <c r="T14">
        <v>10</v>
      </c>
      <c r="U14" s="28" t="s">
        <v>160</v>
      </c>
      <c r="V14" t="s">
        <v>77</v>
      </c>
      <c r="W14" s="29" t="e">
        <f>E42</f>
        <v>#REF!</v>
      </c>
      <c r="Z14" s="34"/>
      <c r="AA14" s="40"/>
      <c r="AB14" s="40"/>
      <c r="AC14" s="38" t="s">
        <v>159</v>
      </c>
      <c r="AD14" s="48"/>
      <c r="AE14" s="53" t="e">
        <f t="shared" si="0"/>
        <v>#N/A</v>
      </c>
      <c r="AF14" s="37" t="s">
        <v>157</v>
      </c>
      <c r="AG14" s="65" t="e">
        <f t="shared" si="1"/>
        <v>#N/A</v>
      </c>
      <c r="AH14" s="74"/>
    </row>
    <row r="15" spans="4:34" ht="13" thickBot="1">
      <c r="E15" s="10"/>
      <c r="F15" s="10"/>
      <c r="G15" s="10"/>
      <c r="H15" s="13" t="s">
        <v>208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T15">
        <v>11</v>
      </c>
      <c r="U15" s="28" t="s">
        <v>161</v>
      </c>
      <c r="V15" t="s">
        <v>77</v>
      </c>
      <c r="W15" s="29" t="s">
        <v>81</v>
      </c>
      <c r="Z15" s="34"/>
      <c r="AA15" s="40"/>
      <c r="AB15" s="40"/>
      <c r="AC15" s="38" t="s">
        <v>159</v>
      </c>
      <c r="AD15" s="48"/>
      <c r="AE15" s="53" t="e">
        <f t="shared" si="0"/>
        <v>#N/A</v>
      </c>
      <c r="AF15" s="37" t="s">
        <v>157</v>
      </c>
      <c r="AG15" s="65" t="e">
        <f t="shared" si="1"/>
        <v>#N/A</v>
      </c>
      <c r="AH15" s="74"/>
    </row>
    <row r="16" spans="4:34" ht="13" thickBot="1">
      <c r="D16">
        <v>5</v>
      </c>
      <c r="E16" s="9" t="e">
        <f>#REF!</f>
        <v>#REF!</v>
      </c>
      <c r="F16" s="9"/>
      <c r="G16" s="9" t="e">
        <f>E16</f>
        <v>#REF!</v>
      </c>
      <c r="H16" s="16"/>
      <c r="I16" s="10"/>
      <c r="J16" s="10"/>
      <c r="K16" s="10"/>
      <c r="L16" s="10"/>
      <c r="M16" s="19"/>
      <c r="N16" s="10"/>
      <c r="O16" s="10"/>
      <c r="T16">
        <v>12</v>
      </c>
      <c r="U16" s="28" t="s">
        <v>162</v>
      </c>
      <c r="V16" t="s">
        <v>77</v>
      </c>
      <c r="W16" s="29" t="s">
        <v>163</v>
      </c>
      <c r="Z16" s="34"/>
      <c r="AA16" s="40"/>
      <c r="AB16" s="40"/>
      <c r="AC16" s="38" t="s">
        <v>159</v>
      </c>
      <c r="AD16" s="48"/>
      <c r="AE16" s="53" t="e">
        <f t="shared" si="0"/>
        <v>#N/A</v>
      </c>
      <c r="AF16" s="37" t="s">
        <v>157</v>
      </c>
      <c r="AG16" s="65" t="e">
        <f t="shared" si="1"/>
        <v>#N/A</v>
      </c>
      <c r="AH16" s="74"/>
    </row>
    <row r="17" spans="4:34" ht="13" thickBot="1">
      <c r="E17" s="10"/>
      <c r="F17" s="10"/>
      <c r="G17" s="10"/>
      <c r="H17" s="10"/>
      <c r="I17" s="10"/>
      <c r="J17" s="10"/>
      <c r="K17" s="10"/>
      <c r="L17" s="14" t="s">
        <v>232</v>
      </c>
      <c r="M17" s="9" t="str">
        <f>IF(OR(L12="",L21=""),"",+IF(L12&gt;L21,K12,K21))</f>
        <v/>
      </c>
      <c r="N17" s="17"/>
      <c r="O17" s="10"/>
      <c r="T17">
        <v>13</v>
      </c>
      <c r="U17" s="28" t="s">
        <v>84</v>
      </c>
      <c r="V17" t="s">
        <v>77</v>
      </c>
      <c r="W17" s="29" t="s">
        <v>164</v>
      </c>
      <c r="Z17" s="34"/>
      <c r="AA17" s="40"/>
      <c r="AB17" s="40"/>
      <c r="AC17" s="38" t="s">
        <v>159</v>
      </c>
      <c r="AD17" s="48"/>
      <c r="AE17" s="53" t="e">
        <f t="shared" si="0"/>
        <v>#N/A</v>
      </c>
      <c r="AF17" s="37" t="s">
        <v>157</v>
      </c>
      <c r="AG17" s="65" t="e">
        <f t="shared" si="1"/>
        <v>#N/A</v>
      </c>
      <c r="AH17" s="74"/>
    </row>
    <row r="18" spans="4:34" ht="13" thickBot="1">
      <c r="D18">
        <v>6</v>
      </c>
      <c r="E18" s="9" t="e">
        <f>#REF!</f>
        <v>#REF!</v>
      </c>
      <c r="F18" s="9"/>
      <c r="G18" s="9" t="e">
        <f>E18</f>
        <v>#REF!</v>
      </c>
      <c r="H18" s="11"/>
      <c r="I18" s="10"/>
      <c r="J18" s="10"/>
      <c r="K18" s="10"/>
      <c r="L18" s="10"/>
      <c r="M18" s="19"/>
      <c r="N18" s="13"/>
      <c r="O18" s="10"/>
      <c r="T18">
        <v>14</v>
      </c>
      <c r="U18" s="28" t="s">
        <v>86</v>
      </c>
      <c r="V18" t="s">
        <v>77</v>
      </c>
      <c r="W18" s="29" t="s">
        <v>87</v>
      </c>
      <c r="Z18" s="34"/>
      <c r="AA18" s="40"/>
      <c r="AB18" s="40"/>
      <c r="AC18" s="38" t="s">
        <v>159</v>
      </c>
      <c r="AD18" s="48"/>
      <c r="AE18" s="53" t="e">
        <f t="shared" si="0"/>
        <v>#N/A</v>
      </c>
      <c r="AF18" s="37" t="s">
        <v>157</v>
      </c>
      <c r="AG18" s="65" t="e">
        <f t="shared" si="1"/>
        <v>#N/A</v>
      </c>
      <c r="AH18" s="74"/>
    </row>
    <row r="19" spans="4:34" ht="13" thickBot="1">
      <c r="E19" s="10"/>
      <c r="F19" s="10"/>
      <c r="G19" s="12"/>
      <c r="H19" s="13" t="s">
        <v>210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T19">
        <v>15</v>
      </c>
      <c r="U19" s="28" t="s">
        <v>88</v>
      </c>
      <c r="V19" t="s">
        <v>77</v>
      </c>
      <c r="W19" s="29" t="s">
        <v>89</v>
      </c>
      <c r="Z19" s="34"/>
      <c r="AA19" s="40"/>
      <c r="AB19" s="40"/>
      <c r="AC19" s="38" t="s">
        <v>159</v>
      </c>
      <c r="AD19" s="48"/>
      <c r="AE19" s="53" t="e">
        <f t="shared" si="0"/>
        <v>#N/A</v>
      </c>
      <c r="AF19" s="37" t="s">
        <v>157</v>
      </c>
      <c r="AG19" s="65" t="e">
        <f t="shared" si="1"/>
        <v>#N/A</v>
      </c>
      <c r="AH19" s="74"/>
    </row>
    <row r="20" spans="4:34" ht="13" thickBot="1">
      <c r="D20">
        <v>7</v>
      </c>
      <c r="E20" s="9" t="e">
        <f>#REF!</f>
        <v>#REF!</v>
      </c>
      <c r="F20" s="9"/>
      <c r="G20" s="9" t="e">
        <f>E20</f>
        <v>#REF!</v>
      </c>
      <c r="H20" s="16"/>
      <c r="I20" s="10"/>
      <c r="J20" s="14"/>
      <c r="K20" s="10"/>
      <c r="L20" s="10"/>
      <c r="M20" s="19"/>
      <c r="N20" s="14"/>
      <c r="O20" s="10"/>
      <c r="T20">
        <v>16</v>
      </c>
      <c r="U20" s="28" t="s">
        <v>90</v>
      </c>
      <c r="V20" t="s">
        <v>77</v>
      </c>
      <c r="W20" s="29" t="s">
        <v>91</v>
      </c>
      <c r="Z20" s="34"/>
      <c r="AA20" s="40"/>
      <c r="AB20" s="40"/>
      <c r="AC20" s="38" t="s">
        <v>159</v>
      </c>
      <c r="AD20" s="48"/>
      <c r="AE20" s="53" t="e">
        <f t="shared" ref="AE20:AE25" si="2">LOOKUP(AD20,T$5:T$78,U$5:U$24)</f>
        <v>#N/A</v>
      </c>
      <c r="AF20" s="37" t="s">
        <v>157</v>
      </c>
      <c r="AG20" s="65" t="e">
        <f t="shared" ref="AG20:AG25" si="3">LOOKUP(AD20,T$5:T$78,W$5:W$24)</f>
        <v>#N/A</v>
      </c>
      <c r="AH20" s="74"/>
    </row>
    <row r="21" spans="4:34" ht="13" thickBot="1">
      <c r="E21" s="10"/>
      <c r="F21" s="10"/>
      <c r="G21" s="12"/>
      <c r="H21" s="10"/>
      <c r="I21" s="10"/>
      <c r="J21" s="14" t="s">
        <v>225</v>
      </c>
      <c r="K21" s="9" t="str">
        <f>IF(OR(J19="",J23=""),"",+IF(J19&gt;J23,I19,I23))</f>
        <v/>
      </c>
      <c r="L21" s="16"/>
      <c r="M21" s="19"/>
      <c r="N21" s="14"/>
      <c r="O21" s="10"/>
      <c r="T21">
        <v>17</v>
      </c>
      <c r="U21" s="71" t="s">
        <v>291</v>
      </c>
      <c r="V21" t="s">
        <v>77</v>
      </c>
      <c r="W21" s="72" t="s">
        <v>292</v>
      </c>
      <c r="Z21" s="34"/>
      <c r="AA21" s="40"/>
      <c r="AB21" s="40"/>
      <c r="AC21" s="38" t="s">
        <v>159</v>
      </c>
      <c r="AD21" s="48"/>
      <c r="AE21" s="53" t="e">
        <f t="shared" si="2"/>
        <v>#N/A</v>
      </c>
      <c r="AF21" s="37" t="s">
        <v>157</v>
      </c>
      <c r="AG21" s="65" t="e">
        <f t="shared" si="3"/>
        <v>#N/A</v>
      </c>
      <c r="AH21" s="74"/>
    </row>
    <row r="22" spans="4:34" ht="13" thickBot="1">
      <c r="D22">
        <v>8</v>
      </c>
      <c r="E22" s="9" t="e">
        <f>#REF!</f>
        <v>#REF!</v>
      </c>
      <c r="F22" s="9"/>
      <c r="G22" s="9" t="e">
        <f>E22</f>
        <v>#REF!</v>
      </c>
      <c r="H22" s="11"/>
      <c r="I22" s="10"/>
      <c r="J22" s="14"/>
      <c r="K22" s="10"/>
      <c r="L22" s="10"/>
      <c r="M22" s="10"/>
      <c r="N22" s="14"/>
      <c r="O22" s="10"/>
      <c r="T22">
        <v>18</v>
      </c>
      <c r="U22" s="28" t="s">
        <v>92</v>
      </c>
      <c r="V22" t="s">
        <v>77</v>
      </c>
      <c r="W22" s="29" t="s">
        <v>165</v>
      </c>
      <c r="Z22" s="34"/>
      <c r="AA22" s="40"/>
      <c r="AB22" s="40"/>
      <c r="AC22" s="38" t="s">
        <v>159</v>
      </c>
      <c r="AD22" s="48"/>
      <c r="AE22" s="53" t="e">
        <f t="shared" si="2"/>
        <v>#N/A</v>
      </c>
      <c r="AF22" s="37" t="s">
        <v>157</v>
      </c>
      <c r="AG22" s="65" t="e">
        <f t="shared" si="3"/>
        <v>#N/A</v>
      </c>
      <c r="AH22" s="74"/>
    </row>
    <row r="23" spans="4:34" ht="13" thickBot="1">
      <c r="E23" s="10"/>
      <c r="F23" s="10"/>
      <c r="G23" s="12"/>
      <c r="H23" s="13" t="s">
        <v>212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Z23" s="34"/>
      <c r="AA23" s="40"/>
      <c r="AB23" s="40"/>
      <c r="AC23" s="38" t="s">
        <v>159</v>
      </c>
      <c r="AD23" s="48"/>
      <c r="AE23" s="53" t="e">
        <f t="shared" si="2"/>
        <v>#N/A</v>
      </c>
      <c r="AF23" s="37" t="s">
        <v>157</v>
      </c>
      <c r="AG23" s="65" t="e">
        <f t="shared" si="3"/>
        <v>#N/A</v>
      </c>
      <c r="AH23" s="74"/>
    </row>
    <row r="24" spans="4:34" ht="13" thickBot="1">
      <c r="D24">
        <v>9</v>
      </c>
      <c r="E24" s="9" t="e">
        <f>#REF!</f>
        <v>#REF!</v>
      </c>
      <c r="F24" s="9"/>
      <c r="G24" s="9" t="e">
        <f>E24</f>
        <v>#REF!</v>
      </c>
      <c r="H24" s="16"/>
      <c r="I24" s="10"/>
      <c r="J24" s="10"/>
      <c r="K24" s="10"/>
      <c r="L24" s="10"/>
      <c r="M24" s="10"/>
      <c r="N24" s="14"/>
      <c r="O24" s="10"/>
      <c r="U24" s="29"/>
      <c r="W24" s="28"/>
      <c r="Z24" s="34"/>
      <c r="AA24" s="40"/>
      <c r="AB24" s="40"/>
      <c r="AC24" s="38" t="s">
        <v>159</v>
      </c>
      <c r="AD24" s="48"/>
      <c r="AE24" s="53" t="e">
        <f t="shared" si="2"/>
        <v>#N/A</v>
      </c>
      <c r="AF24" s="37" t="s">
        <v>157</v>
      </c>
      <c r="AG24" s="65" t="e">
        <f t="shared" si="3"/>
        <v>#N/A</v>
      </c>
      <c r="AH24" s="74"/>
    </row>
    <row r="25" spans="4:34" ht="13" thickBot="1">
      <c r="E25" s="10"/>
      <c r="F25" s="10"/>
      <c r="G25" s="10"/>
      <c r="H25" s="10"/>
      <c r="I25" s="10"/>
      <c r="J25" s="10"/>
      <c r="K25" s="10"/>
      <c r="L25" s="10"/>
      <c r="M25" s="79" t="s">
        <v>278</v>
      </c>
      <c r="N25" s="14" t="s">
        <v>238</v>
      </c>
      <c r="O25" s="9" t="str">
        <f>IF(OR(N17="",N33=""),"",+IF(N17&gt;N33,M17,M33))</f>
        <v/>
      </c>
      <c r="Z25" s="34"/>
      <c r="AA25" s="40"/>
      <c r="AB25" s="40"/>
      <c r="AC25" s="38" t="s">
        <v>159</v>
      </c>
      <c r="AD25" s="48"/>
      <c r="AE25" s="53" t="e">
        <f t="shared" si="2"/>
        <v>#N/A</v>
      </c>
      <c r="AF25" s="37" t="s">
        <v>157</v>
      </c>
      <c r="AG25" s="65" t="e">
        <f t="shared" si="3"/>
        <v>#N/A</v>
      </c>
      <c r="AH25" s="74"/>
    </row>
    <row r="26" spans="4:34" ht="13" thickBot="1">
      <c r="D26">
        <v>10</v>
      </c>
      <c r="E26" s="9" t="e">
        <f>#REF!</f>
        <v>#REF!</v>
      </c>
      <c r="F26" s="9"/>
      <c r="G26" s="9" t="e">
        <f>E26</f>
        <v>#REF!</v>
      </c>
      <c r="H26" s="11"/>
      <c r="I26" s="10"/>
      <c r="J26" s="10"/>
      <c r="K26" s="10"/>
      <c r="L26" s="10"/>
      <c r="M26" s="10"/>
      <c r="N26" s="14"/>
      <c r="O26" s="10"/>
      <c r="Z26" s="42"/>
      <c r="AA26" s="43"/>
      <c r="AB26" s="43"/>
      <c r="AC26" s="43"/>
      <c r="AD26" s="61"/>
      <c r="AE26" s="62"/>
      <c r="AF26" s="63"/>
      <c r="AG26" s="60"/>
      <c r="AH26" s="75"/>
    </row>
    <row r="27" spans="4:34" ht="13" thickBot="1">
      <c r="E27" s="10"/>
      <c r="F27" s="10"/>
      <c r="G27" s="12"/>
      <c r="H27" s="13" t="s">
        <v>214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</row>
    <row r="28" spans="4:34" ht="13" thickBot="1">
      <c r="D28">
        <v>11</v>
      </c>
      <c r="E28" s="9" t="e">
        <f>#REF!</f>
        <v>#REF!</v>
      </c>
      <c r="F28" s="9"/>
      <c r="G28" s="9" t="e">
        <f>E28</f>
        <v>#REF!</v>
      </c>
      <c r="H28" s="16"/>
      <c r="I28" s="10"/>
      <c r="J28" s="14"/>
      <c r="K28" s="10"/>
      <c r="L28" s="10"/>
      <c r="M28" s="10"/>
      <c r="N28" s="14"/>
      <c r="O28" s="10"/>
    </row>
    <row r="29" spans="4:34" ht="13" thickBot="1">
      <c r="E29" s="10"/>
      <c r="F29" s="10"/>
      <c r="G29" s="12"/>
      <c r="H29" s="10"/>
      <c r="I29" s="10"/>
      <c r="J29" s="14" t="s">
        <v>227</v>
      </c>
      <c r="K29" s="9" t="str">
        <f>IF(OR(J27="",J31=""),"",+IF(J27&gt;J31,I27,I31))</f>
        <v/>
      </c>
      <c r="L29" s="17"/>
      <c r="M29" s="10"/>
      <c r="N29" s="14"/>
      <c r="O29" s="10"/>
    </row>
    <row r="30" spans="4:34" ht="13" thickBot="1">
      <c r="D30">
        <v>12</v>
      </c>
      <c r="E30" s="9" t="e">
        <f>#REF!</f>
        <v>#REF!</v>
      </c>
      <c r="F30" s="9"/>
      <c r="G30" s="9" t="e">
        <f>E30</f>
        <v>#REF!</v>
      </c>
      <c r="H30" s="11"/>
      <c r="I30" s="10"/>
      <c r="J30" s="14"/>
      <c r="K30" s="10"/>
      <c r="L30" s="14"/>
      <c r="M30" s="10"/>
      <c r="N30" s="14"/>
      <c r="O30" s="10"/>
    </row>
    <row r="31" spans="4:34" ht="13" thickBot="1">
      <c r="E31" s="10"/>
      <c r="F31" s="10"/>
      <c r="G31" s="12"/>
      <c r="H31" s="13" t="s">
        <v>217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</row>
    <row r="32" spans="4:34" ht="13" thickBot="1">
      <c r="D32">
        <v>13</v>
      </c>
      <c r="E32" s="9" t="e">
        <f>#REF!</f>
        <v>#REF!</v>
      </c>
      <c r="F32" s="9"/>
      <c r="G32" s="9" t="e">
        <f>E32</f>
        <v>#REF!</v>
      </c>
      <c r="H32" s="16"/>
      <c r="I32" s="10"/>
      <c r="J32" s="10"/>
      <c r="K32" s="10"/>
      <c r="L32" s="14"/>
      <c r="M32" s="10"/>
      <c r="N32" s="14"/>
      <c r="O32" s="10"/>
    </row>
    <row r="33" spans="4:15" ht="13" thickBot="1">
      <c r="E33" s="10"/>
      <c r="F33" s="10"/>
      <c r="G33" s="10"/>
      <c r="H33" s="10"/>
      <c r="I33" s="10"/>
      <c r="J33" s="10"/>
      <c r="K33" s="10"/>
      <c r="L33" s="14" t="s">
        <v>234</v>
      </c>
      <c r="M33" s="9" t="str">
        <f>IF(OR(L29="",L38=""),"",+IF(L29&gt;L38,K29,K38))</f>
        <v/>
      </c>
      <c r="N33" s="16"/>
      <c r="O33" s="10"/>
    </row>
    <row r="34" spans="4:15" ht="13" thickBot="1">
      <c r="D34">
        <v>14</v>
      </c>
      <c r="E34" s="9" t="e">
        <f>#REF!</f>
        <v>#REF!</v>
      </c>
      <c r="F34" s="9"/>
      <c r="G34" s="9" t="e">
        <f>E34</f>
        <v>#REF!</v>
      </c>
      <c r="H34" s="11"/>
      <c r="I34" s="10"/>
      <c r="J34" s="10"/>
      <c r="K34" s="10"/>
      <c r="L34" s="14"/>
      <c r="M34" s="10"/>
      <c r="N34" s="10"/>
      <c r="O34" s="10"/>
    </row>
    <row r="35" spans="4:15" ht="13" thickBot="1">
      <c r="E35" s="10"/>
      <c r="F35" s="10"/>
      <c r="G35" s="12"/>
      <c r="H35" s="13" t="s">
        <v>219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</row>
    <row r="36" spans="4:15" ht="13" thickBot="1">
      <c r="D36">
        <v>15</v>
      </c>
      <c r="E36" s="9" t="e">
        <f>#REF!</f>
        <v>#REF!</v>
      </c>
      <c r="F36" s="9"/>
      <c r="G36" s="9" t="e">
        <f>E36</f>
        <v>#REF!</v>
      </c>
      <c r="H36" s="16"/>
      <c r="I36" s="10"/>
      <c r="J36" s="14"/>
      <c r="K36" s="10"/>
      <c r="L36" s="14"/>
      <c r="M36" s="10"/>
      <c r="N36" s="10"/>
      <c r="O36" s="10"/>
    </row>
    <row r="37" spans="4:15">
      <c r="E37" s="10"/>
      <c r="F37" s="10"/>
      <c r="G37" s="10"/>
      <c r="H37" s="10"/>
      <c r="I37" s="10"/>
      <c r="J37" s="14"/>
      <c r="K37" s="10"/>
      <c r="L37" s="14"/>
      <c r="M37" s="10"/>
      <c r="N37" s="10"/>
      <c r="O37" s="10"/>
    </row>
    <row r="38" spans="4:15" ht="13" thickBot="1">
      <c r="D38">
        <v>16</v>
      </c>
      <c r="E38" s="10" t="e">
        <f>#REF!</f>
        <v>#REF!</v>
      </c>
      <c r="F38" s="11"/>
      <c r="G38" s="10"/>
      <c r="H38" s="10"/>
      <c r="I38" s="10"/>
      <c r="J38" s="14" t="s">
        <v>229</v>
      </c>
      <c r="K38" s="9" t="str">
        <f>IF(OR(J35="",J41=""),"",+IF(J35&gt;J41,I35,I41))</f>
        <v/>
      </c>
      <c r="L38" s="16"/>
      <c r="M38" s="10"/>
      <c r="N38" s="10"/>
      <c r="O38" s="10"/>
    </row>
    <row r="39" spans="4:15" ht="13" thickBot="1">
      <c r="E39" s="12"/>
      <c r="F39" s="13" t="s">
        <v>204</v>
      </c>
      <c r="G39" s="9" t="str">
        <f>IF(OR(F38="",F40=""),"",+IF(F38&gt;F40,E38,E40))</f>
        <v/>
      </c>
      <c r="H39" s="11"/>
      <c r="I39" s="10"/>
      <c r="J39" s="14"/>
      <c r="K39" s="10"/>
      <c r="L39" s="10"/>
      <c r="M39" s="10"/>
      <c r="N39" s="10"/>
      <c r="O39" s="10"/>
    </row>
    <row r="40" spans="4:15" ht="13" thickBot="1">
      <c r="D40">
        <v>17</v>
      </c>
      <c r="E40" s="9" t="e">
        <f>#REF!</f>
        <v>#REF!</v>
      </c>
      <c r="F40" s="16"/>
      <c r="G40" s="10"/>
      <c r="H40" s="13"/>
      <c r="I40" s="10"/>
      <c r="J40" s="14"/>
      <c r="K40" s="10"/>
      <c r="L40" s="10"/>
      <c r="M40" s="10"/>
      <c r="N40" s="10"/>
      <c r="O40" s="10"/>
    </row>
    <row r="41" spans="4:15" ht="13" thickBot="1">
      <c r="E41" s="10"/>
      <c r="F41" s="10"/>
      <c r="G41" s="10"/>
      <c r="H41" s="14" t="s">
        <v>221</v>
      </c>
      <c r="I41" s="9" t="str">
        <f>IF(OR(H39="",H42=""),"",+IF(H39&gt;H42,G39,E42))</f>
        <v/>
      </c>
      <c r="J41" s="16"/>
      <c r="K41" s="10"/>
      <c r="L41" s="10"/>
      <c r="M41" s="10"/>
      <c r="N41" s="10"/>
      <c r="O41" s="10"/>
    </row>
    <row r="42" spans="4:15" ht="13" thickBot="1">
      <c r="D42">
        <v>18</v>
      </c>
      <c r="E42" s="9" t="e">
        <f>#REF!</f>
        <v>#REF!</v>
      </c>
      <c r="F42" s="9"/>
      <c r="G42" s="9" t="e">
        <f>E42</f>
        <v>#REF!</v>
      </c>
      <c r="H42" s="16"/>
      <c r="I42" s="10"/>
      <c r="J42" s="10"/>
      <c r="K42" s="10"/>
      <c r="L42" s="10"/>
      <c r="M42" s="9" t="str">
        <f>IF(OR(M17="",M33=""),"",+IF(L12&gt;L21,K21,K12))</f>
        <v/>
      </c>
      <c r="N42" s="17"/>
      <c r="O42" s="10"/>
    </row>
    <row r="43" spans="4:15">
      <c r="M43" s="10"/>
      <c r="N43" s="10"/>
      <c r="O43" s="19"/>
    </row>
    <row r="44" spans="4:15">
      <c r="M44" s="10"/>
      <c r="N44" s="10"/>
      <c r="O44" s="19"/>
    </row>
    <row r="45" spans="4:15">
      <c r="M45" s="10"/>
      <c r="N45" s="10"/>
      <c r="O45" s="19"/>
    </row>
    <row r="46" spans="4:15">
      <c r="M46" s="10"/>
      <c r="N46" s="10"/>
      <c r="O46" s="19"/>
    </row>
    <row r="47" spans="4:15" ht="13" thickBot="1">
      <c r="M47" s="79" t="s">
        <v>279</v>
      </c>
      <c r="N47" s="14" t="s">
        <v>236</v>
      </c>
      <c r="O47" s="9" t="str">
        <f>IF(OR(N42="",N51=""),"",+IF(N42&gt;N51,M42,M51))</f>
        <v/>
      </c>
    </row>
    <row r="48" spans="4:15">
      <c r="M48" s="10"/>
      <c r="N48" s="10"/>
      <c r="O48" s="19"/>
    </row>
    <row r="49" spans="9:15">
      <c r="M49" s="10"/>
      <c r="N49" s="10"/>
      <c r="O49" s="19"/>
    </row>
    <row r="50" spans="9:15">
      <c r="M50" s="10"/>
      <c r="N50" s="10"/>
      <c r="O50" s="19"/>
    </row>
    <row r="51" spans="9:15" ht="13" thickBot="1">
      <c r="M51" s="9" t="str">
        <f>IF(OR(M17="",M33=""),"",+IF(L29&gt;L38,K38,K29))</f>
        <v/>
      </c>
      <c r="N51" s="16"/>
      <c r="O51" s="19"/>
    </row>
    <row r="52" spans="9:15">
      <c r="M52" s="10"/>
      <c r="N52" s="10"/>
      <c r="O52" s="10"/>
    </row>
    <row r="53" spans="9:15">
      <c r="I53" s="28"/>
      <c r="J53" s="76"/>
      <c r="K53" s="29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Plan15"/>
  <dimension ref="D4:AH51"/>
  <sheetViews>
    <sheetView showGridLines="0" topLeftCell="A29" zoomScale="75" workbookViewId="0">
      <selection activeCell="I14" sqref="I14"/>
    </sheetView>
  </sheetViews>
  <sheetFormatPr defaultColWidth="9.1171875"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87890625" customWidth="1"/>
    <col min="14" max="14" width="3.64453125" customWidth="1"/>
    <col min="15" max="15" width="13.87890625" customWidth="1"/>
    <col min="21" max="21" width="9.1171875" style="28"/>
    <col min="22" max="22" width="2.41015625" customWidth="1"/>
    <col min="23" max="23" width="9.1171875" style="29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21.41015625" style="28" bestFit="1" customWidth="1"/>
    <col min="32" max="32" width="6.52734375" bestFit="1" customWidth="1"/>
    <col min="33" max="33" width="23.41015625" style="29" bestFit="1" customWidth="1"/>
  </cols>
  <sheetData>
    <row r="4" spans="4:34" ht="13" thickBot="1"/>
    <row r="5" spans="4:34" ht="13" thickTop="1">
      <c r="D5" s="82"/>
      <c r="E5" s="76"/>
      <c r="T5">
        <v>1</v>
      </c>
      <c r="U5" s="28" t="e">
        <f>E10</f>
        <v>#REF!</v>
      </c>
      <c r="V5" t="s">
        <v>77</v>
      </c>
      <c r="W5" s="29" t="e">
        <f>E12</f>
        <v>#REF!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 t="e">
        <f>E7</f>
        <v>#REF!</v>
      </c>
      <c r="V6" t="s">
        <v>77</v>
      </c>
      <c r="W6" s="29" t="s">
        <v>78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9" t="e">
        <f>#REF!</f>
        <v>#REF!</v>
      </c>
      <c r="F7" s="9"/>
      <c r="G7" s="9" t="e">
        <f>E7</f>
        <v>#REF!</v>
      </c>
      <c r="H7" s="11"/>
      <c r="I7" s="10"/>
      <c r="J7" s="10"/>
      <c r="K7" s="10"/>
      <c r="L7" s="10"/>
      <c r="M7" s="10"/>
      <c r="N7" s="10"/>
      <c r="O7" s="10"/>
      <c r="T7">
        <v>3</v>
      </c>
      <c r="U7" s="28" t="e">
        <f>E14</f>
        <v>#REF!</v>
      </c>
      <c r="V7" t="s">
        <v>77</v>
      </c>
      <c r="W7" s="29" t="e">
        <f>E16</f>
        <v>#REF!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N8" s="10"/>
      <c r="O8" s="10"/>
      <c r="T8">
        <v>4</v>
      </c>
      <c r="U8" s="28" t="e">
        <f>E18</f>
        <v>#REF!</v>
      </c>
      <c r="V8" t="s">
        <v>77</v>
      </c>
      <c r="W8" s="29" t="e">
        <f>E20</f>
        <v>#REF!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204</v>
      </c>
      <c r="I9" s="9" t="str">
        <f>IF(OR(H7="",H11=""),"",+IF(H7&gt;H11,E7,G11))</f>
        <v/>
      </c>
      <c r="J9" s="11"/>
      <c r="K9" s="10"/>
      <c r="L9" s="10"/>
      <c r="M9" s="10"/>
      <c r="N9" s="10"/>
      <c r="O9" s="10"/>
      <c r="T9">
        <v>5</v>
      </c>
      <c r="U9" s="28" t="e">
        <f>E22</f>
        <v>#REF!</v>
      </c>
      <c r="V9" t="s">
        <v>77</v>
      </c>
      <c r="W9" s="29" t="e">
        <f>E24</f>
        <v>#REF!</v>
      </c>
      <c r="Z9" s="34"/>
      <c r="AA9" s="40"/>
      <c r="AB9" s="40"/>
      <c r="AC9" s="38" t="s">
        <v>159</v>
      </c>
      <c r="AD9" s="48">
        <v>1</v>
      </c>
      <c r="AE9" s="53" t="e">
        <f t="shared" ref="AE9:AE25" ca="1" si="0">LOOKUP(AD9,T$5:T$73,U$5:U$23)</f>
        <v>#REF!</v>
      </c>
      <c r="AF9" s="37" t="s">
        <v>157</v>
      </c>
      <c r="AG9" s="65" t="e">
        <f t="shared" ref="AG9:AG25" ca="1" si="1">LOOKUP(AD9,T$5:T$73,W$5:W$23)</f>
        <v>#REF!</v>
      </c>
      <c r="AH9" s="74"/>
    </row>
    <row r="10" spans="4:34" ht="13" thickBot="1">
      <c r="D10">
        <v>2</v>
      </c>
      <c r="E10" s="10" t="e">
        <f>#REF!</f>
        <v>#REF!</v>
      </c>
      <c r="F10" s="11"/>
      <c r="G10" s="10"/>
      <c r="H10" s="14"/>
      <c r="I10" s="10"/>
      <c r="J10" s="13"/>
      <c r="K10" s="10"/>
      <c r="L10" s="10"/>
      <c r="M10" s="10"/>
      <c r="N10" s="10"/>
      <c r="O10" s="10"/>
      <c r="T10">
        <v>6</v>
      </c>
      <c r="U10" s="28" t="e">
        <f>E26</f>
        <v>#REF!</v>
      </c>
      <c r="V10" t="s">
        <v>77</v>
      </c>
      <c r="W10" s="29" t="e">
        <f>E28</f>
        <v>#REF!</v>
      </c>
      <c r="Z10" s="34"/>
      <c r="AA10" s="40"/>
      <c r="AB10" s="40"/>
      <c r="AC10" s="38" t="s">
        <v>159</v>
      </c>
      <c r="AD10" s="48">
        <v>2</v>
      </c>
      <c r="AE10" s="53" t="e">
        <f t="shared" ca="1" si="0"/>
        <v>#REF!</v>
      </c>
      <c r="AF10" s="37" t="s">
        <v>157</v>
      </c>
      <c r="AG10" s="65" t="str">
        <f t="shared" ca="1" si="1"/>
        <v>Venc.J1</v>
      </c>
      <c r="AH10" s="74"/>
    </row>
    <row r="11" spans="4:34" ht="13" thickBot="1">
      <c r="E11" s="12"/>
      <c r="F11" s="13" t="s">
        <v>1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 s="10"/>
      <c r="O11" s="10"/>
      <c r="T11">
        <v>7</v>
      </c>
      <c r="U11" s="28" t="e">
        <f>E30</f>
        <v>#REF!</v>
      </c>
      <c r="V11" t="s">
        <v>77</v>
      </c>
      <c r="W11" s="29" t="e">
        <f>E32</f>
        <v>#REF!</v>
      </c>
      <c r="Z11" s="34"/>
      <c r="AA11" s="40"/>
      <c r="AB11" s="40"/>
      <c r="AC11" s="38" t="s">
        <v>159</v>
      </c>
      <c r="AD11" s="48">
        <v>3</v>
      </c>
      <c r="AE11" s="53" t="e">
        <f t="shared" ca="1" si="0"/>
        <v>#REF!</v>
      </c>
      <c r="AF11" s="37" t="s">
        <v>157</v>
      </c>
      <c r="AG11" s="65" t="e">
        <f t="shared" ca="1" si="1"/>
        <v>#REF!</v>
      </c>
      <c r="AH11" s="74"/>
    </row>
    <row r="12" spans="4:34" ht="13" thickBot="1">
      <c r="D12">
        <v>3</v>
      </c>
      <c r="E12" s="10" t="e">
        <f>#REF!</f>
        <v>#REF!</v>
      </c>
      <c r="F12" s="16"/>
      <c r="G12" s="10"/>
      <c r="H12" s="10"/>
      <c r="I12" s="10"/>
      <c r="J12" s="14" t="s">
        <v>221</v>
      </c>
      <c r="K12" s="9" t="str">
        <f>IF(OR(J9="",J15=""),"",+IF(J9&gt;J15,I9,I15))</f>
        <v/>
      </c>
      <c r="L12" s="17"/>
      <c r="M12" s="10"/>
      <c r="N12" s="10"/>
      <c r="O12" s="10"/>
      <c r="T12">
        <v>8</v>
      </c>
      <c r="U12" s="28" t="e">
        <f>E34</f>
        <v>#REF!</v>
      </c>
      <c r="V12" t="s">
        <v>77</v>
      </c>
      <c r="W12" s="29" t="e">
        <f>E36</f>
        <v>#REF!</v>
      </c>
      <c r="Z12" s="34"/>
      <c r="AA12" s="40"/>
      <c r="AB12" s="40"/>
      <c r="AC12" s="38" t="s">
        <v>159</v>
      </c>
      <c r="AD12" s="48">
        <v>4</v>
      </c>
      <c r="AE12" s="53" t="e">
        <f t="shared" ca="1" si="0"/>
        <v>#REF!</v>
      </c>
      <c r="AF12" s="37" t="s">
        <v>157</v>
      </c>
      <c r="AG12" s="65" t="e">
        <f t="shared" ca="1" si="1"/>
        <v>#REF!</v>
      </c>
      <c r="AH12" s="74"/>
    </row>
    <row r="13" spans="4:34">
      <c r="E13" s="12"/>
      <c r="F13" s="10"/>
      <c r="G13" s="10"/>
      <c r="H13" s="10"/>
      <c r="I13" s="10"/>
      <c r="J13" s="14"/>
      <c r="K13" s="10"/>
      <c r="L13" s="10"/>
      <c r="M13" s="19"/>
      <c r="N13" s="10"/>
      <c r="O13" s="10"/>
      <c r="T13">
        <v>9</v>
      </c>
      <c r="U13" s="28" t="e">
        <f>E38</f>
        <v>#REF!</v>
      </c>
      <c r="V13" t="s">
        <v>77</v>
      </c>
      <c r="W13" s="29" t="e">
        <f>E40</f>
        <v>#REF!</v>
      </c>
      <c r="Z13" s="34"/>
      <c r="AA13" s="40"/>
      <c r="AB13" s="40"/>
      <c r="AC13" s="38" t="s">
        <v>159</v>
      </c>
      <c r="AD13" s="48">
        <v>5</v>
      </c>
      <c r="AE13" s="53" t="e">
        <f t="shared" ca="1" si="0"/>
        <v>#REF!</v>
      </c>
      <c r="AF13" s="37" t="s">
        <v>157</v>
      </c>
      <c r="AG13" s="65" t="e">
        <f t="shared" ca="1" si="1"/>
        <v>#REF!</v>
      </c>
      <c r="AH13" s="74"/>
    </row>
    <row r="14" spans="4:34" ht="13" thickBot="1">
      <c r="D14">
        <v>4</v>
      </c>
      <c r="E14" s="9" t="e">
        <f>#REF!</f>
        <v>#REF!</v>
      </c>
      <c r="F14" s="9"/>
      <c r="G14" s="9" t="e">
        <f>E14</f>
        <v>#REF!</v>
      </c>
      <c r="H14" s="11"/>
      <c r="I14" s="10"/>
      <c r="J14" s="14"/>
      <c r="K14" s="10"/>
      <c r="L14" s="10"/>
      <c r="M14" s="19"/>
      <c r="N14" s="10"/>
      <c r="O14" s="10"/>
      <c r="T14">
        <v>10</v>
      </c>
      <c r="U14" s="28" t="s">
        <v>160</v>
      </c>
      <c r="V14" t="s">
        <v>77</v>
      </c>
      <c r="W14" s="29" t="s">
        <v>161</v>
      </c>
      <c r="Z14" s="34"/>
      <c r="AA14" s="40"/>
      <c r="AB14" s="40"/>
      <c r="AC14" s="38" t="s">
        <v>159</v>
      </c>
      <c r="AD14" s="48">
        <v>6</v>
      </c>
      <c r="AE14" s="53" t="e">
        <f t="shared" ca="1" si="0"/>
        <v>#REF!</v>
      </c>
      <c r="AF14" s="37" t="s">
        <v>157</v>
      </c>
      <c r="AG14" s="65" t="e">
        <f t="shared" ca="1" si="1"/>
        <v>#REF!</v>
      </c>
      <c r="AH14" s="74"/>
    </row>
    <row r="15" spans="4:34" ht="13" thickBot="1">
      <c r="E15" s="10"/>
      <c r="F15" s="10"/>
      <c r="G15" s="10"/>
      <c r="H15" s="13" t="s">
        <v>206</v>
      </c>
      <c r="I15" s="9" t="str">
        <f>IF(OR(H14="",H16=""),"",+IF(H14&gt;H16,E14,E16))</f>
        <v/>
      </c>
      <c r="J15" s="16"/>
      <c r="K15" s="10"/>
      <c r="L15" s="10"/>
      <c r="M15" s="19"/>
      <c r="N15" s="10"/>
      <c r="O15" s="10"/>
      <c r="T15">
        <v>11</v>
      </c>
      <c r="U15" s="28" t="s">
        <v>81</v>
      </c>
      <c r="V15" t="s">
        <v>77</v>
      </c>
      <c r="W15" s="29" t="s">
        <v>162</v>
      </c>
      <c r="Z15" s="34"/>
      <c r="AA15" s="40"/>
      <c r="AB15" s="40"/>
      <c r="AC15" s="38" t="s">
        <v>159</v>
      </c>
      <c r="AD15" s="48">
        <v>7</v>
      </c>
      <c r="AE15" s="53" t="e">
        <f t="shared" ca="1" si="0"/>
        <v>#REF!</v>
      </c>
      <c r="AF15" s="37" t="s">
        <v>157</v>
      </c>
      <c r="AG15" s="65" t="e">
        <f t="shared" ca="1" si="1"/>
        <v>#REF!</v>
      </c>
      <c r="AH15" s="74"/>
    </row>
    <row r="16" spans="4:34" ht="13" thickBot="1">
      <c r="D16">
        <v>5</v>
      </c>
      <c r="E16" s="9" t="e">
        <f>#REF!</f>
        <v>#REF!</v>
      </c>
      <c r="F16" s="9"/>
      <c r="G16" s="9" t="e">
        <f>E16</f>
        <v>#REF!</v>
      </c>
      <c r="H16" s="16"/>
      <c r="I16" s="10"/>
      <c r="J16" s="10"/>
      <c r="K16" s="10"/>
      <c r="L16" s="10"/>
      <c r="M16" s="19"/>
      <c r="N16" s="10"/>
      <c r="O16" s="10"/>
      <c r="T16">
        <v>12</v>
      </c>
      <c r="U16" s="28" t="s">
        <v>163</v>
      </c>
      <c r="V16" t="s">
        <v>77</v>
      </c>
      <c r="W16" s="29" t="s">
        <v>84</v>
      </c>
      <c r="Z16" s="34"/>
      <c r="AA16" s="40"/>
      <c r="AB16" s="40"/>
      <c r="AC16" s="38" t="s">
        <v>159</v>
      </c>
      <c r="AD16" s="48">
        <v>8</v>
      </c>
      <c r="AE16" s="53" t="e">
        <f t="shared" ca="1" si="0"/>
        <v>#REF!</v>
      </c>
      <c r="AF16" s="37" t="s">
        <v>157</v>
      </c>
      <c r="AG16" s="65" t="e">
        <f t="shared" ca="1" si="1"/>
        <v>#REF!</v>
      </c>
      <c r="AH16" s="74"/>
    </row>
    <row r="17" spans="4:34" ht="13" thickBot="1">
      <c r="E17" s="10"/>
      <c r="F17" s="10"/>
      <c r="G17" s="10"/>
      <c r="H17" s="10"/>
      <c r="I17" s="10"/>
      <c r="J17" s="10"/>
      <c r="K17" s="10"/>
      <c r="L17" s="14" t="s">
        <v>229</v>
      </c>
      <c r="M17" s="9" t="str">
        <f>IF(OR(L12="",L21=""),"",+IF(L12&gt;L21,K12,K21))</f>
        <v/>
      </c>
      <c r="N17" s="17"/>
      <c r="O17" s="10"/>
      <c r="T17">
        <v>13</v>
      </c>
      <c r="U17" s="28" t="s">
        <v>164</v>
      </c>
      <c r="V17" t="s">
        <v>77</v>
      </c>
      <c r="W17" s="29" t="s">
        <v>86</v>
      </c>
      <c r="Z17" s="34"/>
      <c r="AA17" s="40"/>
      <c r="AB17" s="40"/>
      <c r="AC17" s="38" t="s">
        <v>159</v>
      </c>
      <c r="AD17" s="48">
        <v>9</v>
      </c>
      <c r="AE17" s="53" t="e">
        <f t="shared" ca="1" si="0"/>
        <v>#REF!</v>
      </c>
      <c r="AF17" s="37" t="s">
        <v>157</v>
      </c>
      <c r="AG17" s="65" t="e">
        <f t="shared" ca="1" si="1"/>
        <v>#REF!</v>
      </c>
      <c r="AH17" s="74"/>
    </row>
    <row r="18" spans="4:34" ht="13" thickBot="1">
      <c r="D18">
        <v>6</v>
      </c>
      <c r="E18" s="9" t="e">
        <f>#REF!</f>
        <v>#REF!</v>
      </c>
      <c r="F18" s="9"/>
      <c r="G18" s="9" t="e">
        <f>E18</f>
        <v>#REF!</v>
      </c>
      <c r="H18" s="11"/>
      <c r="I18" s="10"/>
      <c r="J18" s="10"/>
      <c r="K18" s="10"/>
      <c r="L18" s="10"/>
      <c r="M18" s="19"/>
      <c r="N18" s="13"/>
      <c r="O18" s="10"/>
      <c r="T18">
        <v>14</v>
      </c>
      <c r="U18" s="28" t="s">
        <v>87</v>
      </c>
      <c r="V18" t="s">
        <v>77</v>
      </c>
      <c r="W18" s="29" t="s">
        <v>88</v>
      </c>
      <c r="Z18" s="34"/>
      <c r="AA18" s="40"/>
      <c r="AB18" s="40"/>
      <c r="AC18" s="38" t="s">
        <v>159</v>
      </c>
      <c r="AD18" s="48">
        <v>10</v>
      </c>
      <c r="AE18" s="53" t="str">
        <f t="shared" ca="1" si="0"/>
        <v>Venc.J2</v>
      </c>
      <c r="AF18" s="37" t="s">
        <v>157</v>
      </c>
      <c r="AG18" s="65" t="str">
        <f t="shared" ca="1" si="1"/>
        <v>Venc.J3</v>
      </c>
      <c r="AH18" s="74"/>
    </row>
    <row r="19" spans="4:34" ht="13" thickBot="1">
      <c r="E19" s="10"/>
      <c r="F19" s="10"/>
      <c r="G19" s="12"/>
      <c r="H19" s="13" t="s">
        <v>208</v>
      </c>
      <c r="I19" s="9" t="str">
        <f>IF(OR(H18="",H20=""),"",+IF(H18&gt;H20,E18,E20))</f>
        <v/>
      </c>
      <c r="J19" s="17"/>
      <c r="K19" s="10"/>
      <c r="L19" s="10"/>
      <c r="M19" s="19"/>
      <c r="N19" s="14"/>
      <c r="O19" s="10"/>
      <c r="T19">
        <v>15</v>
      </c>
      <c r="U19" s="28" t="s">
        <v>89</v>
      </c>
      <c r="V19" t="s">
        <v>77</v>
      </c>
      <c r="W19" s="29" t="s">
        <v>90</v>
      </c>
      <c r="Z19" s="34"/>
      <c r="AA19" s="40"/>
      <c r="AB19" s="40"/>
      <c r="AC19" s="38" t="s">
        <v>159</v>
      </c>
      <c r="AD19" s="48">
        <v>11</v>
      </c>
      <c r="AE19" s="53" t="str">
        <f t="shared" ca="1" si="0"/>
        <v>Venc.J4</v>
      </c>
      <c r="AF19" s="37" t="s">
        <v>157</v>
      </c>
      <c r="AG19" s="65" t="str">
        <f t="shared" ca="1" si="1"/>
        <v>Venc.J5</v>
      </c>
      <c r="AH19" s="74"/>
    </row>
    <row r="20" spans="4:34" ht="13" thickBot="1">
      <c r="D20">
        <v>7</v>
      </c>
      <c r="E20" s="9" t="e">
        <f>#REF!</f>
        <v>#REF!</v>
      </c>
      <c r="F20" s="9"/>
      <c r="G20" s="9" t="e">
        <f>E20</f>
        <v>#REF!</v>
      </c>
      <c r="H20" s="16"/>
      <c r="I20" s="10"/>
      <c r="J20" s="14"/>
      <c r="K20" s="10"/>
      <c r="L20" s="10"/>
      <c r="M20" s="19"/>
      <c r="N20" s="14"/>
      <c r="O20" s="10"/>
      <c r="T20">
        <v>16</v>
      </c>
      <c r="U20" s="71" t="s">
        <v>290</v>
      </c>
      <c r="V20" t="s">
        <v>77</v>
      </c>
      <c r="W20" s="72" t="s">
        <v>291</v>
      </c>
      <c r="Z20" s="34"/>
      <c r="AA20" s="40"/>
      <c r="AB20" s="40"/>
      <c r="AC20" s="38" t="s">
        <v>159</v>
      </c>
      <c r="AD20" s="48">
        <v>12</v>
      </c>
      <c r="AE20" s="53" t="str">
        <f t="shared" ca="1" si="0"/>
        <v>Venc.J6</v>
      </c>
      <c r="AF20" s="37" t="s">
        <v>157</v>
      </c>
      <c r="AG20" s="65" t="str">
        <f t="shared" ca="1" si="1"/>
        <v>Venc.J7</v>
      </c>
      <c r="AH20" s="74"/>
    </row>
    <row r="21" spans="4:34" ht="13" thickBot="1">
      <c r="E21" s="10"/>
      <c r="F21" s="10"/>
      <c r="G21" s="12"/>
      <c r="H21" s="10"/>
      <c r="I21" s="10"/>
      <c r="J21" s="14" t="s">
        <v>223</v>
      </c>
      <c r="K21" s="9" t="str">
        <f>IF(OR(J19="",J23=""),"",+IF(J19&gt;J23,I19,I23))</f>
        <v/>
      </c>
      <c r="L21" s="16"/>
      <c r="M21" s="19"/>
      <c r="N21" s="14"/>
      <c r="O21" s="10"/>
      <c r="T21">
        <v>17</v>
      </c>
      <c r="U21" s="28" t="s">
        <v>91</v>
      </c>
      <c r="V21" t="s">
        <v>77</v>
      </c>
      <c r="W21" s="29" t="s">
        <v>92</v>
      </c>
      <c r="Z21" s="34"/>
      <c r="AA21" s="40"/>
      <c r="AB21" s="40"/>
      <c r="AC21" s="38" t="s">
        <v>159</v>
      </c>
      <c r="AD21" s="48">
        <v>13</v>
      </c>
      <c r="AE21" s="53" t="str">
        <f t="shared" ca="1" si="0"/>
        <v>Venc.J8</v>
      </c>
      <c r="AF21" s="37" t="s">
        <v>157</v>
      </c>
      <c r="AG21" s="65" t="str">
        <f t="shared" ca="1" si="1"/>
        <v>Venc.J9</v>
      </c>
      <c r="AH21" s="74"/>
    </row>
    <row r="22" spans="4:34" ht="13" thickBot="1">
      <c r="D22">
        <v>8</v>
      </c>
      <c r="E22" s="9" t="e">
        <f>#REF!</f>
        <v>#REF!</v>
      </c>
      <c r="F22" s="9"/>
      <c r="G22" s="9" t="e">
        <f>E22</f>
        <v>#REF!</v>
      </c>
      <c r="H22" s="11"/>
      <c r="I22" s="10"/>
      <c r="J22" s="14"/>
      <c r="K22" s="10"/>
      <c r="L22" s="10"/>
      <c r="M22" s="10"/>
      <c r="N22" s="14"/>
      <c r="O22" s="10"/>
      <c r="Z22" s="34"/>
      <c r="AA22" s="40"/>
      <c r="AB22" s="40"/>
      <c r="AC22" s="38" t="s">
        <v>159</v>
      </c>
      <c r="AD22" s="48">
        <v>14</v>
      </c>
      <c r="AE22" s="53" t="str">
        <f t="shared" ca="1" si="0"/>
        <v>Venc.J10</v>
      </c>
      <c r="AF22" s="37" t="s">
        <v>157</v>
      </c>
      <c r="AG22" s="65" t="str">
        <f t="shared" ca="1" si="1"/>
        <v>Venc.J11</v>
      </c>
      <c r="AH22" s="74"/>
    </row>
    <row r="23" spans="4:34" ht="13" thickBot="1">
      <c r="E23" s="10"/>
      <c r="F23" s="10"/>
      <c r="G23" s="12"/>
      <c r="H23" s="13" t="s">
        <v>210</v>
      </c>
      <c r="I23" s="9" t="str">
        <f>IF(OR(H22="",H24=""),"",+IF(H22&gt;H24,E22,E24))</f>
        <v/>
      </c>
      <c r="J23" s="16"/>
      <c r="K23" s="10"/>
      <c r="L23" s="10"/>
      <c r="M23" s="10"/>
      <c r="N23" s="14"/>
      <c r="O23" s="10"/>
      <c r="U23" s="29"/>
      <c r="W23" s="28"/>
      <c r="Z23" s="34"/>
      <c r="AA23" s="40"/>
      <c r="AB23" s="40"/>
      <c r="AC23" s="38" t="s">
        <v>159</v>
      </c>
      <c r="AD23" s="48">
        <v>15</v>
      </c>
      <c r="AE23" s="53" t="str">
        <f t="shared" ca="1" si="0"/>
        <v>Venc.J12</v>
      </c>
      <c r="AF23" s="37" t="s">
        <v>157</v>
      </c>
      <c r="AG23" s="65" t="str">
        <f t="shared" ca="1" si="1"/>
        <v>Venc.J13</v>
      </c>
      <c r="AH23" s="74"/>
    </row>
    <row r="24" spans="4:34" ht="13" thickBot="1">
      <c r="D24">
        <v>9</v>
      </c>
      <c r="E24" s="9" t="e">
        <f>#REF!</f>
        <v>#REF!</v>
      </c>
      <c r="F24" s="9"/>
      <c r="G24" s="9" t="e">
        <f>E24</f>
        <v>#REF!</v>
      </c>
      <c r="H24" s="16"/>
      <c r="I24" s="10"/>
      <c r="J24" s="10"/>
      <c r="K24" s="10"/>
      <c r="L24" s="10"/>
      <c r="M24" s="10"/>
      <c r="N24" s="14"/>
      <c r="O24" s="10"/>
      <c r="Z24" s="34"/>
      <c r="AA24" s="40"/>
      <c r="AB24" s="40"/>
      <c r="AC24" s="38" t="s">
        <v>159</v>
      </c>
      <c r="AD24" s="48">
        <v>16</v>
      </c>
      <c r="AE24" s="53" t="str">
        <f t="shared" ca="1" si="0"/>
        <v>Perd.J14</v>
      </c>
      <c r="AF24" s="37" t="s">
        <v>157</v>
      </c>
      <c r="AG24" s="65" t="str">
        <f t="shared" ca="1" si="1"/>
        <v>Perd.J15</v>
      </c>
      <c r="AH24" s="74"/>
    </row>
    <row r="25" spans="4:34" ht="13" thickBot="1">
      <c r="E25" s="10"/>
      <c r="F25" s="10"/>
      <c r="G25" s="10"/>
      <c r="H25" s="10"/>
      <c r="I25" s="10"/>
      <c r="J25" s="10"/>
      <c r="K25" s="10"/>
      <c r="L25" s="10"/>
      <c r="M25" s="79" t="s">
        <v>278</v>
      </c>
      <c r="N25" s="70" t="s">
        <v>236</v>
      </c>
      <c r="O25" s="9" t="str">
        <f>IF(OR(N17="",N33=""),"",+IF(N17&gt;N33,M17,M33))</f>
        <v/>
      </c>
      <c r="Z25" s="34"/>
      <c r="AA25" s="40"/>
      <c r="AB25" s="40"/>
      <c r="AC25" s="38" t="s">
        <v>159</v>
      </c>
      <c r="AD25" s="48">
        <v>17</v>
      </c>
      <c r="AE25" s="53" t="str">
        <f t="shared" ca="1" si="0"/>
        <v>Venc.J14</v>
      </c>
      <c r="AF25" s="37" t="s">
        <v>157</v>
      </c>
      <c r="AG25" s="65" t="str">
        <f t="shared" ca="1" si="1"/>
        <v>Venc.J15</v>
      </c>
      <c r="AH25" s="74"/>
    </row>
    <row r="26" spans="4:34" ht="13" thickBot="1">
      <c r="D26">
        <v>10</v>
      </c>
      <c r="E26" s="9" t="e">
        <f>#REF!</f>
        <v>#REF!</v>
      </c>
      <c r="F26" s="9"/>
      <c r="G26" s="9" t="e">
        <f>E26</f>
        <v>#REF!</v>
      </c>
      <c r="H26" s="11"/>
      <c r="I26" s="10"/>
      <c r="J26" s="10"/>
      <c r="K26" s="10"/>
      <c r="L26" s="10"/>
      <c r="M26" s="10"/>
      <c r="N26" s="14"/>
      <c r="O26" s="10"/>
      <c r="Z26" s="42"/>
      <c r="AA26" s="43"/>
      <c r="AB26" s="43"/>
      <c r="AC26" s="43"/>
      <c r="AD26" s="61"/>
      <c r="AE26" s="62"/>
      <c r="AF26" s="63"/>
      <c r="AG26" s="60"/>
      <c r="AH26" s="75"/>
    </row>
    <row r="27" spans="4:34" ht="13" thickBot="1">
      <c r="E27" s="10"/>
      <c r="F27" s="10"/>
      <c r="G27" s="10"/>
      <c r="H27" s="13" t="s">
        <v>212</v>
      </c>
      <c r="I27" s="9" t="str">
        <f>IF(OR(H26="",H28=""),"",+IF(H26&gt;H28,E26,E28))</f>
        <v/>
      </c>
      <c r="J27" s="17"/>
      <c r="K27" s="10"/>
      <c r="L27" s="10"/>
      <c r="M27" s="10"/>
      <c r="N27" s="14"/>
      <c r="O27" s="10"/>
    </row>
    <row r="28" spans="4:34" ht="13" thickBot="1">
      <c r="D28">
        <v>11</v>
      </c>
      <c r="E28" s="9" t="e">
        <f>#REF!</f>
        <v>#REF!</v>
      </c>
      <c r="F28" s="9"/>
      <c r="G28" s="9" t="e">
        <f>E28</f>
        <v>#REF!</v>
      </c>
      <c r="H28" s="16"/>
      <c r="I28" s="10"/>
      <c r="J28" s="14"/>
      <c r="K28" s="10"/>
      <c r="L28" s="10"/>
      <c r="M28" s="10"/>
      <c r="N28" s="14"/>
      <c r="O28" s="10"/>
    </row>
    <row r="29" spans="4:34" ht="13" thickBot="1">
      <c r="E29" s="10"/>
      <c r="F29" s="10"/>
      <c r="G29" s="10"/>
      <c r="H29" s="10"/>
      <c r="I29" s="10"/>
      <c r="J29" s="14" t="s">
        <v>225</v>
      </c>
      <c r="K29" s="9" t="str">
        <f>IF(OR(J27="",J31=""),"",+IF(J27&gt;J31,I27,I31))</f>
        <v/>
      </c>
      <c r="L29" s="17"/>
      <c r="M29" s="10"/>
      <c r="N29" s="14"/>
      <c r="O29" s="10"/>
    </row>
    <row r="30" spans="4:34" ht="13" thickBot="1">
      <c r="D30">
        <v>12</v>
      </c>
      <c r="E30" s="9" t="e">
        <f>#REF!</f>
        <v>#REF!</v>
      </c>
      <c r="F30" s="9"/>
      <c r="G30" s="9" t="e">
        <f>E30</f>
        <v>#REF!</v>
      </c>
      <c r="H30" s="11"/>
      <c r="I30" s="10"/>
      <c r="J30" s="14"/>
      <c r="K30" s="10"/>
      <c r="L30" s="13"/>
      <c r="M30" s="10"/>
      <c r="N30" s="14"/>
      <c r="O30" s="10"/>
    </row>
    <row r="31" spans="4:34" ht="13" thickBot="1">
      <c r="E31" s="10"/>
      <c r="F31" s="10"/>
      <c r="G31" s="10"/>
      <c r="H31" s="13" t="s">
        <v>214</v>
      </c>
      <c r="I31" s="9" t="str">
        <f>IF(OR(H30="",H32=""),"",+IF(H30&gt;H32,E30,E32))</f>
        <v/>
      </c>
      <c r="J31" s="16"/>
      <c r="K31" s="10"/>
      <c r="L31" s="14"/>
      <c r="M31" s="10"/>
      <c r="N31" s="14"/>
      <c r="O31" s="10"/>
    </row>
    <row r="32" spans="4:34" ht="13" thickBot="1">
      <c r="D32">
        <v>13</v>
      </c>
      <c r="E32" s="9" t="e">
        <f>#REF!</f>
        <v>#REF!</v>
      </c>
      <c r="F32" s="9"/>
      <c r="G32" s="9" t="e">
        <f>E32</f>
        <v>#REF!</v>
      </c>
      <c r="H32" s="16"/>
      <c r="I32" s="10"/>
      <c r="J32" s="10"/>
      <c r="K32" s="10"/>
      <c r="L32" s="14"/>
      <c r="M32" s="10"/>
      <c r="N32" s="14"/>
      <c r="O32" s="10"/>
    </row>
    <row r="33" spans="4:15" ht="13" thickBot="1">
      <c r="E33" s="10"/>
      <c r="F33" s="10"/>
      <c r="G33" s="10"/>
      <c r="H33" s="10"/>
      <c r="I33" s="10"/>
      <c r="J33" s="10"/>
      <c r="K33" s="10"/>
      <c r="L33" s="14" t="s">
        <v>232</v>
      </c>
      <c r="M33" s="9" t="str">
        <f>IF(OR(L29="",L37=""),"",+IF(L29&gt;L37,K29,K37))</f>
        <v/>
      </c>
      <c r="N33" s="16"/>
      <c r="O33" s="10"/>
    </row>
    <row r="34" spans="4:15" ht="13" thickBot="1">
      <c r="D34">
        <v>14</v>
      </c>
      <c r="E34" s="9" t="e">
        <f>#REF!</f>
        <v>#REF!</v>
      </c>
      <c r="F34" s="9"/>
      <c r="G34" s="9" t="e">
        <f>E34</f>
        <v>#REF!</v>
      </c>
      <c r="H34" s="11"/>
      <c r="I34" s="10"/>
      <c r="J34" s="10"/>
      <c r="K34" s="10"/>
      <c r="L34" s="14"/>
      <c r="M34" s="10"/>
      <c r="N34" s="10"/>
      <c r="O34" s="10"/>
    </row>
    <row r="35" spans="4:15" ht="13" thickBot="1">
      <c r="E35" s="10"/>
      <c r="F35" s="10"/>
      <c r="G35" s="10"/>
      <c r="H35" s="13" t="s">
        <v>217</v>
      </c>
      <c r="I35" s="9" t="str">
        <f>IF(OR(H34="",H36=""),"",+IF(H34&gt;H36,E34,E36))</f>
        <v/>
      </c>
      <c r="J35" s="17"/>
      <c r="K35" s="10"/>
      <c r="L35" s="14"/>
      <c r="M35" s="10"/>
      <c r="N35" s="10"/>
      <c r="O35" s="10"/>
    </row>
    <row r="36" spans="4:15" ht="13" thickBot="1">
      <c r="D36">
        <v>15</v>
      </c>
      <c r="E36" s="9" t="e">
        <f>#REF!</f>
        <v>#REF!</v>
      </c>
      <c r="F36" s="9"/>
      <c r="G36" s="9" t="e">
        <f>E36</f>
        <v>#REF!</v>
      </c>
      <c r="H36" s="16"/>
      <c r="I36" s="10"/>
      <c r="J36" s="14"/>
      <c r="K36" s="10"/>
      <c r="L36" s="14"/>
      <c r="M36" s="10"/>
      <c r="N36" s="10"/>
      <c r="O36" s="10"/>
    </row>
    <row r="37" spans="4:15" ht="13" thickBot="1">
      <c r="E37" s="10"/>
      <c r="F37" s="10"/>
      <c r="G37" s="10"/>
      <c r="H37" s="10"/>
      <c r="I37" s="10"/>
      <c r="J37" s="14" t="s">
        <v>227</v>
      </c>
      <c r="K37" s="9" t="str">
        <f>IF(OR(J35="",J39=""),"",+IF(J35&gt;J39,I35,I39))</f>
        <v/>
      </c>
      <c r="L37" s="16"/>
      <c r="M37" s="10"/>
      <c r="N37" s="10"/>
      <c r="O37" s="10"/>
    </row>
    <row r="38" spans="4:15" ht="13" thickBot="1">
      <c r="D38">
        <v>16</v>
      </c>
      <c r="E38" s="9" t="e">
        <f>#REF!</f>
        <v>#REF!</v>
      </c>
      <c r="F38" s="9"/>
      <c r="G38" s="9" t="e">
        <f>E38</f>
        <v>#REF!</v>
      </c>
      <c r="H38" s="11"/>
      <c r="I38" s="10"/>
      <c r="J38" s="14"/>
      <c r="K38" s="10"/>
      <c r="L38" s="10"/>
      <c r="M38" s="10"/>
      <c r="N38" s="10"/>
      <c r="O38" s="10"/>
    </row>
    <row r="39" spans="4:15" ht="13" thickBot="1">
      <c r="E39" s="10"/>
      <c r="F39" s="10"/>
      <c r="G39" s="10"/>
      <c r="H39" s="13" t="s">
        <v>219</v>
      </c>
      <c r="I39" s="9" t="str">
        <f>IF(OR(H38="",H40=""),"",+IF(H38&gt;H40,E38,E40))</f>
        <v/>
      </c>
      <c r="J39" s="16"/>
      <c r="K39" s="10"/>
      <c r="L39" s="10"/>
      <c r="M39" s="10"/>
      <c r="N39" s="10"/>
      <c r="O39" s="10"/>
    </row>
    <row r="40" spans="4:15" ht="13" thickBot="1">
      <c r="D40">
        <v>17</v>
      </c>
      <c r="E40" s="9" t="e">
        <f>#REF!</f>
        <v>#REF!</v>
      </c>
      <c r="F40" s="9"/>
      <c r="G40" s="9" t="e">
        <f>E40</f>
        <v>#REF!</v>
      </c>
      <c r="H40" s="16"/>
      <c r="I40" s="10"/>
      <c r="J40" s="10"/>
      <c r="K40" s="10"/>
      <c r="L40" s="10"/>
      <c r="M40" s="10"/>
      <c r="N40" s="10"/>
      <c r="O40" s="10"/>
    </row>
    <row r="44" spans="4:15" ht="13" thickBot="1">
      <c r="M44" s="9" t="str">
        <f>IF(OR(M17="",M33=""),"",+IF(L12&gt;L21,K21,K12))</f>
        <v/>
      </c>
      <c r="N44" s="17"/>
      <c r="O44" s="10"/>
    </row>
    <row r="45" spans="4:15">
      <c r="M45" s="10"/>
      <c r="N45" s="10"/>
      <c r="O45" s="19"/>
    </row>
    <row r="46" spans="4:15" ht="13" thickBot="1">
      <c r="M46" s="79" t="s">
        <v>279</v>
      </c>
      <c r="N46" s="70" t="s">
        <v>234</v>
      </c>
      <c r="O46" s="9" t="str">
        <f>IF(OR(N44="",N48=""),"",+IF(N44&gt;N48,M44,M48))</f>
        <v/>
      </c>
    </row>
    <row r="47" spans="4:15">
      <c r="M47" s="10"/>
      <c r="N47" s="10"/>
      <c r="O47" s="19"/>
    </row>
    <row r="48" spans="4:15" ht="13" thickBot="1">
      <c r="M48" s="9" t="str">
        <f>IF(OR(M17="",M33=""),"",+IF(L29&gt;L37,K37,K29))</f>
        <v/>
      </c>
      <c r="N48" s="16"/>
      <c r="O48" s="19"/>
    </row>
    <row r="49" spans="9:15">
      <c r="M49" s="10"/>
      <c r="N49" s="10"/>
      <c r="O49" s="10"/>
    </row>
    <row r="51" spans="9:15">
      <c r="I51" s="28"/>
      <c r="J51" s="76"/>
      <c r="K51" s="29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Plan14"/>
  <dimension ref="D4:AH46"/>
  <sheetViews>
    <sheetView showGridLines="0" topLeftCell="A17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3.52734375" customWidth="1"/>
    <col min="20" max="20" width="9.1171875"/>
    <col min="21" max="21" width="9.1171875" style="28"/>
    <col min="22" max="22" width="2.41015625" customWidth="1"/>
    <col min="23" max="23" width="9.1171875" style="29"/>
    <col min="24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 t="e">
        <f>E7</f>
        <v>#REF!</v>
      </c>
      <c r="V5" t="s">
        <v>77</v>
      </c>
      <c r="W5" s="29" t="e">
        <f>E9</f>
        <v>#REF!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 t="e">
        <f>E11</f>
        <v>#REF!</v>
      </c>
      <c r="V6" t="s">
        <v>77</v>
      </c>
      <c r="W6" s="29" t="e">
        <f>E13</f>
        <v>#REF!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 t="e">
        <f>#REF!</f>
        <v>#REF!</v>
      </c>
      <c r="F7" s="11"/>
      <c r="G7" s="10"/>
      <c r="H7" s="10"/>
      <c r="I7" s="10"/>
      <c r="J7" s="10"/>
      <c r="K7" s="10"/>
      <c r="L7" s="10"/>
      <c r="M7" s="10"/>
      <c r="T7">
        <v>3</v>
      </c>
      <c r="U7" s="28" t="e">
        <f>E15</f>
        <v>#REF!</v>
      </c>
      <c r="V7" t="s">
        <v>77</v>
      </c>
      <c r="W7" s="29" t="e">
        <f>E17</f>
        <v>#REF!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 ht="13" thickBot="1">
      <c r="E8" s="12"/>
      <c r="F8" s="13" t="s">
        <v>202</v>
      </c>
      <c r="G8" s="9" t="str">
        <f>IF(OR(F7="",F9=""),"",+IF(F7&gt;F9,E7,E9))</f>
        <v/>
      </c>
      <c r="H8" s="17"/>
      <c r="I8" s="10"/>
      <c r="J8" s="10"/>
      <c r="K8" s="10"/>
      <c r="L8" s="10"/>
      <c r="M8" s="10"/>
      <c r="T8">
        <v>4</v>
      </c>
      <c r="U8" s="28" t="e">
        <f>E19</f>
        <v>#REF!</v>
      </c>
      <c r="V8" t="s">
        <v>77</v>
      </c>
      <c r="W8" s="29" t="e">
        <f>E21</f>
        <v>#REF!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D9">
        <v>2</v>
      </c>
      <c r="E9" s="10" t="e">
        <f>#REF!</f>
        <v>#REF!</v>
      </c>
      <c r="F9" s="16"/>
      <c r="G9" s="10"/>
      <c r="H9" s="14"/>
      <c r="I9" s="10"/>
      <c r="J9" s="10"/>
      <c r="K9" s="10"/>
      <c r="L9" s="10"/>
      <c r="M9" s="10"/>
      <c r="T9">
        <v>5</v>
      </c>
      <c r="U9" s="28" t="e">
        <f>E23</f>
        <v>#REF!</v>
      </c>
      <c r="V9" t="s">
        <v>77</v>
      </c>
      <c r="W9" s="29" t="e">
        <f>E25</f>
        <v>#REF!</v>
      </c>
      <c r="Z9" s="34"/>
      <c r="AA9" s="40"/>
      <c r="AB9" s="40"/>
      <c r="AC9" s="38" t="s">
        <v>159</v>
      </c>
      <c r="AD9" s="48"/>
      <c r="AE9" s="53" t="e">
        <f t="shared" ref="AE9:AE24" si="0">LOOKUP(AD9,T$5:T$74,U$5:U$22)</f>
        <v>#N/A</v>
      </c>
      <c r="AF9" s="37" t="s">
        <v>157</v>
      </c>
      <c r="AG9" s="65" t="e">
        <f t="shared" ref="AG9:AG24" si="1">LOOKUP(AD9,T$5:T$74,W$5:W$22)</f>
        <v>#N/A</v>
      </c>
      <c r="AH9" s="74"/>
    </row>
    <row r="10" spans="4:34" ht="13" thickBot="1">
      <c r="E10" s="12"/>
      <c r="F10" s="10"/>
      <c r="G10" s="10"/>
      <c r="H10" s="14" t="s">
        <v>219</v>
      </c>
      <c r="I10" s="9" t="str">
        <f>IF(OR(H8="",H12=""),"",+IF(H8&gt;H12,G8,G12))</f>
        <v/>
      </c>
      <c r="J10" s="17"/>
      <c r="K10" s="10"/>
      <c r="L10" s="10"/>
      <c r="M10" s="10"/>
      <c r="T10">
        <v>6</v>
      </c>
      <c r="U10" s="28" t="e">
        <f>E27</f>
        <v>#REF!</v>
      </c>
      <c r="V10" t="s">
        <v>77</v>
      </c>
      <c r="W10" s="29" t="e">
        <f>E29</f>
        <v>#REF!</v>
      </c>
      <c r="Z10" s="34"/>
      <c r="AA10" s="40"/>
      <c r="AB10" s="40"/>
      <c r="AC10" s="38" t="s">
        <v>159</v>
      </c>
      <c r="AD10" s="48"/>
      <c r="AE10" s="53" t="e">
        <f t="shared" si="0"/>
        <v>#N/A</v>
      </c>
      <c r="AF10" s="37" t="s">
        <v>157</v>
      </c>
      <c r="AG10" s="65" t="e">
        <f t="shared" si="1"/>
        <v>#N/A</v>
      </c>
      <c r="AH10" s="74"/>
    </row>
    <row r="11" spans="4:34" ht="13" thickBot="1">
      <c r="D11">
        <v>3</v>
      </c>
      <c r="E11" s="10" t="e">
        <f>#REF!</f>
        <v>#REF!</v>
      </c>
      <c r="F11" s="11"/>
      <c r="G11" s="10"/>
      <c r="H11" s="14"/>
      <c r="I11" s="10"/>
      <c r="J11" s="13"/>
      <c r="K11" s="10"/>
      <c r="L11" s="10"/>
      <c r="M11" s="10"/>
      <c r="T11">
        <v>7</v>
      </c>
      <c r="U11" s="28" t="e">
        <f>E31</f>
        <v>#REF!</v>
      </c>
      <c r="V11" t="s">
        <v>77</v>
      </c>
      <c r="W11" s="29" t="e">
        <f>E33</f>
        <v>#REF!</v>
      </c>
      <c r="Z11" s="34"/>
      <c r="AA11" s="40"/>
      <c r="AB11" s="40"/>
      <c r="AC11" s="38" t="s">
        <v>159</v>
      </c>
      <c r="AD11" s="48"/>
      <c r="AE11" s="53" t="e">
        <f t="shared" si="0"/>
        <v>#N/A</v>
      </c>
      <c r="AF11" s="37" t="s">
        <v>157</v>
      </c>
      <c r="AG11" s="65" t="e">
        <f t="shared" si="1"/>
        <v>#N/A</v>
      </c>
      <c r="AH11" s="74"/>
    </row>
    <row r="12" spans="4:34" ht="13" thickBot="1">
      <c r="E12" s="12"/>
      <c r="F12" s="13" t="s">
        <v>204</v>
      </c>
      <c r="G12" s="9" t="str">
        <f>IF(OR(F11="",F13=""),"",+IF(F11&gt;F13,E11,E13))</f>
        <v/>
      </c>
      <c r="H12" s="16"/>
      <c r="I12" s="10"/>
      <c r="J12" s="14"/>
      <c r="K12" s="10"/>
      <c r="L12" s="10"/>
      <c r="M12" s="10"/>
      <c r="T12">
        <v>8</v>
      </c>
      <c r="U12" s="28" t="e">
        <f>E35</f>
        <v>#REF!</v>
      </c>
      <c r="V12" t="s">
        <v>77</v>
      </c>
      <c r="W12" s="29" t="e">
        <f>E37</f>
        <v>#REF!</v>
      </c>
      <c r="Z12" s="34"/>
      <c r="AA12" s="40"/>
      <c r="AB12" s="40"/>
      <c r="AC12" s="38" t="s">
        <v>159</v>
      </c>
      <c r="AD12" s="48"/>
      <c r="AE12" s="53" t="e">
        <f t="shared" si="0"/>
        <v>#N/A</v>
      </c>
      <c r="AF12" s="37" t="s">
        <v>157</v>
      </c>
      <c r="AG12" s="65" t="e">
        <f t="shared" si="1"/>
        <v>#N/A</v>
      </c>
      <c r="AH12" s="74"/>
    </row>
    <row r="13" spans="4:34" ht="13" thickBot="1">
      <c r="D13">
        <v>4</v>
      </c>
      <c r="E13" s="10" t="e">
        <f>#REF!</f>
        <v>#REF!</v>
      </c>
      <c r="F13" s="16"/>
      <c r="G13" s="10"/>
      <c r="H13" s="10"/>
      <c r="I13" s="10"/>
      <c r="J13" s="14"/>
      <c r="K13" s="10"/>
      <c r="L13" s="10"/>
      <c r="M13" s="10"/>
      <c r="T13">
        <v>9</v>
      </c>
      <c r="U13" s="28" t="s">
        <v>78</v>
      </c>
      <c r="V13" t="s">
        <v>77</v>
      </c>
      <c r="W13" s="29" t="s">
        <v>160</v>
      </c>
      <c r="Z13" s="34"/>
      <c r="AA13" s="40"/>
      <c r="AB13" s="40"/>
      <c r="AC13" s="38" t="s">
        <v>159</v>
      </c>
      <c r="AD13" s="48"/>
      <c r="AE13" s="53" t="e">
        <f t="shared" si="0"/>
        <v>#N/A</v>
      </c>
      <c r="AF13" s="37" t="s">
        <v>157</v>
      </c>
      <c r="AG13" s="65" t="e">
        <f t="shared" si="1"/>
        <v>#N/A</v>
      </c>
      <c r="AH13" s="74"/>
    </row>
    <row r="14" spans="4:34" ht="13" thickBot="1">
      <c r="E14" s="12"/>
      <c r="F14" s="10"/>
      <c r="G14" s="10"/>
      <c r="H14" s="10"/>
      <c r="I14" s="10"/>
      <c r="J14" s="14" t="s">
        <v>227</v>
      </c>
      <c r="K14" s="9" t="str">
        <f>IF(OR(J10="",J18=""),"",+IF(J10&gt;J18,I10,I18))</f>
        <v/>
      </c>
      <c r="L14" s="17"/>
      <c r="M14" s="10"/>
      <c r="T14">
        <v>10</v>
      </c>
      <c r="U14" s="28" t="s">
        <v>161</v>
      </c>
      <c r="V14" t="s">
        <v>77</v>
      </c>
      <c r="W14" s="29" t="s">
        <v>81</v>
      </c>
      <c r="Z14" s="34"/>
      <c r="AA14" s="40"/>
      <c r="AB14" s="40"/>
      <c r="AC14" s="38" t="s">
        <v>159</v>
      </c>
      <c r="AD14" s="48"/>
      <c r="AE14" s="53" t="e">
        <f t="shared" si="0"/>
        <v>#N/A</v>
      </c>
      <c r="AF14" s="37" t="s">
        <v>157</v>
      </c>
      <c r="AG14" s="65" t="e">
        <f t="shared" si="1"/>
        <v>#N/A</v>
      </c>
      <c r="AH14" s="74"/>
    </row>
    <row r="15" spans="4:34" ht="13" thickBot="1">
      <c r="D15">
        <v>5</v>
      </c>
      <c r="E15" s="10" t="e">
        <f>#REF!</f>
        <v>#REF!</v>
      </c>
      <c r="F15" s="11"/>
      <c r="G15" s="10"/>
      <c r="H15" s="10"/>
      <c r="I15" s="10"/>
      <c r="J15" s="14"/>
      <c r="K15" s="10"/>
      <c r="L15" s="13"/>
      <c r="M15" s="10"/>
      <c r="T15">
        <v>11</v>
      </c>
      <c r="U15" s="28" t="s">
        <v>162</v>
      </c>
      <c r="V15" t="s">
        <v>77</v>
      </c>
      <c r="W15" s="29" t="s">
        <v>163</v>
      </c>
      <c r="Z15" s="34"/>
      <c r="AA15" s="40"/>
      <c r="AB15" s="40"/>
      <c r="AC15" s="38" t="s">
        <v>159</v>
      </c>
      <c r="AD15" s="48"/>
      <c r="AE15" s="53" t="e">
        <f t="shared" si="0"/>
        <v>#N/A</v>
      </c>
      <c r="AF15" s="37" t="s">
        <v>157</v>
      </c>
      <c r="AG15" s="65" t="e">
        <f t="shared" si="1"/>
        <v>#N/A</v>
      </c>
      <c r="AH15" s="74"/>
    </row>
    <row r="16" spans="4:34" ht="13" thickBot="1">
      <c r="E16" s="12"/>
      <c r="F16" s="13" t="s">
        <v>206</v>
      </c>
      <c r="G16" s="9" t="str">
        <f>IF(OR(F15="",F17=""),"",+IF(F15&gt;F17,E15,E17))</f>
        <v/>
      </c>
      <c r="H16" s="17"/>
      <c r="I16" s="10"/>
      <c r="J16" s="14"/>
      <c r="K16" s="10"/>
      <c r="L16" s="14"/>
      <c r="M16" s="10"/>
      <c r="T16">
        <v>12</v>
      </c>
      <c r="U16" s="28" t="s">
        <v>84</v>
      </c>
      <c r="V16" t="s">
        <v>77</v>
      </c>
      <c r="W16" s="29" t="s">
        <v>164</v>
      </c>
      <c r="Z16" s="34"/>
      <c r="AA16" s="40"/>
      <c r="AB16" s="40"/>
      <c r="AC16" s="38" t="s">
        <v>159</v>
      </c>
      <c r="AD16" s="48"/>
      <c r="AE16" s="53" t="e">
        <f t="shared" si="0"/>
        <v>#N/A</v>
      </c>
      <c r="AF16" s="37" t="s">
        <v>157</v>
      </c>
      <c r="AG16" s="65" t="e">
        <f t="shared" si="1"/>
        <v>#N/A</v>
      </c>
      <c r="AH16" s="74"/>
    </row>
    <row r="17" spans="4:34" ht="13" thickBot="1">
      <c r="D17">
        <v>6</v>
      </c>
      <c r="E17" s="10" t="e">
        <f>#REF!</f>
        <v>#REF!</v>
      </c>
      <c r="F17" s="16"/>
      <c r="G17" s="10"/>
      <c r="H17" s="14"/>
      <c r="I17" s="10"/>
      <c r="J17" s="14"/>
      <c r="K17" s="10"/>
      <c r="L17" s="14"/>
      <c r="M17" s="10"/>
      <c r="T17">
        <v>13</v>
      </c>
      <c r="U17" s="28" t="s">
        <v>86</v>
      </c>
      <c r="V17" t="s">
        <v>77</v>
      </c>
      <c r="W17" s="29" t="s">
        <v>87</v>
      </c>
      <c r="Z17" s="34"/>
      <c r="AA17" s="40"/>
      <c r="AB17" s="40"/>
      <c r="AC17" s="38" t="s">
        <v>159</v>
      </c>
      <c r="AD17" s="48"/>
      <c r="AE17" s="53" t="e">
        <f t="shared" si="0"/>
        <v>#N/A</v>
      </c>
      <c r="AF17" s="37" t="s">
        <v>157</v>
      </c>
      <c r="AG17" s="65" t="e">
        <f t="shared" si="1"/>
        <v>#N/A</v>
      </c>
      <c r="AH17" s="74"/>
    </row>
    <row r="18" spans="4:34" ht="13" thickBot="1">
      <c r="E18" s="12"/>
      <c r="F18" s="10"/>
      <c r="G18" s="10"/>
      <c r="H18" s="14" t="s">
        <v>221</v>
      </c>
      <c r="I18" s="9" t="str">
        <f>IF(OR(H16="",H20=""),"",+IF(H16&gt;H20,G16,G20))</f>
        <v/>
      </c>
      <c r="J18" s="16"/>
      <c r="K18" s="10"/>
      <c r="L18" s="14"/>
      <c r="M18" s="10"/>
      <c r="T18">
        <v>14</v>
      </c>
      <c r="U18" s="28" t="s">
        <v>88</v>
      </c>
      <c r="V18" t="s">
        <v>77</v>
      </c>
      <c r="W18" s="29" t="s">
        <v>89</v>
      </c>
      <c r="Z18" s="34"/>
      <c r="AA18" s="40"/>
      <c r="AB18" s="40"/>
      <c r="AC18" s="38" t="s">
        <v>159</v>
      </c>
      <c r="AD18" s="48"/>
      <c r="AE18" s="53" t="e">
        <f t="shared" si="0"/>
        <v>#N/A</v>
      </c>
      <c r="AF18" s="37" t="s">
        <v>157</v>
      </c>
      <c r="AG18" s="65" t="e">
        <f t="shared" si="1"/>
        <v>#N/A</v>
      </c>
      <c r="AH18" s="74"/>
    </row>
    <row r="19" spans="4:34" ht="13" thickBot="1">
      <c r="D19">
        <v>7</v>
      </c>
      <c r="E19" s="10" t="e">
        <f>#REF!</f>
        <v>#REF!</v>
      </c>
      <c r="F19" s="11"/>
      <c r="G19" s="10"/>
      <c r="H19" s="14"/>
      <c r="I19" s="10"/>
      <c r="J19" s="10"/>
      <c r="K19" s="10"/>
      <c r="L19" s="14"/>
      <c r="M19" s="10"/>
      <c r="T19">
        <v>15</v>
      </c>
      <c r="U19" s="71" t="s">
        <v>289</v>
      </c>
      <c r="V19" t="s">
        <v>77</v>
      </c>
      <c r="W19" s="72" t="s">
        <v>290</v>
      </c>
      <c r="Z19" s="34"/>
      <c r="AA19" s="40"/>
      <c r="AB19" s="40"/>
      <c r="AC19" s="38" t="s">
        <v>159</v>
      </c>
      <c r="AD19" s="48"/>
      <c r="AE19" s="53" t="e">
        <f t="shared" si="0"/>
        <v>#N/A</v>
      </c>
      <c r="AF19" s="37" t="s">
        <v>157</v>
      </c>
      <c r="AG19" s="65" t="e">
        <f t="shared" si="1"/>
        <v>#N/A</v>
      </c>
      <c r="AH19" s="74"/>
    </row>
    <row r="20" spans="4:34" ht="13" thickBot="1">
      <c r="E20" s="12"/>
      <c r="F20" s="13" t="s">
        <v>208</v>
      </c>
      <c r="G20" s="9" t="str">
        <f>IF(OR(F19="",F21=""),"",+IF(F19&gt;F21,E19,E21))</f>
        <v/>
      </c>
      <c r="H20" s="16"/>
      <c r="I20" s="10"/>
      <c r="J20" s="10"/>
      <c r="K20" s="10"/>
      <c r="L20" s="14"/>
      <c r="M20" s="10"/>
      <c r="T20">
        <v>16</v>
      </c>
      <c r="U20" s="28" t="s">
        <v>90</v>
      </c>
      <c r="V20" t="s">
        <v>77</v>
      </c>
      <c r="W20" s="29" t="s">
        <v>91</v>
      </c>
      <c r="Z20" s="34"/>
      <c r="AA20" s="40"/>
      <c r="AB20" s="40"/>
      <c r="AC20" s="38" t="s">
        <v>159</v>
      </c>
      <c r="AD20" s="48"/>
      <c r="AE20" s="53" t="e">
        <f t="shared" si="0"/>
        <v>#N/A</v>
      </c>
      <c r="AF20" s="37" t="s">
        <v>157</v>
      </c>
      <c r="AG20" s="65" t="e">
        <f t="shared" si="1"/>
        <v>#N/A</v>
      </c>
      <c r="AH20" s="74"/>
    </row>
    <row r="21" spans="4:34" ht="13" thickBot="1">
      <c r="D21">
        <v>8</v>
      </c>
      <c r="E21" s="9" t="e">
        <f>#REF!</f>
        <v>#REF!</v>
      </c>
      <c r="F21" s="16"/>
      <c r="G21" s="10"/>
      <c r="H21" s="10"/>
      <c r="I21" s="10"/>
      <c r="J21" s="10"/>
      <c r="K21" s="10"/>
      <c r="L21" s="14"/>
      <c r="M21" s="10"/>
      <c r="Z21" s="34"/>
      <c r="AA21" s="40"/>
      <c r="AB21" s="40"/>
      <c r="AC21" s="38" t="s">
        <v>159</v>
      </c>
      <c r="AD21" s="48"/>
      <c r="AE21" s="53" t="e">
        <f t="shared" si="0"/>
        <v>#N/A</v>
      </c>
      <c r="AF21" s="37" t="s">
        <v>157</v>
      </c>
      <c r="AG21" s="65" t="e">
        <f t="shared" si="1"/>
        <v>#N/A</v>
      </c>
      <c r="AH21" s="74"/>
    </row>
    <row r="22" spans="4:34" ht="13" thickBot="1">
      <c r="E22" s="10"/>
      <c r="F22" s="10"/>
      <c r="G22" s="10"/>
      <c r="H22" s="10"/>
      <c r="I22" s="10"/>
      <c r="J22" s="10"/>
      <c r="K22" s="79" t="s">
        <v>278</v>
      </c>
      <c r="L22" s="70" t="s">
        <v>234</v>
      </c>
      <c r="M22" s="9" t="str">
        <f>IF(OR(L14="",L30=""),"",+IF(L14&gt;L30,K14,K30))</f>
        <v/>
      </c>
      <c r="U22" s="29"/>
      <c r="W22" s="28"/>
      <c r="Z22" s="34"/>
      <c r="AA22" s="40"/>
      <c r="AB22" s="40"/>
      <c r="AC22" s="38" t="s">
        <v>159</v>
      </c>
      <c r="AD22" s="48"/>
      <c r="AE22" s="53" t="e">
        <f t="shared" si="0"/>
        <v>#N/A</v>
      </c>
      <c r="AF22" s="37" t="s">
        <v>157</v>
      </c>
      <c r="AG22" s="65" t="e">
        <f t="shared" si="1"/>
        <v>#N/A</v>
      </c>
      <c r="AH22" s="74"/>
    </row>
    <row r="23" spans="4:34" ht="13" thickBot="1">
      <c r="D23">
        <v>9</v>
      </c>
      <c r="E23" s="10" t="e">
        <f>#REF!</f>
        <v>#REF!</v>
      </c>
      <c r="F23" s="11"/>
      <c r="G23" s="10"/>
      <c r="H23" s="10"/>
      <c r="I23" s="10"/>
      <c r="J23" s="10"/>
      <c r="K23" s="10"/>
      <c r="L23" s="14"/>
      <c r="M23" s="10"/>
      <c r="Z23" s="34"/>
      <c r="AA23" s="40"/>
      <c r="AB23" s="40"/>
      <c r="AC23" s="38" t="s">
        <v>159</v>
      </c>
      <c r="AD23" s="48"/>
      <c r="AE23" s="53" t="e">
        <f t="shared" si="0"/>
        <v>#N/A</v>
      </c>
      <c r="AF23" s="37" t="s">
        <v>157</v>
      </c>
      <c r="AG23" s="65" t="e">
        <f t="shared" si="1"/>
        <v>#N/A</v>
      </c>
      <c r="AH23" s="74"/>
    </row>
    <row r="24" spans="4:34" ht="13" thickBot="1">
      <c r="E24" s="12"/>
      <c r="F24" s="13" t="s">
        <v>210</v>
      </c>
      <c r="G24" s="9" t="str">
        <f>IF(OR(F23="",F25=""),"",+IF(F23&gt;F25,E23,E25))</f>
        <v/>
      </c>
      <c r="H24" s="17"/>
      <c r="I24" s="10"/>
      <c r="J24" s="10"/>
      <c r="K24" s="10"/>
      <c r="L24" s="14"/>
      <c r="M24" s="10"/>
      <c r="Z24" s="34"/>
      <c r="AA24" s="40"/>
      <c r="AB24" s="40"/>
      <c r="AC24" s="38" t="s">
        <v>159</v>
      </c>
      <c r="AD24" s="48"/>
      <c r="AE24" s="53" t="e">
        <f t="shared" si="0"/>
        <v>#N/A</v>
      </c>
      <c r="AF24" s="37" t="s">
        <v>157</v>
      </c>
      <c r="AG24" s="65" t="e">
        <f t="shared" si="1"/>
        <v>#N/A</v>
      </c>
      <c r="AH24" s="74"/>
    </row>
    <row r="25" spans="4:34" ht="13" thickBot="1">
      <c r="D25">
        <v>10</v>
      </c>
      <c r="E25" s="10" t="e">
        <f>#REF!</f>
        <v>#REF!</v>
      </c>
      <c r="F25" s="16"/>
      <c r="G25" s="10"/>
      <c r="H25" s="14"/>
      <c r="I25" s="10"/>
      <c r="J25" s="10"/>
      <c r="K25" s="10"/>
      <c r="L25" s="14"/>
      <c r="M25" s="10"/>
      <c r="Z25" s="42"/>
      <c r="AA25" s="43"/>
      <c r="AB25" s="43"/>
      <c r="AC25" s="43"/>
      <c r="AD25" s="61"/>
      <c r="AE25" s="62"/>
      <c r="AF25" s="63"/>
      <c r="AG25" s="60"/>
      <c r="AH25" s="75"/>
    </row>
    <row r="26" spans="4:34" ht="13" thickBot="1">
      <c r="E26" s="12"/>
      <c r="F26" s="10"/>
      <c r="G26" s="10"/>
      <c r="H26" s="14" t="s">
        <v>223</v>
      </c>
      <c r="I26" s="9" t="str">
        <f>IF(OR(H24="",H28=""),"",+IF(H24&gt;H28,G24,G28))</f>
        <v/>
      </c>
      <c r="J26" s="17"/>
      <c r="K26" s="10"/>
      <c r="L26" s="14"/>
      <c r="M26" s="10"/>
    </row>
    <row r="27" spans="4:34" ht="13" thickBot="1">
      <c r="D27">
        <v>11</v>
      </c>
      <c r="E27" s="10" t="e">
        <f>#REF!</f>
        <v>#REF!</v>
      </c>
      <c r="F27" s="11"/>
      <c r="G27" s="10"/>
      <c r="H27" s="14"/>
      <c r="I27" s="10"/>
      <c r="J27" s="13"/>
      <c r="K27" s="10"/>
      <c r="L27" s="14"/>
      <c r="M27" s="10"/>
    </row>
    <row r="28" spans="4:34" ht="13" thickBot="1">
      <c r="E28" s="12"/>
      <c r="F28" s="13" t="s">
        <v>212</v>
      </c>
      <c r="G28" s="9" t="str">
        <f>IF(OR(F27="",F29=""),"",+IF(F27&gt;F29,E27,E29))</f>
        <v/>
      </c>
      <c r="H28" s="16"/>
      <c r="I28" s="10"/>
      <c r="J28" s="14"/>
      <c r="K28" s="10"/>
      <c r="L28" s="14"/>
      <c r="M28" s="10"/>
    </row>
    <row r="29" spans="4:34" ht="13" thickBot="1">
      <c r="D29">
        <v>12</v>
      </c>
      <c r="E29" s="10" t="e">
        <f>#REF!</f>
        <v>#REF!</v>
      </c>
      <c r="F29" s="16"/>
      <c r="G29" s="10"/>
      <c r="H29" s="10"/>
      <c r="I29" s="10"/>
      <c r="J29" s="14"/>
      <c r="K29" s="10"/>
      <c r="L29" s="14"/>
      <c r="M29" s="10"/>
    </row>
    <row r="30" spans="4:34" ht="13" thickBot="1">
      <c r="E30" s="12"/>
      <c r="F30" s="10"/>
      <c r="G30" s="10"/>
      <c r="H30" s="10"/>
      <c r="I30" s="10"/>
      <c r="J30" s="14" t="s">
        <v>229</v>
      </c>
      <c r="K30" s="9" t="str">
        <f>IF(OR(J26="",J34=""),"",+IF(J26&gt;J34,I26,I34))</f>
        <v/>
      </c>
      <c r="L30" s="16"/>
      <c r="M30" s="10"/>
    </row>
    <row r="31" spans="4:34" ht="13" thickBot="1">
      <c r="D31">
        <v>13</v>
      </c>
      <c r="E31" s="10" t="e">
        <f>#REF!</f>
        <v>#REF!</v>
      </c>
      <c r="F31" s="11"/>
      <c r="G31" s="10"/>
      <c r="H31" s="10"/>
      <c r="I31" s="10"/>
      <c r="J31" s="14"/>
      <c r="K31" s="10"/>
      <c r="L31" s="10"/>
      <c r="M31" s="10"/>
    </row>
    <row r="32" spans="4:34" ht="13" thickBot="1">
      <c r="E32" s="12"/>
      <c r="F32" s="13" t="s">
        <v>214</v>
      </c>
      <c r="G32" s="9" t="str">
        <f>IF(OR(F31="",F33=""),"",+IF(F31&gt;F33,E31,E33))</f>
        <v/>
      </c>
      <c r="H32" s="17"/>
      <c r="I32" s="10"/>
      <c r="J32" s="14"/>
      <c r="K32" s="10"/>
      <c r="L32" s="10"/>
      <c r="M32" s="10"/>
    </row>
    <row r="33" spans="4:13" ht="13" thickBot="1">
      <c r="D33">
        <v>14</v>
      </c>
      <c r="E33" s="10" t="e">
        <f>#REF!</f>
        <v>#REF!</v>
      </c>
      <c r="F33" s="16"/>
      <c r="G33" s="10"/>
      <c r="H33" s="14"/>
      <c r="I33" s="10"/>
      <c r="J33" s="14"/>
      <c r="K33" s="10"/>
      <c r="L33" s="10"/>
      <c r="M33" s="10"/>
    </row>
    <row r="34" spans="4:13" ht="13" thickBot="1">
      <c r="E34" s="12"/>
      <c r="F34" s="10"/>
      <c r="G34" s="10"/>
      <c r="H34" s="14" t="s">
        <v>225</v>
      </c>
      <c r="I34" s="9" t="str">
        <f>IF(OR(H32="",H36=""),"",+IF(H32&gt;H36,G32,G36))</f>
        <v/>
      </c>
      <c r="J34" s="16"/>
      <c r="K34" s="10"/>
      <c r="L34" s="10"/>
      <c r="M34" s="10"/>
    </row>
    <row r="35" spans="4:13" ht="13" thickBot="1">
      <c r="D35">
        <v>15</v>
      </c>
      <c r="E35" s="10" t="e">
        <f>#REF!</f>
        <v>#REF!</v>
      </c>
      <c r="F35" s="11"/>
      <c r="G35" s="10"/>
      <c r="H35" s="14"/>
      <c r="I35" s="10"/>
      <c r="J35" s="10"/>
      <c r="K35" s="10"/>
      <c r="L35" s="10"/>
      <c r="M35" s="10"/>
    </row>
    <row r="36" spans="4:13" ht="13" thickBot="1">
      <c r="E36" s="12"/>
      <c r="F36" s="13" t="s">
        <v>217</v>
      </c>
      <c r="G36" s="9" t="str">
        <f>IF(OR(F35="",F37=""),"",+IF(F35&gt;F37,E35,E37))</f>
        <v/>
      </c>
      <c r="H36" s="16"/>
      <c r="I36" s="10"/>
      <c r="J36" s="10"/>
      <c r="K36" s="10"/>
      <c r="L36" s="10"/>
      <c r="M36" s="10"/>
    </row>
    <row r="37" spans="4:13" ht="13" thickBot="1">
      <c r="D37">
        <v>16</v>
      </c>
      <c r="E37" s="9" t="e">
        <f>#REF!</f>
        <v>#REF!</v>
      </c>
      <c r="F37" s="16"/>
      <c r="G37" s="10"/>
      <c r="H37" s="10"/>
      <c r="I37" s="10"/>
      <c r="J37" s="10"/>
      <c r="K37" s="10"/>
      <c r="L37" s="10"/>
      <c r="M37" s="10"/>
    </row>
    <row r="39" spans="4:13" ht="13" thickBot="1">
      <c r="K39" s="9" t="str">
        <f>IF(OR(K14="",K30=""),"",+IF(J10&gt;J18,I18,I10))</f>
        <v/>
      </c>
      <c r="L39" s="17"/>
      <c r="M39" s="10"/>
    </row>
    <row r="40" spans="4:13">
      <c r="K40" s="10"/>
      <c r="L40" s="13"/>
      <c r="M40" s="10"/>
    </row>
    <row r="41" spans="4:13" ht="13" thickBot="1">
      <c r="K41" s="79" t="s">
        <v>279</v>
      </c>
      <c r="L41" s="70" t="s">
        <v>232</v>
      </c>
      <c r="M41" s="9" t="str">
        <f>IF(OR(L39="",L43=""),"",+IF(L39&gt;L43,K39,K43))</f>
        <v/>
      </c>
    </row>
    <row r="42" spans="4:13">
      <c r="K42" s="10"/>
      <c r="L42" s="14"/>
      <c r="M42" s="10"/>
    </row>
    <row r="43" spans="4:13" ht="13" thickBot="1">
      <c r="K43" s="9" t="str">
        <f>IF(OR(K14="",K30=""),"",+IF(J26&gt;J34,I34,I26))</f>
        <v/>
      </c>
      <c r="L43" s="16"/>
      <c r="M43" s="10"/>
    </row>
    <row r="44" spans="4:13">
      <c r="K44" s="10"/>
      <c r="L44" s="10"/>
      <c r="M44" s="10"/>
    </row>
    <row r="46" spans="4:13">
      <c r="I46" s="28"/>
      <c r="J46" s="76"/>
      <c r="K46" s="29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Plan13"/>
  <dimension ref="D4:AH46"/>
  <sheetViews>
    <sheetView showGridLines="0" topLeftCell="A20" zoomScale="75" workbookViewId="0">
      <selection activeCell="I14" sqref="I14"/>
    </sheetView>
  </sheetViews>
  <sheetFormatPr defaultRowHeight="12.7"/>
  <cols>
    <col min="5" max="5" width="20.1171875" bestFit="1" customWidth="1"/>
    <col min="6" max="6" width="3.64453125" customWidth="1"/>
    <col min="7" max="7" width="14.41015625" bestFit="1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64453125" customWidth="1"/>
    <col min="13" max="13" width="15.64453125" customWidth="1"/>
    <col min="20" max="20" width="9.1171875"/>
    <col min="21" max="21" width="9.1171875" style="28"/>
    <col min="22" max="22" width="2.41015625" customWidth="1"/>
    <col min="23" max="23" width="9.1171875" style="29"/>
    <col min="26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20.1171875" style="28" bestFit="1" customWidth="1"/>
    <col min="32" max="32" width="6.52734375" bestFit="1" customWidth="1"/>
    <col min="33" max="33" width="19.1171875" style="29" bestFit="1" customWidth="1"/>
  </cols>
  <sheetData>
    <row r="4" spans="4:34" ht="13" thickBot="1"/>
    <row r="5" spans="4:34" ht="13" thickTop="1">
      <c r="T5">
        <v>1</v>
      </c>
      <c r="U5" s="28" t="e">
        <f>E10</f>
        <v>#REF!</v>
      </c>
      <c r="V5" t="s">
        <v>77</v>
      </c>
      <c r="W5" s="29" t="e">
        <f>E12</f>
        <v>#REF!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 t="e">
        <f>E14</f>
        <v>#REF!</v>
      </c>
      <c r="V6" t="s">
        <v>77</v>
      </c>
      <c r="W6" s="29" t="e">
        <f>E16</f>
        <v>#REF!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 t="e">
        <f>#REF!</f>
        <v>#REF!</v>
      </c>
      <c r="F7" s="9"/>
      <c r="G7" s="9" t="e">
        <f>E7</f>
        <v>#REF!</v>
      </c>
      <c r="H7" s="11"/>
      <c r="I7" s="10"/>
      <c r="J7" s="10"/>
      <c r="K7" s="10"/>
      <c r="L7" s="10"/>
      <c r="M7" s="10"/>
      <c r="T7">
        <v>3</v>
      </c>
      <c r="U7" s="28" t="e">
        <f>E18</f>
        <v>#REF!</v>
      </c>
      <c r="V7" t="s">
        <v>77</v>
      </c>
      <c r="W7" s="29" t="e">
        <f>E20</f>
        <v>#REF!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T8">
        <v>4</v>
      </c>
      <c r="U8" s="28" t="e">
        <f>E22</f>
        <v>#REF!</v>
      </c>
      <c r="V8" t="s">
        <v>77</v>
      </c>
      <c r="W8" s="29" t="e">
        <f>E24</f>
        <v>#REF!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217</v>
      </c>
      <c r="I9" s="9" t="str">
        <f>IF(OR(H7="",H11=""),"",+IF(H7&gt;H11,G7,G11))</f>
        <v/>
      </c>
      <c r="J9" s="17"/>
      <c r="K9" s="10"/>
      <c r="L9" s="10"/>
      <c r="M9" s="10"/>
      <c r="T9">
        <v>5</v>
      </c>
      <c r="U9" s="28" t="e">
        <f>E26</f>
        <v>#REF!</v>
      </c>
      <c r="V9" t="s">
        <v>77</v>
      </c>
      <c r="W9" s="29" t="e">
        <f>E28</f>
        <v>#REF!</v>
      </c>
      <c r="Z9" s="34"/>
      <c r="AA9" s="40"/>
      <c r="AB9" s="40"/>
      <c r="AC9" s="38" t="s">
        <v>159</v>
      </c>
      <c r="AD9" s="48">
        <v>15</v>
      </c>
      <c r="AE9" s="53" t="str">
        <f t="shared" ref="AE9:AE23" ca="1" si="0">LOOKUP(AD9,T$5:T$74,U$5:U$22)</f>
        <v>Venc.J12</v>
      </c>
      <c r="AF9" s="37" t="s">
        <v>157</v>
      </c>
      <c r="AG9" s="65" t="str">
        <f t="shared" ref="AG9:AG23" ca="1" si="1">LOOKUP(AD9,T$5:T$74,W$5:W$22)</f>
        <v>Venc.J13</v>
      </c>
      <c r="AH9" s="74"/>
    </row>
    <row r="10" spans="4:34" ht="13" thickBot="1">
      <c r="D10">
        <v>2</v>
      </c>
      <c r="E10" s="10" t="e">
        <f>#REF!</f>
        <v>#REF!</v>
      </c>
      <c r="F10" s="11"/>
      <c r="G10" s="10"/>
      <c r="H10" s="14"/>
      <c r="I10" s="80"/>
      <c r="J10" s="13"/>
      <c r="K10" s="10"/>
      <c r="L10" s="10"/>
      <c r="M10" s="10"/>
      <c r="T10">
        <v>6</v>
      </c>
      <c r="U10" s="28" t="e">
        <f>E30</f>
        <v>#REF!</v>
      </c>
      <c r="V10" t="s">
        <v>77</v>
      </c>
      <c r="W10" s="29" t="e">
        <f>E32</f>
        <v>#REF!</v>
      </c>
      <c r="Z10" s="34"/>
      <c r="AA10" s="40"/>
      <c r="AB10" s="40"/>
      <c r="AC10" s="38" t="s">
        <v>159</v>
      </c>
      <c r="AD10" s="48">
        <v>14</v>
      </c>
      <c r="AE10" s="53" t="str">
        <f t="shared" ca="1" si="0"/>
        <v>Perd.J12</v>
      </c>
      <c r="AF10" s="37" t="s">
        <v>157</v>
      </c>
      <c r="AG10" s="65" t="str">
        <f t="shared" ca="1" si="1"/>
        <v>Perd.J13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T11">
        <v>7</v>
      </c>
      <c r="U11" s="28" t="e">
        <f>E34</f>
        <v>#REF!</v>
      </c>
      <c r="V11" t="s">
        <v>77</v>
      </c>
      <c r="W11" s="29" t="e">
        <f>E36</f>
        <v>#REF!</v>
      </c>
      <c r="Z11" s="34"/>
      <c r="AA11" s="40"/>
      <c r="AB11" s="40"/>
      <c r="AC11" s="38" t="s">
        <v>159</v>
      </c>
      <c r="AD11" s="48">
        <v>13</v>
      </c>
      <c r="AE11" s="53" t="str">
        <f t="shared" ca="1" si="0"/>
        <v>Venc.J10</v>
      </c>
      <c r="AF11" s="37" t="s">
        <v>157</v>
      </c>
      <c r="AG11" s="65" t="str">
        <f t="shared" ca="1" si="1"/>
        <v>Venc.J11</v>
      </c>
      <c r="AH11" s="74"/>
    </row>
    <row r="12" spans="4:34" ht="13" thickBot="1">
      <c r="D12">
        <v>3</v>
      </c>
      <c r="E12" s="9" t="e">
        <f>#REF!</f>
        <v>#REF!</v>
      </c>
      <c r="F12" s="16"/>
      <c r="G12" s="10"/>
      <c r="H12" s="10"/>
      <c r="I12" s="10"/>
      <c r="J12" s="14"/>
      <c r="K12" s="10"/>
      <c r="L12" s="10"/>
      <c r="M12" s="10"/>
      <c r="T12">
        <v>8</v>
      </c>
      <c r="U12" s="28" t="e">
        <f>E7</f>
        <v>#REF!</v>
      </c>
      <c r="V12" t="s">
        <v>77</v>
      </c>
      <c r="W12" s="29" t="s">
        <v>78</v>
      </c>
      <c r="Z12" s="34"/>
      <c r="AA12" s="40"/>
      <c r="AB12" s="40"/>
      <c r="AC12" s="38" t="s">
        <v>159</v>
      </c>
      <c r="AD12" s="48">
        <v>12</v>
      </c>
      <c r="AE12" s="53" t="str">
        <f t="shared" ca="1" si="0"/>
        <v>Venc.J8</v>
      </c>
      <c r="AF12" s="37" t="s">
        <v>157</v>
      </c>
      <c r="AG12" s="65" t="str">
        <f t="shared" ca="1" si="1"/>
        <v>Venc.J9</v>
      </c>
      <c r="AH12" s="74"/>
    </row>
    <row r="13" spans="4:34" ht="13" thickBot="1">
      <c r="E13" s="10"/>
      <c r="F13" s="10"/>
      <c r="G13" s="10"/>
      <c r="H13" s="10"/>
      <c r="I13" s="10"/>
      <c r="J13" s="14" t="s">
        <v>225</v>
      </c>
      <c r="K13" s="81"/>
      <c r="L13" s="17"/>
      <c r="M13" s="10"/>
      <c r="T13">
        <v>9</v>
      </c>
      <c r="U13" s="28" t="s">
        <v>160</v>
      </c>
      <c r="V13" t="s">
        <v>77</v>
      </c>
      <c r="W13" s="28" t="s">
        <v>161</v>
      </c>
      <c r="Z13" s="34"/>
      <c r="AA13" s="40"/>
      <c r="AB13" s="40"/>
      <c r="AC13" s="38" t="s">
        <v>159</v>
      </c>
      <c r="AD13" s="48">
        <v>11</v>
      </c>
      <c r="AE13" s="53" t="str">
        <f t="shared" ca="1" si="0"/>
        <v>Venc.J6</v>
      </c>
      <c r="AF13" s="37" t="s">
        <v>157</v>
      </c>
      <c r="AG13" s="65" t="str">
        <f t="shared" ca="1" si="1"/>
        <v>Venc.J7</v>
      </c>
      <c r="AH13" s="74"/>
    </row>
    <row r="14" spans="4:34" ht="13" thickBot="1">
      <c r="D14">
        <v>4</v>
      </c>
      <c r="E14" s="10" t="e">
        <f>#REF!</f>
        <v>#REF!</v>
      </c>
      <c r="F14" s="11"/>
      <c r="G14" s="10"/>
      <c r="H14" s="10"/>
      <c r="I14" s="10"/>
      <c r="J14" s="14"/>
      <c r="K14" s="10"/>
      <c r="L14" s="13"/>
      <c r="M14" s="10"/>
      <c r="T14">
        <v>10</v>
      </c>
      <c r="U14" s="28" t="s">
        <v>81</v>
      </c>
      <c r="V14" t="s">
        <v>77</v>
      </c>
      <c r="W14" s="28" t="s">
        <v>162</v>
      </c>
      <c r="Z14" s="34"/>
      <c r="AA14" s="40"/>
      <c r="AB14" s="40"/>
      <c r="AC14" s="38" t="s">
        <v>159</v>
      </c>
      <c r="AD14" s="48">
        <v>10</v>
      </c>
      <c r="AE14" s="53" t="str">
        <f t="shared" ca="1" si="0"/>
        <v>Venc.J4</v>
      </c>
      <c r="AF14" s="37" t="s">
        <v>157</v>
      </c>
      <c r="AG14" s="65" t="str">
        <f t="shared" ca="1" si="1"/>
        <v>Venc.J5</v>
      </c>
      <c r="AH14" s="74"/>
    </row>
    <row r="15" spans="4:34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T15">
        <v>11</v>
      </c>
      <c r="U15" s="28" t="s">
        <v>163</v>
      </c>
      <c r="V15" t="s">
        <v>77</v>
      </c>
      <c r="W15" s="28" t="s">
        <v>84</v>
      </c>
      <c r="Z15" s="34"/>
      <c r="AA15" s="40"/>
      <c r="AB15" s="40"/>
      <c r="AC15" s="38" t="s">
        <v>159</v>
      </c>
      <c r="AD15" s="48">
        <v>9</v>
      </c>
      <c r="AE15" s="53" t="str">
        <f t="shared" ca="1" si="0"/>
        <v>Venc.J2</v>
      </c>
      <c r="AF15" s="37" t="s">
        <v>157</v>
      </c>
      <c r="AG15" s="65" t="str">
        <f t="shared" ca="1" si="1"/>
        <v>Venc.J3</v>
      </c>
      <c r="AH15" s="74"/>
    </row>
    <row r="16" spans="4:34" ht="13" thickBot="1">
      <c r="D16">
        <v>5</v>
      </c>
      <c r="E16" s="10" t="e">
        <f>#REF!</f>
        <v>#REF!</v>
      </c>
      <c r="F16" s="16"/>
      <c r="G16" s="10"/>
      <c r="H16" s="14"/>
      <c r="I16" s="10"/>
      <c r="J16" s="14"/>
      <c r="K16" s="10"/>
      <c r="L16" s="14"/>
      <c r="M16" s="10"/>
      <c r="T16">
        <v>12</v>
      </c>
      <c r="U16" s="28" t="s">
        <v>164</v>
      </c>
      <c r="V16" t="s">
        <v>77</v>
      </c>
      <c r="W16" s="28" t="s">
        <v>86</v>
      </c>
      <c r="Z16" s="34"/>
      <c r="AA16" s="40"/>
      <c r="AB16" s="40"/>
      <c r="AC16" s="38" t="s">
        <v>159</v>
      </c>
      <c r="AD16" s="48">
        <v>8</v>
      </c>
      <c r="AE16" s="53" t="e">
        <f t="shared" ca="1" si="0"/>
        <v>#REF!</v>
      </c>
      <c r="AF16" s="37" t="s">
        <v>157</v>
      </c>
      <c r="AG16" s="65" t="str">
        <f t="shared" ca="1" si="1"/>
        <v>Venc.J1</v>
      </c>
      <c r="AH16" s="74"/>
    </row>
    <row r="17" spans="4:34" ht="13" thickBot="1">
      <c r="E17" s="12"/>
      <c r="F17" s="10"/>
      <c r="G17" s="10"/>
      <c r="H17" s="14" t="s">
        <v>219</v>
      </c>
      <c r="I17" s="81"/>
      <c r="J17" s="16"/>
      <c r="K17" s="10"/>
      <c r="L17" s="14"/>
      <c r="M17" s="10"/>
      <c r="T17">
        <v>13</v>
      </c>
      <c r="U17" s="28" t="s">
        <v>87</v>
      </c>
      <c r="V17" t="s">
        <v>77</v>
      </c>
      <c r="W17" s="28" t="s">
        <v>88</v>
      </c>
      <c r="Z17" s="34"/>
      <c r="AA17" s="40"/>
      <c r="AB17" s="40"/>
      <c r="AC17" s="38" t="s">
        <v>159</v>
      </c>
      <c r="AD17" s="48">
        <v>7</v>
      </c>
      <c r="AE17" s="53" t="e">
        <f t="shared" ca="1" si="0"/>
        <v>#REF!</v>
      </c>
      <c r="AF17" s="37" t="s">
        <v>157</v>
      </c>
      <c r="AG17" s="65" t="e">
        <f t="shared" ca="1" si="1"/>
        <v>#REF!</v>
      </c>
      <c r="AH17" s="74"/>
    </row>
    <row r="18" spans="4:34" ht="13" thickBot="1">
      <c r="D18">
        <v>6</v>
      </c>
      <c r="E18" s="10" t="e">
        <f>#REF!</f>
        <v>#REF!</v>
      </c>
      <c r="F18" s="11"/>
      <c r="G18" s="10"/>
      <c r="H18" s="14"/>
      <c r="I18" s="10"/>
      <c r="J18" s="10"/>
      <c r="K18" s="10"/>
      <c r="L18" s="14"/>
      <c r="M18" s="10"/>
      <c r="T18">
        <v>14</v>
      </c>
      <c r="U18" s="71" t="s">
        <v>288</v>
      </c>
      <c r="V18" t="s">
        <v>77</v>
      </c>
      <c r="W18" s="71" t="s">
        <v>289</v>
      </c>
      <c r="Z18" s="34"/>
      <c r="AA18" s="40"/>
      <c r="AB18" s="40"/>
      <c r="AC18" s="38" t="s">
        <v>159</v>
      </c>
      <c r="AD18" s="48">
        <v>6</v>
      </c>
      <c r="AE18" s="53" t="e">
        <f t="shared" ca="1" si="0"/>
        <v>#REF!</v>
      </c>
      <c r="AF18" s="37" t="s">
        <v>157</v>
      </c>
      <c r="AG18" s="65" t="e">
        <f t="shared" ca="1" si="1"/>
        <v>#REF!</v>
      </c>
      <c r="AH18" s="74"/>
    </row>
    <row r="19" spans="4:34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T19">
        <v>15</v>
      </c>
      <c r="U19" s="28" t="s">
        <v>89</v>
      </c>
      <c r="V19" t="s">
        <v>77</v>
      </c>
      <c r="W19" s="28" t="s">
        <v>90</v>
      </c>
      <c r="Z19" s="34"/>
      <c r="AA19" s="40"/>
      <c r="AB19" s="40"/>
      <c r="AC19" s="38" t="s">
        <v>159</v>
      </c>
      <c r="AD19" s="48">
        <v>5</v>
      </c>
      <c r="AE19" s="53" t="e">
        <f t="shared" ca="1" si="0"/>
        <v>#REF!</v>
      </c>
      <c r="AF19" s="37" t="s">
        <v>157</v>
      </c>
      <c r="AG19" s="65" t="e">
        <f t="shared" ca="1" si="1"/>
        <v>#REF!</v>
      </c>
      <c r="AH19" s="74"/>
    </row>
    <row r="20" spans="4:34" ht="13" thickBot="1">
      <c r="D20">
        <v>7</v>
      </c>
      <c r="E20" s="10" t="e">
        <f>#REF!</f>
        <v>#REF!</v>
      </c>
      <c r="F20" s="16"/>
      <c r="G20" s="10"/>
      <c r="H20" s="10"/>
      <c r="I20" s="10"/>
      <c r="J20" s="10"/>
      <c r="K20" s="10"/>
      <c r="L20" s="14"/>
      <c r="M20" s="10"/>
      <c r="U20" s="29"/>
      <c r="Z20" s="34"/>
      <c r="AA20" s="40"/>
      <c r="AB20" s="40"/>
      <c r="AC20" s="38" t="s">
        <v>159</v>
      </c>
      <c r="AD20" s="48">
        <v>4</v>
      </c>
      <c r="AE20" s="53" t="e">
        <f t="shared" ca="1" si="0"/>
        <v>#REF!</v>
      </c>
      <c r="AF20" s="37" t="s">
        <v>157</v>
      </c>
      <c r="AG20" s="65" t="e">
        <f t="shared" ca="1" si="1"/>
        <v>#REF!</v>
      </c>
      <c r="AH20" s="74"/>
    </row>
    <row r="21" spans="4:34" ht="13" thickBot="1">
      <c r="E21" s="12"/>
      <c r="F21" s="10"/>
      <c r="G21" s="10"/>
      <c r="H21" s="10"/>
      <c r="I21" s="10"/>
      <c r="J21" s="10"/>
      <c r="K21" s="10"/>
      <c r="L21" s="70" t="s">
        <v>232</v>
      </c>
      <c r="M21" s="9" t="str">
        <f>IF(OR(L13="",L29=""),"",+IF(L13&gt;L29,K13,K29))</f>
        <v/>
      </c>
      <c r="Z21" s="34"/>
      <c r="AA21" s="40"/>
      <c r="AB21" s="40"/>
      <c r="AC21" s="38" t="s">
        <v>159</v>
      </c>
      <c r="AD21" s="48">
        <v>3</v>
      </c>
      <c r="AE21" s="53" t="e">
        <f t="shared" ca="1" si="0"/>
        <v>#REF!</v>
      </c>
      <c r="AF21" s="37" t="s">
        <v>157</v>
      </c>
      <c r="AG21" s="65" t="e">
        <f t="shared" ca="1" si="1"/>
        <v>#REF!</v>
      </c>
      <c r="AH21" s="74"/>
    </row>
    <row r="22" spans="4:34" ht="13" thickBot="1">
      <c r="D22">
        <v>8</v>
      </c>
      <c r="E22" s="10" t="e">
        <f>#REF!</f>
        <v>#REF!</v>
      </c>
      <c r="F22" s="11"/>
      <c r="G22" s="10"/>
      <c r="H22" s="10"/>
      <c r="I22" s="10"/>
      <c r="J22" s="10"/>
      <c r="K22" s="10"/>
      <c r="L22" s="14"/>
      <c r="M22" s="10"/>
      <c r="U22" s="29"/>
      <c r="W22" s="28"/>
      <c r="Z22" s="34"/>
      <c r="AA22" s="40"/>
      <c r="AB22" s="40"/>
      <c r="AC22" s="38" t="s">
        <v>159</v>
      </c>
      <c r="AD22" s="48">
        <v>2</v>
      </c>
      <c r="AE22" s="53" t="e">
        <f t="shared" ca="1" si="0"/>
        <v>#REF!</v>
      </c>
      <c r="AF22" s="37" t="s">
        <v>157</v>
      </c>
      <c r="AG22" s="65" t="e">
        <f t="shared" ca="1" si="1"/>
        <v>#REF!</v>
      </c>
      <c r="AH22" s="74"/>
    </row>
    <row r="23" spans="4:34" ht="13" thickBot="1">
      <c r="E23" s="12"/>
      <c r="F23" s="13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Z23" s="34"/>
      <c r="AA23" s="40"/>
      <c r="AB23" s="40"/>
      <c r="AC23" s="38" t="s">
        <v>159</v>
      </c>
      <c r="AD23" s="48">
        <v>1</v>
      </c>
      <c r="AE23" s="53" t="e">
        <f t="shared" ca="1" si="0"/>
        <v>#REF!</v>
      </c>
      <c r="AF23" s="37" t="s">
        <v>157</v>
      </c>
      <c r="AG23" s="65" t="e">
        <f t="shared" ca="1" si="1"/>
        <v>#REF!</v>
      </c>
      <c r="AH23" s="74"/>
    </row>
    <row r="24" spans="4:34" ht="13" thickBot="1">
      <c r="D24">
        <v>9</v>
      </c>
      <c r="E24" s="10" t="e">
        <f>#REF!</f>
        <v>#REF!</v>
      </c>
      <c r="F24" s="16"/>
      <c r="G24" s="10"/>
      <c r="H24" s="14"/>
      <c r="I24" s="10"/>
      <c r="J24" s="10"/>
      <c r="K24" s="10"/>
      <c r="L24" s="14"/>
      <c r="M24" s="10"/>
      <c r="Z24" s="42"/>
      <c r="AA24" s="43"/>
      <c r="AB24" s="43"/>
      <c r="AC24" s="43"/>
      <c r="AD24" s="61"/>
      <c r="AE24" s="62"/>
      <c r="AF24" s="63"/>
      <c r="AG24" s="60"/>
      <c r="AH24" s="75"/>
    </row>
    <row r="25" spans="4:34" ht="13" thickBot="1">
      <c r="E25" s="12"/>
      <c r="F25" s="10"/>
      <c r="G25" s="10"/>
      <c r="H25" s="14" t="s">
        <v>221</v>
      </c>
      <c r="I25" s="81"/>
      <c r="J25" s="17"/>
      <c r="K25" s="10"/>
      <c r="L25" s="14"/>
      <c r="M25" s="10"/>
    </row>
    <row r="26" spans="4:34" ht="13" thickBot="1">
      <c r="D26">
        <v>10</v>
      </c>
      <c r="E26" s="10" t="e">
        <f>#REF!</f>
        <v>#REF!</v>
      </c>
      <c r="F26" s="11"/>
      <c r="G26" s="10"/>
      <c r="H26" s="14"/>
      <c r="I26" s="10"/>
      <c r="J26" s="13"/>
      <c r="K26" s="10"/>
      <c r="L26" s="14"/>
      <c r="M26" s="10"/>
    </row>
    <row r="27" spans="4:34" ht="13" thickBot="1">
      <c r="E27" s="12"/>
      <c r="F27" s="13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</row>
    <row r="28" spans="4:34" ht="13" thickBot="1">
      <c r="D28">
        <v>11</v>
      </c>
      <c r="E28" s="10" t="e">
        <f>#REF!</f>
        <v>#REF!</v>
      </c>
      <c r="F28" s="16"/>
      <c r="G28" s="10"/>
      <c r="H28" s="10"/>
      <c r="I28" s="10"/>
      <c r="J28" s="14"/>
      <c r="K28" s="10"/>
      <c r="L28" s="14"/>
      <c r="M28" s="10"/>
    </row>
    <row r="29" spans="4:34" ht="13" thickBot="1">
      <c r="E29" s="12"/>
      <c r="F29" s="10"/>
      <c r="G29" s="10"/>
      <c r="H29" s="10"/>
      <c r="I29" s="10"/>
      <c r="J29" s="14" t="s">
        <v>227</v>
      </c>
      <c r="K29" s="81"/>
      <c r="L29" s="16"/>
      <c r="M29" s="10"/>
    </row>
    <row r="30" spans="4:34" ht="13" thickBot="1">
      <c r="D30">
        <v>12</v>
      </c>
      <c r="E30" s="10" t="e">
        <f>#REF!</f>
        <v>#REF!</v>
      </c>
      <c r="F30" s="11"/>
      <c r="G30" s="10"/>
      <c r="H30" s="10"/>
      <c r="I30" s="10"/>
      <c r="J30" s="14"/>
      <c r="K30" s="10"/>
      <c r="L30" s="10"/>
      <c r="M30" s="10"/>
    </row>
    <row r="31" spans="4:34" ht="13" thickBot="1">
      <c r="E31" s="12"/>
      <c r="F31" s="13" t="s">
        <v>212</v>
      </c>
      <c r="G31" s="9" t="str">
        <f>IF(OR(F30="",F32=""),"",+IF(F30&gt;F32,E30,E32))</f>
        <v/>
      </c>
      <c r="H31" s="17"/>
      <c r="I31" s="10"/>
      <c r="J31" s="14"/>
      <c r="K31" s="10"/>
      <c r="L31" s="10"/>
      <c r="M31" s="10"/>
    </row>
    <row r="32" spans="4:34" ht="13" thickBot="1">
      <c r="D32">
        <v>13</v>
      </c>
      <c r="E32" s="10" t="e">
        <f>#REF!</f>
        <v>#REF!</v>
      </c>
      <c r="F32" s="16"/>
      <c r="G32" s="10"/>
      <c r="H32" s="14"/>
      <c r="I32" s="10"/>
      <c r="J32" s="14"/>
      <c r="K32" s="10"/>
      <c r="L32" s="10"/>
      <c r="M32" s="10"/>
    </row>
    <row r="33" spans="4:13" ht="13" thickBot="1">
      <c r="E33" s="12"/>
      <c r="F33" s="10"/>
      <c r="G33" s="10"/>
      <c r="H33" s="14" t="s">
        <v>223</v>
      </c>
      <c r="I33" s="81" t="str">
        <f>IF(OR(G31="",G35=""),"",+IF(H31&gt;H35,G31,G35))</f>
        <v/>
      </c>
      <c r="J33" s="16"/>
      <c r="K33" s="10"/>
      <c r="L33" s="10"/>
      <c r="M33" s="10"/>
    </row>
    <row r="34" spans="4:13" ht="13" thickBot="1">
      <c r="D34">
        <v>14</v>
      </c>
      <c r="E34" s="10" t="e">
        <f>#REF!</f>
        <v>#REF!</v>
      </c>
      <c r="F34" s="11"/>
      <c r="G34" s="10"/>
      <c r="H34" s="14"/>
      <c r="I34" s="10"/>
      <c r="J34" s="10"/>
      <c r="K34" s="10"/>
      <c r="L34" s="10"/>
      <c r="M34" s="10"/>
    </row>
    <row r="35" spans="4:13" ht="13" thickBot="1">
      <c r="E35" s="12"/>
      <c r="F35" s="13" t="s">
        <v>214</v>
      </c>
      <c r="G35" s="9" t="str">
        <f>IF(OR(F34="",F36=""),"",+IF(F34&gt;F36,E34,E36))</f>
        <v/>
      </c>
      <c r="H35" s="16"/>
      <c r="I35" s="10"/>
      <c r="J35" s="10"/>
      <c r="K35" s="10"/>
      <c r="L35" s="10"/>
      <c r="M35" s="10"/>
    </row>
    <row r="36" spans="4:13" ht="13" thickBot="1">
      <c r="D36">
        <v>15</v>
      </c>
      <c r="E36" s="9" t="e">
        <f>#REF!</f>
        <v>#REF!</v>
      </c>
      <c r="F36" s="16"/>
      <c r="G36" s="10"/>
      <c r="H36" s="10"/>
      <c r="I36" s="10"/>
      <c r="J36" s="10"/>
      <c r="K36" s="10"/>
      <c r="L36" s="10"/>
      <c r="M36" s="10"/>
    </row>
    <row r="37" spans="4:13">
      <c r="E37" s="10"/>
      <c r="F37" s="10"/>
      <c r="G37" s="10"/>
      <c r="H37" s="10"/>
      <c r="I37" s="10"/>
      <c r="J37" s="10"/>
      <c r="K37" s="10"/>
      <c r="L37" s="10"/>
      <c r="M37" s="10"/>
    </row>
    <row r="38" spans="4:13" ht="13" thickBot="1">
      <c r="K38" s="9" t="str">
        <f>IF(OR(K13="",K29=""),"",+IF(J9&gt;J17,I17,I9))</f>
        <v/>
      </c>
      <c r="L38" s="17"/>
      <c r="M38" s="10"/>
    </row>
    <row r="39" spans="4:13">
      <c r="K39" s="80" t="str">
        <f>IF(OR(I10="",I17=""),"",+IF(J10&gt;J17,I10,I17))</f>
        <v/>
      </c>
      <c r="L39" s="13"/>
      <c r="M39" s="10"/>
    </row>
    <row r="40" spans="4:13" ht="13" thickBot="1">
      <c r="K40" s="10"/>
      <c r="L40" s="70" t="s">
        <v>229</v>
      </c>
      <c r="M40" s="9" t="str">
        <f>IF(OR(L39="",L42=""),"",+IF(L39&gt;L42,K38,K42))</f>
        <v/>
      </c>
    </row>
    <row r="41" spans="4:13">
      <c r="K41" s="10"/>
      <c r="L41" s="14"/>
      <c r="M41" s="10"/>
    </row>
    <row r="42" spans="4:13" ht="13" thickBot="1">
      <c r="K42" s="9" t="str">
        <f>IF(OR(K13="",K29=""),"",+IF(J25&gt;J33,I33,I25))</f>
        <v/>
      </c>
      <c r="L42" s="16"/>
      <c r="M42" s="10"/>
    </row>
    <row r="43" spans="4:13">
      <c r="K43" s="10"/>
      <c r="L43" s="10"/>
      <c r="M43" s="10"/>
    </row>
    <row r="46" spans="4:13">
      <c r="I46" s="28"/>
      <c r="J46" s="76"/>
      <c r="K46" s="29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Plan12"/>
  <dimension ref="D4:Z57"/>
  <sheetViews>
    <sheetView showGridLines="0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3.3515625" customWidth="1"/>
    <col min="12" max="12" width="3.87890625" customWidth="1"/>
    <col min="13" max="13" width="16.41015625" customWidth="1"/>
    <col min="14" max="14" width="9.1171875"/>
    <col min="15" max="15" width="9.1171875" style="28"/>
    <col min="16" max="16" width="2.41015625" customWidth="1"/>
    <col min="17" max="17" width="9.1171875" style="29"/>
    <col min="18" max="18" width="9.1171875"/>
    <col min="19" max="19" width="7.52734375" bestFit="1" customWidth="1"/>
    <col min="20" max="20" width="6.52734375" bestFit="1" customWidth="1"/>
    <col min="21" max="21" width="2.3515625" bestFit="1" customWidth="1"/>
    <col min="22" max="22" width="3.52734375" style="10" bestFit="1" customWidth="1"/>
    <col min="23" max="23" width="15.64453125" style="28" customWidth="1"/>
    <col min="24" max="24" width="6.52734375" bestFit="1" customWidth="1"/>
    <col min="25" max="25" width="15.64453125" style="29" customWidth="1"/>
  </cols>
  <sheetData>
    <row r="4" spans="4:26" ht="13" thickBot="1"/>
    <row r="5" spans="4:26" ht="13" thickTop="1">
      <c r="N5">
        <v>1</v>
      </c>
      <c r="O5" s="28" t="e">
        <f>E10</f>
        <v>#REF!</v>
      </c>
      <c r="P5" t="s">
        <v>77</v>
      </c>
      <c r="Q5" s="29" t="e">
        <f>E12</f>
        <v>#REF!</v>
      </c>
      <c r="R5" s="30"/>
      <c r="S5" s="31"/>
      <c r="T5" s="31"/>
      <c r="U5" s="31"/>
      <c r="V5" s="49"/>
      <c r="W5" s="51"/>
      <c r="X5" s="31"/>
      <c r="Y5" s="56"/>
      <c r="Z5" s="73"/>
    </row>
    <row r="6" spans="4:26">
      <c r="N6">
        <v>2</v>
      </c>
      <c r="O6" s="28" t="e">
        <f>E14</f>
        <v>#REF!</v>
      </c>
      <c r="P6" t="s">
        <v>77</v>
      </c>
      <c r="Q6" s="29" t="e">
        <f>E16</f>
        <v>#REF!</v>
      </c>
      <c r="R6" s="34"/>
      <c r="S6" s="35" t="s">
        <v>153</v>
      </c>
      <c r="T6" s="100"/>
      <c r="U6" s="100"/>
      <c r="V6" s="100"/>
      <c r="W6" s="100"/>
      <c r="X6" s="100"/>
      <c r="Y6" s="101"/>
      <c r="Z6" s="74"/>
    </row>
    <row r="7" spans="4:26" ht="13" thickBot="1">
      <c r="D7">
        <v>1</v>
      </c>
      <c r="E7" s="10" t="e">
        <f>#REF!</f>
        <v>#REF!</v>
      </c>
      <c r="F7" s="9"/>
      <c r="G7" s="9" t="e">
        <f>E7</f>
        <v>#REF!</v>
      </c>
      <c r="H7" s="11"/>
      <c r="I7" s="10"/>
      <c r="J7" s="10"/>
      <c r="K7" s="10"/>
      <c r="L7" s="10"/>
      <c r="M7" s="10"/>
      <c r="N7">
        <v>3</v>
      </c>
      <c r="O7" s="28" t="e">
        <f>E18</f>
        <v>#REF!</v>
      </c>
      <c r="P7" t="s">
        <v>77</v>
      </c>
      <c r="Q7" s="29" t="e">
        <f>E20</f>
        <v>#REF!</v>
      </c>
      <c r="R7" s="34"/>
      <c r="S7" s="102"/>
      <c r="T7" s="103"/>
      <c r="U7" s="103"/>
      <c r="V7" s="103"/>
      <c r="W7" s="103"/>
      <c r="X7" s="103"/>
      <c r="Y7" s="104"/>
      <c r="Z7" s="74"/>
    </row>
    <row r="8" spans="4:26">
      <c r="E8" s="12"/>
      <c r="F8" s="10"/>
      <c r="G8" s="10"/>
      <c r="H8" s="13"/>
      <c r="I8" s="10"/>
      <c r="J8" s="10"/>
      <c r="K8" s="10"/>
      <c r="L8" s="10"/>
      <c r="M8" s="10"/>
      <c r="N8">
        <v>4</v>
      </c>
      <c r="O8" s="28" t="e">
        <f>E22</f>
        <v>#REF!</v>
      </c>
      <c r="P8" t="s">
        <v>77</v>
      </c>
      <c r="Q8" s="29" t="e">
        <f>E24</f>
        <v>#REF!</v>
      </c>
      <c r="R8" s="34"/>
      <c r="S8" s="37" t="s">
        <v>154</v>
      </c>
      <c r="T8" s="37" t="s">
        <v>155</v>
      </c>
      <c r="U8" s="105" t="s">
        <v>158</v>
      </c>
      <c r="V8" s="106"/>
      <c r="W8" s="52"/>
      <c r="X8" s="39" t="s">
        <v>156</v>
      </c>
      <c r="Y8" s="57"/>
      <c r="Z8" s="74"/>
    </row>
    <row r="9" spans="4:26" ht="13" thickBot="1">
      <c r="E9" s="10"/>
      <c r="F9" s="10"/>
      <c r="G9" s="10"/>
      <c r="H9" s="14" t="s">
        <v>214</v>
      </c>
      <c r="I9" s="9" t="str">
        <f>IF(OR(H7="",H11=""),"",+IF(H7&gt;H11,G7,G11))</f>
        <v/>
      </c>
      <c r="J9" s="17"/>
      <c r="K9" s="10"/>
      <c r="L9" s="10"/>
      <c r="M9" s="10"/>
      <c r="N9">
        <v>5</v>
      </c>
      <c r="O9" s="28" t="e">
        <f>E26</f>
        <v>#REF!</v>
      </c>
      <c r="P9" t="s">
        <v>77</v>
      </c>
      <c r="Q9" s="29" t="e">
        <f>E28</f>
        <v>#REF!</v>
      </c>
      <c r="R9" s="34"/>
      <c r="S9" s="40"/>
      <c r="T9" s="40"/>
      <c r="U9" s="38" t="s">
        <v>159</v>
      </c>
      <c r="V9" s="48"/>
      <c r="W9" s="53" t="e">
        <f t="shared" ref="W9:W22" si="0">LOOKUP(V9,N$5:N$74,O$5:O$19)</f>
        <v>#N/A</v>
      </c>
      <c r="X9" s="37" t="s">
        <v>157</v>
      </c>
      <c r="Y9" s="65" t="e">
        <f t="shared" ref="Y9:Y22" si="1">LOOKUP(V9,N$5:N$74,Q$5:Q$21)</f>
        <v>#N/A</v>
      </c>
      <c r="Z9" s="74"/>
    </row>
    <row r="10" spans="4:26" ht="13" thickBot="1">
      <c r="D10">
        <v>2</v>
      </c>
      <c r="E10" s="10" t="e">
        <f>#REF!</f>
        <v>#REF!</v>
      </c>
      <c r="F10" s="11"/>
      <c r="G10" s="10"/>
      <c r="H10" s="14"/>
      <c r="I10" s="12"/>
      <c r="J10" s="13"/>
      <c r="K10" s="10"/>
      <c r="L10" s="10"/>
      <c r="M10" s="10"/>
      <c r="N10">
        <v>6</v>
      </c>
      <c r="O10" s="28" t="e">
        <f>E30</f>
        <v>#REF!</v>
      </c>
      <c r="P10" t="s">
        <v>77</v>
      </c>
      <c r="Q10" s="29" t="e">
        <f>E32</f>
        <v>#REF!</v>
      </c>
      <c r="R10" s="34"/>
      <c r="S10" s="40"/>
      <c r="T10" s="40"/>
      <c r="U10" s="38" t="s">
        <v>159</v>
      </c>
      <c r="V10" s="48"/>
      <c r="W10" s="53" t="e">
        <f t="shared" si="0"/>
        <v>#N/A</v>
      </c>
      <c r="X10" s="37" t="s">
        <v>157</v>
      </c>
      <c r="Y10" s="65" t="e">
        <f t="shared" si="1"/>
        <v>#N/A</v>
      </c>
      <c r="Z10" s="74"/>
    </row>
    <row r="11" spans="4:26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>
        <v>7</v>
      </c>
      <c r="O11" s="28" t="e">
        <f>E7</f>
        <v>#REF!</v>
      </c>
      <c r="P11" t="s">
        <v>77</v>
      </c>
      <c r="Q11" s="29" t="s">
        <v>78</v>
      </c>
      <c r="R11" s="34"/>
      <c r="S11" s="40"/>
      <c r="T11" s="40"/>
      <c r="U11" s="38" t="s">
        <v>159</v>
      </c>
      <c r="V11" s="48"/>
      <c r="W11" s="53" t="e">
        <f t="shared" si="0"/>
        <v>#N/A</v>
      </c>
      <c r="X11" s="37" t="s">
        <v>157</v>
      </c>
      <c r="Y11" s="65" t="e">
        <f t="shared" si="1"/>
        <v>#N/A</v>
      </c>
      <c r="Z11" s="74"/>
    </row>
    <row r="12" spans="4:26" ht="13" thickBot="1">
      <c r="D12">
        <v>3</v>
      </c>
      <c r="E12" s="9" t="e">
        <f>#REF!</f>
        <v>#REF!</v>
      </c>
      <c r="F12" s="16"/>
      <c r="G12" s="10"/>
      <c r="H12" s="10"/>
      <c r="I12" s="10"/>
      <c r="J12" s="14"/>
      <c r="K12" s="10"/>
      <c r="L12" s="10"/>
      <c r="M12" s="10"/>
      <c r="N12">
        <v>8</v>
      </c>
      <c r="O12" s="28" t="s">
        <v>160</v>
      </c>
      <c r="P12" t="s">
        <v>77</v>
      </c>
      <c r="Q12" s="29" t="s">
        <v>161</v>
      </c>
      <c r="R12" s="34"/>
      <c r="S12" s="40"/>
      <c r="T12" s="40"/>
      <c r="U12" s="38" t="s">
        <v>159</v>
      </c>
      <c r="V12" s="48"/>
      <c r="W12" s="53" t="e">
        <f t="shared" si="0"/>
        <v>#N/A</v>
      </c>
      <c r="X12" s="37" t="s">
        <v>157</v>
      </c>
      <c r="Y12" s="65" t="e">
        <f t="shared" si="1"/>
        <v>#N/A</v>
      </c>
      <c r="Z12" s="74"/>
    </row>
    <row r="13" spans="4:26" ht="13" thickBot="1">
      <c r="E13" s="10"/>
      <c r="F13" s="10"/>
      <c r="G13" s="10"/>
      <c r="H13" s="10"/>
      <c r="I13" s="10"/>
      <c r="J13" s="14" t="s">
        <v>223</v>
      </c>
      <c r="K13" s="9" t="str">
        <f>IF(OR(J10="",J17=""),"",+IF(J10&gt;J17,I9,I17))</f>
        <v/>
      </c>
      <c r="L13" s="17"/>
      <c r="M13" s="10"/>
      <c r="N13">
        <v>9</v>
      </c>
      <c r="O13" s="28" t="s">
        <v>81</v>
      </c>
      <c r="P13" t="s">
        <v>77</v>
      </c>
      <c r="Q13" s="29" t="s">
        <v>162</v>
      </c>
      <c r="R13" s="34"/>
      <c r="S13" s="40"/>
      <c r="T13" s="40"/>
      <c r="U13" s="38" t="s">
        <v>159</v>
      </c>
      <c r="V13" s="48"/>
      <c r="W13" s="53" t="e">
        <f t="shared" si="0"/>
        <v>#N/A</v>
      </c>
      <c r="X13" s="37" t="s">
        <v>157</v>
      </c>
      <c r="Y13" s="65" t="e">
        <f t="shared" si="1"/>
        <v>#N/A</v>
      </c>
      <c r="Z13" s="74"/>
    </row>
    <row r="14" spans="4:26" ht="13" thickBot="1">
      <c r="D14">
        <v>4</v>
      </c>
      <c r="E14" s="10" t="e">
        <f>#REF!</f>
        <v>#REF!</v>
      </c>
      <c r="F14" s="11"/>
      <c r="G14" s="10"/>
      <c r="H14" s="10"/>
      <c r="I14" s="10"/>
      <c r="J14" s="14"/>
      <c r="K14" s="10"/>
      <c r="L14" s="13"/>
      <c r="M14" s="10"/>
      <c r="N14">
        <v>10</v>
      </c>
      <c r="O14" s="28" t="s">
        <v>163</v>
      </c>
      <c r="P14" t="s">
        <v>77</v>
      </c>
      <c r="Q14" s="29" t="e">
        <f>E34</f>
        <v>#REF!</v>
      </c>
      <c r="R14" s="34"/>
      <c r="S14" s="40"/>
      <c r="T14" s="40"/>
      <c r="U14" s="38" t="s">
        <v>159</v>
      </c>
      <c r="V14" s="48"/>
      <c r="W14" s="53" t="e">
        <f t="shared" si="0"/>
        <v>#N/A</v>
      </c>
      <c r="X14" s="37" t="s">
        <v>157</v>
      </c>
      <c r="Y14" s="65" t="e">
        <f t="shared" si="1"/>
        <v>#N/A</v>
      </c>
      <c r="Z14" s="74"/>
    </row>
    <row r="15" spans="4:26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L15" s="14"/>
      <c r="M15" s="10"/>
      <c r="N15">
        <v>11</v>
      </c>
      <c r="O15" s="28" t="s">
        <v>84</v>
      </c>
      <c r="P15" t="s">
        <v>77</v>
      </c>
      <c r="Q15" s="29" t="s">
        <v>164</v>
      </c>
      <c r="R15" s="34"/>
      <c r="S15" s="40"/>
      <c r="T15" s="40"/>
      <c r="U15" s="38" t="s">
        <v>159</v>
      </c>
      <c r="V15" s="48"/>
      <c r="W15" s="53" t="e">
        <f t="shared" si="0"/>
        <v>#N/A</v>
      </c>
      <c r="X15" s="37" t="s">
        <v>157</v>
      </c>
      <c r="Y15" s="65" t="e">
        <f t="shared" si="1"/>
        <v>#N/A</v>
      </c>
      <c r="Z15" s="74"/>
    </row>
    <row r="16" spans="4:26" ht="13" thickBot="1">
      <c r="D16">
        <v>5</v>
      </c>
      <c r="E16" s="10" t="e">
        <f>#REF!</f>
        <v>#REF!</v>
      </c>
      <c r="F16" s="16"/>
      <c r="G16" s="10"/>
      <c r="H16" s="14"/>
      <c r="I16" s="10"/>
      <c r="J16" s="14"/>
      <c r="K16" s="10"/>
      <c r="L16" s="14"/>
      <c r="M16" s="10"/>
      <c r="N16">
        <v>12</v>
      </c>
      <c r="O16" s="28" t="s">
        <v>86</v>
      </c>
      <c r="P16" t="s">
        <v>77</v>
      </c>
      <c r="Q16" s="29" t="s">
        <v>87</v>
      </c>
      <c r="R16" s="34"/>
      <c r="S16" s="40"/>
      <c r="T16" s="40"/>
      <c r="U16" s="38" t="s">
        <v>159</v>
      </c>
      <c r="V16" s="48"/>
      <c r="W16" s="53" t="e">
        <f t="shared" si="0"/>
        <v>#N/A</v>
      </c>
      <c r="X16" s="37" t="s">
        <v>157</v>
      </c>
      <c r="Y16" s="65" t="e">
        <f t="shared" si="1"/>
        <v>#N/A</v>
      </c>
      <c r="Z16" s="74"/>
    </row>
    <row r="17" spans="4:26" ht="13" thickBot="1">
      <c r="E17" s="12"/>
      <c r="F17" s="10"/>
      <c r="G17" s="10"/>
      <c r="H17" s="14" t="s">
        <v>217</v>
      </c>
      <c r="I17" s="9" t="str">
        <f>IF(OR(H15="",H19=""),"",+IF(H15&gt;H19,G15,G19))</f>
        <v/>
      </c>
      <c r="J17" s="16"/>
      <c r="K17" s="10"/>
      <c r="L17" s="14"/>
      <c r="M17" s="10"/>
      <c r="N17">
        <v>13</v>
      </c>
      <c r="O17" s="28" t="s">
        <v>287</v>
      </c>
      <c r="P17" t="s">
        <v>77</v>
      </c>
      <c r="Q17" s="29" t="s">
        <v>288</v>
      </c>
      <c r="R17" s="34"/>
      <c r="S17" s="40"/>
      <c r="T17" s="40"/>
      <c r="U17" s="38" t="s">
        <v>159</v>
      </c>
      <c r="V17" s="48"/>
      <c r="W17" s="53" t="e">
        <f t="shared" si="0"/>
        <v>#N/A</v>
      </c>
      <c r="X17" s="37" t="s">
        <v>157</v>
      </c>
      <c r="Y17" s="65" t="e">
        <f t="shared" si="1"/>
        <v>#N/A</v>
      </c>
      <c r="Z17" s="74"/>
    </row>
    <row r="18" spans="4:26" ht="13" thickBot="1">
      <c r="D18">
        <v>6</v>
      </c>
      <c r="E18" s="10" t="e">
        <f>#REF!</f>
        <v>#REF!</v>
      </c>
      <c r="F18" s="11"/>
      <c r="G18" s="10"/>
      <c r="H18" s="14"/>
      <c r="I18" s="10"/>
      <c r="J18" s="10"/>
      <c r="K18" s="10"/>
      <c r="L18" s="14"/>
      <c r="M18" s="10"/>
      <c r="N18">
        <v>14</v>
      </c>
      <c r="O18" s="28" t="s">
        <v>88</v>
      </c>
      <c r="P18" t="s">
        <v>77</v>
      </c>
      <c r="Q18" s="29" t="s">
        <v>89</v>
      </c>
      <c r="R18" s="34"/>
      <c r="S18" s="40"/>
      <c r="T18" s="40"/>
      <c r="U18" s="38" t="s">
        <v>159</v>
      </c>
      <c r="V18" s="48"/>
      <c r="W18" s="53" t="e">
        <f t="shared" si="0"/>
        <v>#N/A</v>
      </c>
      <c r="X18" s="37" t="s">
        <v>157</v>
      </c>
      <c r="Y18" s="65" t="e">
        <f t="shared" si="1"/>
        <v>#N/A</v>
      </c>
      <c r="Z18" s="74"/>
    </row>
    <row r="19" spans="4:26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  <c r="L19" s="14"/>
      <c r="M19" s="10"/>
      <c r="O19" s="29"/>
      <c r="R19" s="34"/>
      <c r="S19" s="40"/>
      <c r="T19" s="40"/>
      <c r="U19" s="38" t="s">
        <v>159</v>
      </c>
      <c r="V19" s="48"/>
      <c r="W19" s="53" t="e">
        <f t="shared" si="0"/>
        <v>#N/A</v>
      </c>
      <c r="X19" s="37" t="s">
        <v>157</v>
      </c>
      <c r="Y19" s="65" t="e">
        <f t="shared" si="1"/>
        <v>#N/A</v>
      </c>
      <c r="Z19" s="74"/>
    </row>
    <row r="20" spans="4:26" ht="13" thickBot="1">
      <c r="D20">
        <v>7</v>
      </c>
      <c r="E20" s="10" t="e">
        <f>#REF!</f>
        <v>#REF!</v>
      </c>
      <c r="F20" s="16"/>
      <c r="G20" s="10"/>
      <c r="H20" s="10"/>
      <c r="I20" s="10"/>
      <c r="J20" s="10"/>
      <c r="K20" s="10"/>
      <c r="L20" s="14"/>
      <c r="M20" s="10"/>
      <c r="R20" s="34"/>
      <c r="S20" s="40"/>
      <c r="T20" s="40"/>
      <c r="U20" s="38" t="s">
        <v>159</v>
      </c>
      <c r="V20" s="48"/>
      <c r="W20" s="53" t="e">
        <f t="shared" si="0"/>
        <v>#N/A</v>
      </c>
      <c r="X20" s="37" t="s">
        <v>157</v>
      </c>
      <c r="Y20" s="65" t="e">
        <f t="shared" si="1"/>
        <v>#N/A</v>
      </c>
      <c r="Z20" s="74"/>
    </row>
    <row r="21" spans="4:26" ht="13" thickBot="1">
      <c r="E21" s="12"/>
      <c r="F21" s="10"/>
      <c r="G21" s="10"/>
      <c r="H21" s="10"/>
      <c r="I21" s="10"/>
      <c r="J21" s="10"/>
      <c r="K21" s="10" t="s">
        <v>278</v>
      </c>
      <c r="L21" s="14" t="s">
        <v>229</v>
      </c>
      <c r="M21" s="9" t="str">
        <f>IF(OR(L13="",L28=""),"",+IF(L13&gt;L28,K13,K28))</f>
        <v/>
      </c>
      <c r="R21" s="34"/>
      <c r="S21" s="40"/>
      <c r="T21" s="40"/>
      <c r="U21" s="38" t="s">
        <v>159</v>
      </c>
      <c r="V21" s="48"/>
      <c r="W21" s="53" t="e">
        <f t="shared" si="0"/>
        <v>#N/A</v>
      </c>
      <c r="X21" s="37" t="s">
        <v>157</v>
      </c>
      <c r="Y21" s="65" t="e">
        <f t="shared" si="1"/>
        <v>#N/A</v>
      </c>
      <c r="Z21" s="74"/>
    </row>
    <row r="22" spans="4:26" ht="13" thickBot="1">
      <c r="D22">
        <v>8</v>
      </c>
      <c r="E22" s="10" t="e">
        <f>#REF!</f>
        <v>#REF!</v>
      </c>
      <c r="F22" s="11"/>
      <c r="G22" s="10"/>
      <c r="H22" s="10"/>
      <c r="I22" s="10"/>
      <c r="J22" s="10"/>
      <c r="K22" s="10"/>
      <c r="L22" s="14"/>
      <c r="M22" s="10"/>
      <c r="R22" s="34"/>
      <c r="S22" s="40"/>
      <c r="T22" s="40"/>
      <c r="U22" s="38" t="s">
        <v>159</v>
      </c>
      <c r="V22" s="48"/>
      <c r="W22" s="53" t="e">
        <f t="shared" si="0"/>
        <v>#N/A</v>
      </c>
      <c r="X22" s="37" t="s">
        <v>157</v>
      </c>
      <c r="Y22" s="65" t="e">
        <f t="shared" si="1"/>
        <v>#N/A</v>
      </c>
      <c r="Z22" s="74"/>
    </row>
    <row r="23" spans="4:26" ht="13" thickBot="1">
      <c r="E23" s="12"/>
      <c r="F23" s="13" t="s">
        <v>208</v>
      </c>
      <c r="G23" s="9" t="str">
        <f>IF(OR(F22="",F24=""),"",+IF(F22&gt;F24,E22,E24))</f>
        <v/>
      </c>
      <c r="H23" s="17"/>
      <c r="I23" s="10"/>
      <c r="J23" s="10"/>
      <c r="K23" s="10"/>
      <c r="L23" s="14"/>
      <c r="M23" s="10"/>
      <c r="R23" s="42"/>
      <c r="S23" s="43"/>
      <c r="T23" s="43"/>
      <c r="U23" s="43"/>
      <c r="V23" s="61"/>
      <c r="W23" s="62"/>
      <c r="X23" s="63"/>
      <c r="Y23" s="60"/>
      <c r="Z23" s="75"/>
    </row>
    <row r="24" spans="4:26" ht="13" thickBot="1">
      <c r="D24">
        <v>9</v>
      </c>
      <c r="E24" s="10" t="e">
        <f>#REF!</f>
        <v>#REF!</v>
      </c>
      <c r="F24" s="16"/>
      <c r="G24" s="10"/>
      <c r="H24" s="14"/>
      <c r="I24" s="10"/>
      <c r="J24" s="10"/>
      <c r="K24" s="10"/>
      <c r="L24" s="14"/>
      <c r="M24" s="10"/>
    </row>
    <row r="25" spans="4:26" ht="13" thickBot="1">
      <c r="E25" s="12"/>
      <c r="F25" s="10"/>
      <c r="G25" s="10"/>
      <c r="H25" s="14" t="s">
        <v>219</v>
      </c>
      <c r="I25" s="9" t="str">
        <f>IF(OR(H23="",H27=""),"",+IF(H23&gt;H27,G23,G27))</f>
        <v/>
      </c>
      <c r="J25" s="17"/>
      <c r="K25" s="10"/>
      <c r="L25" s="14"/>
      <c r="M25" s="10"/>
    </row>
    <row r="26" spans="4:26" ht="13" thickBot="1">
      <c r="D26">
        <v>10</v>
      </c>
      <c r="E26" s="10" t="e">
        <f>#REF!</f>
        <v>#REF!</v>
      </c>
      <c r="F26" s="11"/>
      <c r="G26" s="10"/>
      <c r="H26" s="14"/>
      <c r="I26" s="10"/>
      <c r="J26" s="14"/>
      <c r="K26" s="10"/>
      <c r="L26" s="14"/>
      <c r="M26" s="10"/>
    </row>
    <row r="27" spans="4:26" ht="13" thickBot="1">
      <c r="E27" s="12"/>
      <c r="F27" s="13" t="s">
        <v>210</v>
      </c>
      <c r="G27" s="9" t="str">
        <f>IF(OR(F26="",F28=""),"",+IF(F26&gt;F28,E26,E28))</f>
        <v/>
      </c>
      <c r="H27" s="16"/>
      <c r="I27" s="10"/>
      <c r="J27" s="14"/>
      <c r="K27" s="10"/>
      <c r="L27" s="14"/>
      <c r="M27" s="10"/>
    </row>
    <row r="28" spans="4:26" ht="13" thickBot="1">
      <c r="D28">
        <v>11</v>
      </c>
      <c r="E28" s="10" t="e">
        <f>#REF!</f>
        <v>#REF!</v>
      </c>
      <c r="F28" s="16"/>
      <c r="G28" s="10"/>
      <c r="H28" s="10"/>
      <c r="I28" s="10"/>
      <c r="J28" s="14"/>
      <c r="K28" s="9" t="str">
        <f>IF(OR(J25="",J33=""),"",+IF(J25&gt;J33,I25,I33))</f>
        <v/>
      </c>
      <c r="L28" s="16"/>
      <c r="M28" s="10"/>
    </row>
    <row r="29" spans="4:26">
      <c r="E29" s="12"/>
      <c r="F29" s="10"/>
      <c r="G29" s="10"/>
      <c r="H29" s="10"/>
      <c r="I29" s="10"/>
      <c r="J29" s="14" t="s">
        <v>225</v>
      </c>
      <c r="K29" s="10"/>
      <c r="L29" s="10"/>
      <c r="M29" s="10"/>
    </row>
    <row r="30" spans="4:26" ht="13" thickBot="1">
      <c r="D30">
        <v>12</v>
      </c>
      <c r="E30" s="10" t="e">
        <f>#REF!</f>
        <v>#REF!</v>
      </c>
      <c r="F30" s="11"/>
      <c r="G30" s="10"/>
      <c r="H30" s="10"/>
      <c r="I30" s="10"/>
      <c r="J30" s="14"/>
      <c r="K30" s="10"/>
      <c r="L30" s="10"/>
      <c r="M30" s="10"/>
    </row>
    <row r="31" spans="4:26" ht="13" thickBot="1">
      <c r="E31" s="12"/>
      <c r="F31" s="13" t="s">
        <v>212</v>
      </c>
      <c r="G31" s="9" t="str">
        <f>IF(OR(F30="",F32=""),"",+IF(F30&gt;F32,E30,E32))</f>
        <v/>
      </c>
      <c r="H31" s="11"/>
      <c r="I31" s="10"/>
      <c r="J31" s="14"/>
      <c r="K31" s="10"/>
      <c r="L31" s="10"/>
      <c r="M31" s="10"/>
    </row>
    <row r="32" spans="4:26" ht="13" thickBot="1">
      <c r="D32">
        <v>13</v>
      </c>
      <c r="E32" s="9" t="e">
        <f>#REF!</f>
        <v>#REF!</v>
      </c>
      <c r="F32" s="16"/>
      <c r="G32" s="10"/>
      <c r="H32" s="13"/>
      <c r="I32" s="10"/>
      <c r="J32" s="14"/>
      <c r="K32" s="10"/>
      <c r="L32" s="10"/>
      <c r="M32" s="10"/>
    </row>
    <row r="33" spans="4:15" ht="13" thickBot="1">
      <c r="E33" s="10"/>
      <c r="F33" s="10"/>
      <c r="G33" s="10"/>
      <c r="H33" s="14" t="s">
        <v>221</v>
      </c>
      <c r="I33" s="9" t="str">
        <f>IF(OR(H31="",H34=""),"",+IF(H31&gt;H34,G31,E34))</f>
        <v/>
      </c>
      <c r="J33" s="16"/>
      <c r="K33" s="10"/>
      <c r="L33" s="10"/>
      <c r="M33" s="10"/>
    </row>
    <row r="34" spans="4:15" ht="13" thickBot="1">
      <c r="D34">
        <v>14</v>
      </c>
      <c r="E34" s="9" t="e">
        <f>#REF!</f>
        <v>#REF!</v>
      </c>
      <c r="F34" s="9"/>
      <c r="G34" s="9" t="e">
        <f>E34</f>
        <v>#REF!</v>
      </c>
      <c r="H34" s="16"/>
      <c r="I34" s="10"/>
      <c r="J34" s="10"/>
      <c r="K34" s="10"/>
      <c r="L34" s="10"/>
      <c r="M34" s="10"/>
    </row>
    <row r="37" spans="4:15" ht="13" thickBot="1">
      <c r="K37" s="9" t="str">
        <f>IF(OR(K13="",K28=""),"",+IF(J9&gt;J17,I17,I9))</f>
        <v/>
      </c>
      <c r="L37" s="17"/>
      <c r="M37" s="10"/>
    </row>
    <row r="38" spans="4:15">
      <c r="K38" s="12"/>
      <c r="L38" s="13"/>
      <c r="M38" s="10"/>
    </row>
    <row r="39" spans="4:15" ht="13" thickBot="1">
      <c r="K39" s="10" t="s">
        <v>279</v>
      </c>
      <c r="L39" s="14" t="s">
        <v>227</v>
      </c>
      <c r="M39" s="9" t="str">
        <f>IF(OR(L38="",L41=""),"",+IF(L38&gt;L41,K37,K41))</f>
        <v/>
      </c>
    </row>
    <row r="40" spans="4:15">
      <c r="K40" s="10"/>
      <c r="L40" s="14"/>
      <c r="M40" s="10"/>
    </row>
    <row r="41" spans="4:15" ht="13" thickBot="1">
      <c r="K41" s="9" t="str">
        <f>IF(OR(K13="",K28=""),"",+IF(J25&gt;J33,I33,I25))</f>
        <v/>
      </c>
      <c r="L41" s="16"/>
      <c r="M41" s="10"/>
    </row>
    <row r="42" spans="4:15">
      <c r="K42" s="10"/>
      <c r="L42" s="10"/>
      <c r="M42" s="10"/>
    </row>
    <row r="43" spans="4:15">
      <c r="I43" s="28"/>
      <c r="J43" s="76"/>
      <c r="K43" s="29"/>
    </row>
    <row r="44" spans="4:15">
      <c r="O44"/>
    </row>
    <row r="45" spans="4:15">
      <c r="O45"/>
    </row>
    <row r="46" spans="4:15">
      <c r="O46"/>
    </row>
    <row r="47" spans="4:15">
      <c r="O47"/>
    </row>
    <row r="48" spans="4:15">
      <c r="O48"/>
    </row>
    <row r="49" spans="15:15">
      <c r="O49"/>
    </row>
    <row r="50" spans="15:15">
      <c r="O50"/>
    </row>
    <row r="51" spans="15:15">
      <c r="O51"/>
    </row>
    <row r="52" spans="15:15">
      <c r="O52"/>
    </row>
    <row r="53" spans="15:15">
      <c r="O53"/>
    </row>
    <row r="54" spans="15:15">
      <c r="O54"/>
    </row>
    <row r="55" spans="15:15">
      <c r="O55"/>
    </row>
    <row r="56" spans="15:15">
      <c r="O56"/>
    </row>
    <row r="57" spans="15:15">
      <c r="O57"/>
    </row>
  </sheetData>
  <mergeCells count="3">
    <mergeCell ref="T6:Y6"/>
    <mergeCell ref="S7:Y7"/>
    <mergeCell ref="U8:V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Plan1"/>
  <dimension ref="D4:AH46"/>
  <sheetViews>
    <sheetView showGridLines="0" topLeftCell="A16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20" max="20" width="9.1171875"/>
    <col min="21" max="21" width="9.1171875" style="28"/>
    <col min="22" max="22" width="2.41015625" customWidth="1"/>
    <col min="23" max="23" width="9.1171875" style="29"/>
    <col min="26" max="26" width="9.1171875"/>
    <col min="27" max="27" width="7.52734375" bestFit="1" customWidth="1"/>
    <col min="28" max="28" width="6.52734375" bestFit="1" customWidth="1"/>
    <col min="29" max="29" width="2.3515625" bestFit="1" customWidth="1"/>
    <col min="30" max="30" width="3.52734375" style="10" bestFit="1" customWidth="1"/>
    <col min="31" max="31" width="15.64453125" style="28" customWidth="1"/>
    <col min="32" max="32" width="6.52734375" bestFit="1" customWidth="1"/>
    <col min="33" max="33" width="15.64453125" style="29" customWidth="1"/>
  </cols>
  <sheetData>
    <row r="4" spans="4:34" ht="13" thickBot="1"/>
    <row r="5" spans="4:34" ht="13" thickTop="1">
      <c r="T5">
        <v>1</v>
      </c>
      <c r="U5" s="28" t="e">
        <f>E10</f>
        <v>#REF!</v>
      </c>
      <c r="V5" t="s">
        <v>77</v>
      </c>
      <c r="W5" s="29" t="e">
        <f>E12</f>
        <v>#REF!</v>
      </c>
      <c r="Z5" s="30"/>
      <c r="AA5" s="31"/>
      <c r="AB5" s="31"/>
      <c r="AC5" s="31"/>
      <c r="AD5" s="49"/>
      <c r="AE5" s="51"/>
      <c r="AF5" s="31"/>
      <c r="AG5" s="56"/>
      <c r="AH5" s="73"/>
    </row>
    <row r="6" spans="4:34">
      <c r="T6">
        <v>2</v>
      </c>
      <c r="U6" s="28" t="e">
        <f>E14</f>
        <v>#REF!</v>
      </c>
      <c r="V6" t="s">
        <v>77</v>
      </c>
      <c r="W6" s="29" t="e">
        <f>E16</f>
        <v>#REF!</v>
      </c>
      <c r="Z6" s="34"/>
      <c r="AA6" s="35" t="s">
        <v>153</v>
      </c>
      <c r="AB6" s="100"/>
      <c r="AC6" s="100"/>
      <c r="AD6" s="100"/>
      <c r="AE6" s="100"/>
      <c r="AF6" s="100"/>
      <c r="AG6" s="101"/>
      <c r="AH6" s="74"/>
    </row>
    <row r="7" spans="4:34" ht="13" thickBot="1">
      <c r="D7">
        <v>1</v>
      </c>
      <c r="E7" s="10" t="e">
        <f>#REF!</f>
        <v>#REF!</v>
      </c>
      <c r="F7" s="9"/>
      <c r="G7" s="9" t="e">
        <f>E7</f>
        <v>#REF!</v>
      </c>
      <c r="H7" s="11"/>
      <c r="I7" s="10"/>
      <c r="J7" s="10"/>
      <c r="K7" s="10"/>
      <c r="L7" s="10"/>
      <c r="M7" s="10"/>
      <c r="T7">
        <v>3</v>
      </c>
      <c r="U7" s="28" t="e">
        <f>E20</f>
        <v>#REF!</v>
      </c>
      <c r="V7" t="s">
        <v>77</v>
      </c>
      <c r="W7" s="29" t="e">
        <f>E22</f>
        <v>#REF!</v>
      </c>
      <c r="Z7" s="34"/>
      <c r="AA7" s="102"/>
      <c r="AB7" s="103"/>
      <c r="AC7" s="103"/>
      <c r="AD7" s="103"/>
      <c r="AE7" s="103"/>
      <c r="AF7" s="103"/>
      <c r="AG7" s="104"/>
      <c r="AH7" s="74"/>
    </row>
    <row r="8" spans="4:34">
      <c r="E8" s="12"/>
      <c r="F8" s="10"/>
      <c r="G8" s="10"/>
      <c r="H8" s="13"/>
      <c r="I8" s="10"/>
      <c r="J8" s="10"/>
      <c r="K8" s="10"/>
      <c r="L8" s="10"/>
      <c r="M8" s="10"/>
      <c r="T8">
        <v>4</v>
      </c>
      <c r="U8" s="28" t="e">
        <f>E24</f>
        <v>#REF!</v>
      </c>
      <c r="V8" t="s">
        <v>77</v>
      </c>
      <c r="W8" s="29" t="e">
        <f>E26</f>
        <v>#REF!</v>
      </c>
      <c r="Z8" s="34"/>
      <c r="AA8" s="37" t="s">
        <v>154</v>
      </c>
      <c r="AB8" s="37" t="s">
        <v>155</v>
      </c>
      <c r="AC8" s="105" t="s">
        <v>158</v>
      </c>
      <c r="AD8" s="106"/>
      <c r="AE8" s="52"/>
      <c r="AF8" s="39" t="s">
        <v>156</v>
      </c>
      <c r="AG8" s="57"/>
      <c r="AH8" s="74"/>
    </row>
    <row r="9" spans="4:34" ht="13" thickBot="1">
      <c r="E9" s="10"/>
      <c r="F9" s="10"/>
      <c r="G9" s="10"/>
      <c r="H9" s="14" t="s">
        <v>212</v>
      </c>
      <c r="I9" s="9" t="str">
        <f>IF(OR(H7="",H11=""),"",+IF(H7&gt;H11,G7,G11))</f>
        <v/>
      </c>
      <c r="J9" s="11"/>
      <c r="K9" s="10"/>
      <c r="L9" s="10"/>
      <c r="M9" s="10"/>
      <c r="T9">
        <v>5</v>
      </c>
      <c r="U9" s="28" t="e">
        <f>E28</f>
        <v>#REF!</v>
      </c>
      <c r="V9" t="s">
        <v>77</v>
      </c>
      <c r="W9" s="29" t="e">
        <f>E30</f>
        <v>#REF!</v>
      </c>
      <c r="Z9" s="34"/>
      <c r="AA9" s="40"/>
      <c r="AB9" s="40"/>
      <c r="AC9" s="38" t="s">
        <v>159</v>
      </c>
      <c r="AD9" s="48"/>
      <c r="AE9" s="53" t="e">
        <f t="shared" ref="AE9:AE21" si="0">LOOKUP(AD9,T$5:T$78,U$5:U$18)</f>
        <v>#N/A</v>
      </c>
      <c r="AF9" s="37" t="s">
        <v>157</v>
      </c>
      <c r="AG9" s="65" t="e">
        <f t="shared" ref="AG9:AG21" si="1">LOOKUP(AD9,T$5:T$78,W$5:W$20)</f>
        <v>#N/A</v>
      </c>
      <c r="AH9" s="74"/>
    </row>
    <row r="10" spans="4:34" ht="13" thickBot="1">
      <c r="D10">
        <v>2</v>
      </c>
      <c r="E10" s="10" t="e">
        <f>#REF!</f>
        <v>#REF!</v>
      </c>
      <c r="F10" s="11"/>
      <c r="G10" s="10"/>
      <c r="H10" s="14"/>
      <c r="I10" s="10"/>
      <c r="J10" s="13"/>
      <c r="K10" s="10"/>
      <c r="L10" s="10"/>
      <c r="M10" s="10"/>
      <c r="T10">
        <v>6</v>
      </c>
      <c r="U10" s="28" t="e">
        <f>E7</f>
        <v>#REF!</v>
      </c>
      <c r="V10" t="s">
        <v>77</v>
      </c>
      <c r="W10" s="29" t="s">
        <v>78</v>
      </c>
      <c r="Z10" s="34"/>
      <c r="AA10" s="40"/>
      <c r="AB10" s="40"/>
      <c r="AC10" s="38" t="s">
        <v>159</v>
      </c>
      <c r="AD10" s="48"/>
      <c r="AE10" s="53" t="e">
        <f t="shared" si="0"/>
        <v>#N/A</v>
      </c>
      <c r="AF10" s="37" t="s">
        <v>157</v>
      </c>
      <c r="AG10" s="65" t="e">
        <f t="shared" si="1"/>
        <v>#N/A</v>
      </c>
      <c r="AH10" s="74"/>
    </row>
    <row r="11" spans="4:34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T11">
        <v>7</v>
      </c>
      <c r="U11" s="28" t="s">
        <v>160</v>
      </c>
      <c r="V11" t="s">
        <v>77</v>
      </c>
      <c r="W11" s="29" t="e">
        <f>E18</f>
        <v>#REF!</v>
      </c>
      <c r="Z11" s="34"/>
      <c r="AA11" s="40"/>
      <c r="AB11" s="40"/>
      <c r="AC11" s="38" t="s">
        <v>159</v>
      </c>
      <c r="AD11" s="48"/>
      <c r="AE11" s="53" t="e">
        <f t="shared" si="0"/>
        <v>#N/A</v>
      </c>
      <c r="AF11" s="37" t="s">
        <v>157</v>
      </c>
      <c r="AG11" s="65" t="e">
        <f t="shared" si="1"/>
        <v>#N/A</v>
      </c>
      <c r="AH11" s="74"/>
    </row>
    <row r="12" spans="4:34" ht="13" thickBot="1">
      <c r="D12">
        <v>3</v>
      </c>
      <c r="E12" s="10" t="e">
        <f>#REF!</f>
        <v>#REF!</v>
      </c>
      <c r="F12" s="16"/>
      <c r="G12" s="10"/>
      <c r="H12" s="10"/>
      <c r="I12" s="10"/>
      <c r="J12" s="14"/>
      <c r="K12" s="10"/>
      <c r="L12" s="10"/>
      <c r="M12" s="10"/>
      <c r="T12">
        <v>8</v>
      </c>
      <c r="U12" s="28" t="s">
        <v>161</v>
      </c>
      <c r="V12" t="s">
        <v>77</v>
      </c>
      <c r="W12" s="29" t="s">
        <v>81</v>
      </c>
      <c r="Z12" s="34"/>
      <c r="AA12" s="40"/>
      <c r="AB12" s="40"/>
      <c r="AC12" s="38" t="s">
        <v>159</v>
      </c>
      <c r="AD12" s="48"/>
      <c r="AE12" s="53" t="e">
        <f t="shared" si="0"/>
        <v>#N/A</v>
      </c>
      <c r="AF12" s="37" t="s">
        <v>157</v>
      </c>
      <c r="AG12" s="65" t="e">
        <f t="shared" si="1"/>
        <v>#N/A</v>
      </c>
      <c r="AH12" s="74"/>
    </row>
    <row r="13" spans="4:34" ht="13" thickBot="1">
      <c r="E13" s="12"/>
      <c r="F13" s="10"/>
      <c r="G13" s="10"/>
      <c r="H13" s="10"/>
      <c r="I13" s="10"/>
      <c r="J13" s="14" t="s">
        <v>221</v>
      </c>
      <c r="K13" s="9" t="str">
        <f>IF(OR(J9="",J17=""),"",+IF(J9&gt;J17,I9,I17))</f>
        <v/>
      </c>
      <c r="L13" s="17"/>
      <c r="M13" s="10"/>
      <c r="T13">
        <v>9</v>
      </c>
      <c r="U13" s="28" t="s">
        <v>162</v>
      </c>
      <c r="V13" t="s">
        <v>77</v>
      </c>
      <c r="W13" s="29" t="e">
        <f>E32</f>
        <v>#REF!</v>
      </c>
      <c r="Z13" s="34"/>
      <c r="AA13" s="40"/>
      <c r="AB13" s="40"/>
      <c r="AC13" s="38" t="s">
        <v>159</v>
      </c>
      <c r="AD13" s="48"/>
      <c r="AE13" s="53" t="e">
        <f t="shared" si="0"/>
        <v>#N/A</v>
      </c>
      <c r="AF13" s="37" t="s">
        <v>157</v>
      </c>
      <c r="AG13" s="65" t="e">
        <f t="shared" si="1"/>
        <v>#N/A</v>
      </c>
      <c r="AH13" s="74"/>
    </row>
    <row r="14" spans="4:34" ht="13" thickBot="1">
      <c r="D14">
        <v>4</v>
      </c>
      <c r="E14" s="10" t="e">
        <f>#REF!</f>
        <v>#REF!</v>
      </c>
      <c r="F14" s="11"/>
      <c r="G14" s="10"/>
      <c r="H14" s="10"/>
      <c r="I14" s="10"/>
      <c r="J14" s="14"/>
      <c r="K14" s="10"/>
      <c r="L14" s="13"/>
      <c r="M14" s="10"/>
      <c r="T14">
        <v>10</v>
      </c>
      <c r="U14" s="28" t="s">
        <v>163</v>
      </c>
      <c r="V14" t="s">
        <v>77</v>
      </c>
      <c r="W14" s="29" t="s">
        <v>84</v>
      </c>
      <c r="Z14" s="34"/>
      <c r="AA14" s="40"/>
      <c r="AB14" s="40"/>
      <c r="AC14" s="38" t="s">
        <v>159</v>
      </c>
      <c r="AD14" s="48"/>
      <c r="AE14" s="53" t="e">
        <f t="shared" si="0"/>
        <v>#N/A</v>
      </c>
      <c r="AF14" s="37" t="s">
        <v>157</v>
      </c>
      <c r="AG14" s="65" t="e">
        <f t="shared" si="1"/>
        <v>#N/A</v>
      </c>
      <c r="AH14" s="74"/>
    </row>
    <row r="15" spans="4:34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T15">
        <v>11</v>
      </c>
      <c r="U15" s="28" t="s">
        <v>164</v>
      </c>
      <c r="V15" t="s">
        <v>77</v>
      </c>
      <c r="W15" s="29" t="s">
        <v>86</v>
      </c>
      <c r="Z15" s="34"/>
      <c r="AA15" s="40"/>
      <c r="AB15" s="40"/>
      <c r="AC15" s="38" t="s">
        <v>159</v>
      </c>
      <c r="AD15" s="48"/>
      <c r="AE15" s="53" t="e">
        <f t="shared" si="0"/>
        <v>#N/A</v>
      </c>
      <c r="AF15" s="37" t="s">
        <v>157</v>
      </c>
      <c r="AG15" s="65" t="e">
        <f t="shared" si="1"/>
        <v>#N/A</v>
      </c>
      <c r="AH15" s="74"/>
    </row>
    <row r="16" spans="4:34" ht="13" thickBot="1">
      <c r="D16">
        <v>5</v>
      </c>
      <c r="E16" s="9" t="e">
        <f>#REF!</f>
        <v>#REF!</v>
      </c>
      <c r="F16" s="16"/>
      <c r="G16" s="10"/>
      <c r="H16" s="13"/>
      <c r="I16" s="10"/>
      <c r="J16" s="14"/>
      <c r="K16" s="10"/>
      <c r="L16" s="14"/>
      <c r="M16" s="10"/>
      <c r="T16">
        <v>12</v>
      </c>
      <c r="U16" s="71" t="s">
        <v>286</v>
      </c>
      <c r="V16" t="s">
        <v>77</v>
      </c>
      <c r="W16" s="72" t="s">
        <v>287</v>
      </c>
      <c r="Z16" s="34"/>
      <c r="AA16" s="40"/>
      <c r="AB16" s="40"/>
      <c r="AC16" s="38" t="s">
        <v>159</v>
      </c>
      <c r="AD16" s="48"/>
      <c r="AE16" s="53" t="e">
        <f t="shared" si="0"/>
        <v>#N/A</v>
      </c>
      <c r="AF16" s="37" t="s">
        <v>157</v>
      </c>
      <c r="AG16" s="65" t="e">
        <f t="shared" si="1"/>
        <v>#N/A</v>
      </c>
      <c r="AH16" s="74"/>
    </row>
    <row r="17" spans="4:34" ht="13" thickBot="1">
      <c r="E17" s="10"/>
      <c r="F17" s="10"/>
      <c r="G17" s="10"/>
      <c r="H17" s="14" t="s">
        <v>214</v>
      </c>
      <c r="I17" s="9" t="str">
        <f>IF(OR(H15="",H18=""),"",+IF(H15&gt;H18,G15,E18))</f>
        <v/>
      </c>
      <c r="J17" s="16"/>
      <c r="K17" s="10"/>
      <c r="L17" s="14"/>
      <c r="M17" s="10"/>
      <c r="T17">
        <v>13</v>
      </c>
      <c r="U17" s="28" t="s">
        <v>87</v>
      </c>
      <c r="V17" t="s">
        <v>77</v>
      </c>
      <c r="W17" s="29" t="s">
        <v>88</v>
      </c>
      <c r="Z17" s="34"/>
      <c r="AA17" s="40"/>
      <c r="AB17" s="40"/>
      <c r="AC17" s="38" t="s">
        <v>159</v>
      </c>
      <c r="AD17" s="48"/>
      <c r="AE17" s="53" t="e">
        <f t="shared" si="0"/>
        <v>#N/A</v>
      </c>
      <c r="AF17" s="37" t="s">
        <v>157</v>
      </c>
      <c r="AG17" s="65" t="e">
        <f t="shared" si="1"/>
        <v>#N/A</v>
      </c>
      <c r="AH17" s="74"/>
    </row>
    <row r="18" spans="4:34" ht="13" thickBot="1">
      <c r="D18">
        <v>6</v>
      </c>
      <c r="E18" s="9" t="e">
        <f>#REF!</f>
        <v>#REF!</v>
      </c>
      <c r="F18" s="9"/>
      <c r="G18" s="9" t="e">
        <f>E18</f>
        <v>#REF!</v>
      </c>
      <c r="H18" s="16"/>
      <c r="I18" s="10"/>
      <c r="J18" s="10"/>
      <c r="K18" s="10"/>
      <c r="L18" s="14"/>
      <c r="M18" s="10"/>
      <c r="U18" s="29"/>
      <c r="Z18" s="34"/>
      <c r="AA18" s="40"/>
      <c r="AB18" s="40"/>
      <c r="AC18" s="38" t="s">
        <v>159</v>
      </c>
      <c r="AD18" s="48"/>
      <c r="AE18" s="53" t="e">
        <f t="shared" si="0"/>
        <v>#N/A</v>
      </c>
      <c r="AF18" s="37" t="s">
        <v>157</v>
      </c>
      <c r="AG18" s="65" t="e">
        <f t="shared" si="1"/>
        <v>#N/A</v>
      </c>
      <c r="AH18" s="74"/>
    </row>
    <row r="19" spans="4:34">
      <c r="E19" s="10"/>
      <c r="F19" s="10"/>
      <c r="G19" s="10"/>
      <c r="H19" s="10"/>
      <c r="I19" s="10"/>
      <c r="J19" s="10"/>
      <c r="K19" s="10"/>
      <c r="L19" s="14"/>
      <c r="M19" s="10"/>
      <c r="U19" s="29"/>
      <c r="Z19" s="34"/>
      <c r="AA19" s="40"/>
      <c r="AB19" s="40"/>
      <c r="AC19" s="38" t="s">
        <v>159</v>
      </c>
      <c r="AD19" s="48"/>
      <c r="AE19" s="53" t="e">
        <f t="shared" si="0"/>
        <v>#N/A</v>
      </c>
      <c r="AF19" s="37" t="s">
        <v>157</v>
      </c>
      <c r="AG19" s="65" t="e">
        <f t="shared" si="1"/>
        <v>#N/A</v>
      </c>
      <c r="AH19" s="74"/>
    </row>
    <row r="20" spans="4:34" ht="13" thickBot="1">
      <c r="D20">
        <v>7</v>
      </c>
      <c r="E20" s="10" t="e">
        <f>#REF!</f>
        <v>#REF!</v>
      </c>
      <c r="F20" s="11"/>
      <c r="G20" s="10"/>
      <c r="H20" s="10"/>
      <c r="I20" s="10"/>
      <c r="J20" s="10"/>
      <c r="K20" s="79" t="s">
        <v>278</v>
      </c>
      <c r="L20" s="70" t="s">
        <v>227</v>
      </c>
      <c r="M20" s="9" t="str">
        <f>IF(OR(L13="",L26=""),"",+IF(L13&gt;L26,K13,K26))</f>
        <v/>
      </c>
      <c r="U20" s="29"/>
      <c r="Z20" s="34"/>
      <c r="AA20" s="40"/>
      <c r="AB20" s="40"/>
      <c r="AC20" s="38" t="s">
        <v>159</v>
      </c>
      <c r="AD20" s="48"/>
      <c r="AE20" s="53" t="e">
        <f t="shared" si="0"/>
        <v>#N/A</v>
      </c>
      <c r="AF20" s="37" t="s">
        <v>157</v>
      </c>
      <c r="AG20" s="65" t="e">
        <f t="shared" si="1"/>
        <v>#N/A</v>
      </c>
      <c r="AH20" s="74"/>
    </row>
    <row r="21" spans="4:34" ht="13" thickBot="1">
      <c r="E21" s="12"/>
      <c r="F21" s="13" t="s">
        <v>206</v>
      </c>
      <c r="G21" s="9" t="str">
        <f>IF(OR(F20="",F22=""),"",+IF(F20&gt;F22,E20,E22))</f>
        <v/>
      </c>
      <c r="H21" s="17"/>
      <c r="I21" s="10"/>
      <c r="J21" s="10"/>
      <c r="K21" s="10"/>
      <c r="L21" s="14"/>
      <c r="M21" s="10"/>
      <c r="Z21" s="34"/>
      <c r="AA21" s="40"/>
      <c r="AB21" s="40"/>
      <c r="AC21" s="38" t="s">
        <v>159</v>
      </c>
      <c r="AD21" s="48"/>
      <c r="AE21" s="53" t="e">
        <f t="shared" si="0"/>
        <v>#N/A</v>
      </c>
      <c r="AF21" s="37" t="s">
        <v>157</v>
      </c>
      <c r="AG21" s="65" t="e">
        <f t="shared" si="1"/>
        <v>#N/A</v>
      </c>
      <c r="AH21" s="74"/>
    </row>
    <row r="22" spans="4:34" ht="13" thickBot="1">
      <c r="D22">
        <v>8</v>
      </c>
      <c r="E22" s="10" t="e">
        <f>#REF!</f>
        <v>#REF!</v>
      </c>
      <c r="F22" s="16"/>
      <c r="G22" s="10"/>
      <c r="H22" s="14"/>
      <c r="I22" s="10"/>
      <c r="J22" s="10"/>
      <c r="K22" s="10"/>
      <c r="L22" s="14"/>
      <c r="M22" s="10"/>
      <c r="Z22" s="42"/>
      <c r="AA22" s="43"/>
      <c r="AB22" s="43"/>
      <c r="AC22" s="43"/>
      <c r="AD22" s="61"/>
      <c r="AE22" s="62"/>
      <c r="AF22" s="63"/>
      <c r="AG22" s="60"/>
      <c r="AH22" s="75"/>
    </row>
    <row r="23" spans="4:34" ht="13" thickBot="1">
      <c r="E23" s="12"/>
      <c r="F23" s="10"/>
      <c r="G23" s="10"/>
      <c r="H23" s="14" t="s">
        <v>217</v>
      </c>
      <c r="I23" s="9" t="str">
        <f>IF(OR(H21="",H25=""),"",+IF(H21&gt;H25,G21,G25))</f>
        <v/>
      </c>
      <c r="J23" s="17"/>
      <c r="K23" s="10"/>
      <c r="L23" s="14"/>
      <c r="M23" s="10"/>
      <c r="U23" s="29"/>
    </row>
    <row r="24" spans="4:34" ht="13" thickBot="1">
      <c r="D24">
        <v>9</v>
      </c>
      <c r="E24" s="10" t="e">
        <f>#REF!</f>
        <v>#REF!</v>
      </c>
      <c r="F24" s="11"/>
      <c r="G24" s="10"/>
      <c r="H24" s="14"/>
      <c r="I24" s="10"/>
      <c r="J24" s="14"/>
      <c r="K24" s="10"/>
      <c r="L24" s="14"/>
      <c r="M24" s="10"/>
    </row>
    <row r="25" spans="4:34" ht="13" thickBot="1">
      <c r="E25" s="12"/>
      <c r="F25" s="13" t="s">
        <v>208</v>
      </c>
      <c r="G25" s="9" t="str">
        <f>IF(OR(F24="",F26=""),"",+IF(F24&gt;F26,E24,E26))</f>
        <v/>
      </c>
      <c r="H25" s="16"/>
      <c r="I25" s="10"/>
      <c r="J25" s="14"/>
      <c r="K25" s="10"/>
      <c r="L25" s="14"/>
      <c r="M25" s="10"/>
    </row>
    <row r="26" spans="4:34" ht="13" thickBot="1">
      <c r="D26">
        <v>10</v>
      </c>
      <c r="E26" s="10" t="e">
        <f>#REF!</f>
        <v>#REF!</v>
      </c>
      <c r="F26" s="16"/>
      <c r="G26" s="10"/>
      <c r="H26" s="10"/>
      <c r="I26" s="10"/>
      <c r="J26" s="14"/>
      <c r="K26" s="9" t="str">
        <f>IF(OR(J23="",J31=""),"",+IF(J23&gt;J31,I23,I31))</f>
        <v/>
      </c>
      <c r="L26" s="16"/>
      <c r="M26" s="10"/>
    </row>
    <row r="27" spans="4:34">
      <c r="E27" s="12"/>
      <c r="F27" s="10"/>
      <c r="G27" s="10"/>
      <c r="H27" s="10"/>
      <c r="I27" s="10"/>
      <c r="J27" s="14" t="s">
        <v>223</v>
      </c>
      <c r="K27" s="10"/>
      <c r="L27" s="10"/>
      <c r="M27" s="10"/>
    </row>
    <row r="28" spans="4:34" ht="13" thickBot="1">
      <c r="D28">
        <v>11</v>
      </c>
      <c r="E28" s="10" t="e">
        <f>#REF!</f>
        <v>#REF!</v>
      </c>
      <c r="F28" s="11"/>
      <c r="G28" s="10"/>
      <c r="H28" s="10"/>
      <c r="I28" s="10"/>
      <c r="J28" s="14"/>
      <c r="K28" s="10"/>
      <c r="L28" s="10"/>
      <c r="M28" s="10"/>
    </row>
    <row r="29" spans="4:34" ht="13" thickBot="1">
      <c r="E29" s="12"/>
      <c r="F29" s="13" t="s">
        <v>210</v>
      </c>
      <c r="G29" s="9" t="str">
        <f>IF(OR(F28="",F30=""),"",+IF(F28&gt;F30,E28,E30))</f>
        <v/>
      </c>
      <c r="H29" s="11"/>
      <c r="I29" s="10"/>
      <c r="J29" s="14"/>
      <c r="K29" s="10"/>
      <c r="L29" s="10"/>
      <c r="M29" s="10"/>
    </row>
    <row r="30" spans="4:34" ht="13" thickBot="1">
      <c r="D30">
        <v>12</v>
      </c>
      <c r="E30" s="9" t="e">
        <f>#REF!</f>
        <v>#REF!</v>
      </c>
      <c r="F30" s="16"/>
      <c r="G30" s="10"/>
      <c r="H30" s="13" t="s">
        <v>219</v>
      </c>
      <c r="I30" s="10"/>
      <c r="J30" s="14"/>
      <c r="K30" s="10"/>
      <c r="L30" s="10"/>
      <c r="M30" s="10"/>
    </row>
    <row r="31" spans="4:34" ht="13" thickBot="1">
      <c r="E31" s="10"/>
      <c r="F31" s="10"/>
      <c r="G31" s="10"/>
      <c r="H31" s="14"/>
      <c r="I31" s="9" t="str">
        <f>IF(OR(H29="",H32=""),"",+IF(H29&gt;H32,G29,E32))</f>
        <v/>
      </c>
      <c r="J31" s="16"/>
      <c r="K31" s="10"/>
      <c r="L31" s="10"/>
      <c r="M31" s="10"/>
    </row>
    <row r="32" spans="4:34" ht="13" thickBot="1">
      <c r="D32">
        <v>13</v>
      </c>
      <c r="E32" s="9" t="e">
        <f>#REF!</f>
        <v>#REF!</v>
      </c>
      <c r="F32" s="9"/>
      <c r="G32" s="9" t="e">
        <f>E32</f>
        <v>#REF!</v>
      </c>
      <c r="H32" s="16"/>
      <c r="I32" s="10"/>
      <c r="J32" s="10"/>
      <c r="K32" s="10"/>
      <c r="L32" s="10"/>
      <c r="M32" s="10"/>
    </row>
    <row r="36" spans="9:13" ht="13" thickBot="1">
      <c r="K36" s="9" t="str">
        <f>IF(OR(K13="",K26=""),"",+IF(J9&gt;J17,I17,I9))</f>
        <v/>
      </c>
      <c r="L36" s="11"/>
      <c r="M36" s="10"/>
    </row>
    <row r="37" spans="9:13">
      <c r="K37" s="10"/>
      <c r="L37" s="13"/>
      <c r="M37" s="10"/>
    </row>
    <row r="38" spans="9:13">
      <c r="K38" s="10"/>
      <c r="L38" s="14"/>
      <c r="M38" s="10"/>
    </row>
    <row r="39" spans="9:13">
      <c r="K39" s="10"/>
      <c r="L39" s="14"/>
      <c r="M39" s="10"/>
    </row>
    <row r="40" spans="9:13" ht="13" thickBot="1">
      <c r="K40" s="79" t="s">
        <v>279</v>
      </c>
      <c r="L40" s="70" t="s">
        <v>225</v>
      </c>
      <c r="M40" s="9" t="str">
        <f>IF(OR(L36="",L44=""),"",+IF(L36&gt;L44,K36,K44))</f>
        <v/>
      </c>
    </row>
    <row r="41" spans="9:13">
      <c r="K41" s="10"/>
      <c r="L41" s="14"/>
      <c r="M41" s="10"/>
    </row>
    <row r="42" spans="9:13">
      <c r="K42" s="10"/>
      <c r="L42" s="14"/>
      <c r="M42" s="10"/>
    </row>
    <row r="43" spans="9:13">
      <c r="K43" s="10"/>
      <c r="L43" s="14"/>
      <c r="M43" s="10"/>
    </row>
    <row r="44" spans="9:13" ht="13" thickBot="1">
      <c r="K44" s="9" t="str">
        <f>IF(OR(K13="",K26=""),"",+IF(J23&gt;J31,I31,I23))</f>
        <v/>
      </c>
      <c r="L44" s="16"/>
      <c r="M44" s="10"/>
    </row>
    <row r="45" spans="9:13">
      <c r="K45" s="10"/>
      <c r="L45" s="10"/>
      <c r="M45" s="10"/>
    </row>
    <row r="46" spans="9:13">
      <c r="I46" s="28"/>
      <c r="J46" s="76"/>
      <c r="K46" s="29"/>
    </row>
  </sheetData>
  <mergeCells count="3">
    <mergeCell ref="AB6:AG6"/>
    <mergeCell ref="AA7:AG7"/>
    <mergeCell ref="AC8:AD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Plan2"/>
  <dimension ref="D4:AB45"/>
  <sheetViews>
    <sheetView showGridLines="0" topLeftCell="A13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3515625" customWidth="1"/>
    <col min="14" max="14" width="11.52734375" bestFit="1" customWidth="1"/>
    <col min="16" max="16" width="9.1171875"/>
    <col min="17" max="17" width="9.1171875" style="28"/>
    <col min="18" max="18" width="2.41015625" customWidth="1"/>
    <col min="19" max="19" width="9.1171875" style="29"/>
    <col min="20" max="20" width="9.1171875"/>
    <col min="21" max="21" width="7.52734375" bestFit="1" customWidth="1"/>
    <col min="22" max="22" width="6.52734375" bestFit="1" customWidth="1"/>
    <col min="23" max="23" width="2.3515625" bestFit="1" customWidth="1"/>
    <col min="24" max="24" width="3.52734375" style="10" bestFit="1" customWidth="1"/>
    <col min="25" max="25" width="15.64453125" style="28" customWidth="1"/>
    <col min="26" max="26" width="6.52734375" bestFit="1" customWidth="1"/>
    <col min="27" max="27" width="15.64453125" style="29" customWidth="1"/>
  </cols>
  <sheetData>
    <row r="4" spans="4:28" ht="13" thickBot="1"/>
    <row r="5" spans="4:28" ht="13" thickTop="1">
      <c r="N5" t="s">
        <v>311</v>
      </c>
      <c r="O5" s="82"/>
      <c r="P5">
        <v>1</v>
      </c>
      <c r="Q5" s="28" t="e">
        <f>E10</f>
        <v>#REF!</v>
      </c>
      <c r="R5" t="s">
        <v>77</v>
      </c>
      <c r="S5" s="29" t="e">
        <f>E12</f>
        <v>#REF!</v>
      </c>
      <c r="T5" s="30"/>
      <c r="U5" s="31"/>
      <c r="V5" s="31"/>
      <c r="W5" s="31"/>
      <c r="X5" s="49"/>
      <c r="Y5" s="51"/>
      <c r="Z5" s="31"/>
      <c r="AA5" s="56"/>
      <c r="AB5" s="74"/>
    </row>
    <row r="6" spans="4:28">
      <c r="P6">
        <v>2</v>
      </c>
      <c r="Q6" s="28" t="e">
        <f>E14</f>
        <v>#REF!</v>
      </c>
      <c r="R6" t="s">
        <v>77</v>
      </c>
      <c r="S6" s="29" t="e">
        <f>E16</f>
        <v>#REF!</v>
      </c>
      <c r="T6" s="34"/>
      <c r="U6" s="35" t="s">
        <v>153</v>
      </c>
      <c r="V6" s="100"/>
      <c r="W6" s="100"/>
      <c r="X6" s="100"/>
      <c r="Y6" s="100"/>
      <c r="Z6" s="100"/>
      <c r="AA6" s="101"/>
      <c r="AB6" s="74"/>
    </row>
    <row r="7" spans="4:28" ht="13" thickBot="1">
      <c r="D7">
        <v>1</v>
      </c>
      <c r="E7" s="79" t="e">
        <f>#REF!</f>
        <v>#REF!</v>
      </c>
      <c r="F7" s="9"/>
      <c r="G7" s="9" t="e">
        <f>E7</f>
        <v>#REF!</v>
      </c>
      <c r="H7" s="11"/>
      <c r="I7" s="10"/>
      <c r="J7" s="10"/>
      <c r="K7" s="10"/>
      <c r="L7" s="10"/>
      <c r="M7" s="10"/>
      <c r="P7">
        <v>3</v>
      </c>
      <c r="Q7" s="28" t="e">
        <f>E23</f>
        <v>#REF!</v>
      </c>
      <c r="R7" t="s">
        <v>77</v>
      </c>
      <c r="S7" s="29" t="e">
        <f>E25</f>
        <v>#REF!</v>
      </c>
      <c r="T7" s="34"/>
      <c r="U7" s="102"/>
      <c r="V7" s="103"/>
      <c r="W7" s="103"/>
      <c r="X7" s="103"/>
      <c r="Y7" s="103"/>
      <c r="Z7" s="103"/>
      <c r="AA7" s="104"/>
      <c r="AB7" s="74"/>
    </row>
    <row r="8" spans="4:28">
      <c r="E8" s="12"/>
      <c r="F8" s="10"/>
      <c r="G8" s="10"/>
      <c r="H8" s="13"/>
      <c r="I8" s="10"/>
      <c r="J8" s="10"/>
      <c r="K8" s="10"/>
      <c r="L8" s="10"/>
      <c r="M8" s="10"/>
      <c r="P8">
        <v>4</v>
      </c>
      <c r="Q8" s="28" t="e">
        <f>E27</f>
        <v>#REF!</v>
      </c>
      <c r="R8" t="s">
        <v>77</v>
      </c>
      <c r="S8" s="29" t="e">
        <f>E29</f>
        <v>#REF!</v>
      </c>
      <c r="T8" s="34"/>
      <c r="U8" s="37" t="s">
        <v>154</v>
      </c>
      <c r="V8" s="37" t="s">
        <v>155</v>
      </c>
      <c r="W8" s="105" t="s">
        <v>158</v>
      </c>
      <c r="X8" s="106"/>
      <c r="Y8" s="52"/>
      <c r="Z8" s="39" t="s">
        <v>156</v>
      </c>
      <c r="AA8" s="57"/>
      <c r="AB8" s="74"/>
    </row>
    <row r="9" spans="4:28" ht="13" thickBot="1">
      <c r="E9" s="10"/>
      <c r="F9" s="10"/>
      <c r="G9" s="10"/>
      <c r="H9" s="14" t="s">
        <v>210</v>
      </c>
      <c r="I9" s="9" t="str">
        <f>IF(OR(H7="",H11=""),"",+IF(H7&gt;H11,G7,G11))</f>
        <v/>
      </c>
      <c r="J9" s="11"/>
      <c r="K9" s="10"/>
      <c r="L9" s="10"/>
      <c r="M9" s="10"/>
      <c r="P9">
        <v>5</v>
      </c>
      <c r="Q9" s="28" t="e">
        <f>E7</f>
        <v>#REF!</v>
      </c>
      <c r="R9" t="s">
        <v>77</v>
      </c>
      <c r="S9" s="29" t="s">
        <v>78</v>
      </c>
      <c r="T9" s="34"/>
      <c r="U9" s="40"/>
      <c r="V9" s="40" t="str">
        <f>IF($O$5="","",$O$5)</f>
        <v/>
      </c>
      <c r="W9" s="38" t="s">
        <v>159</v>
      </c>
      <c r="X9" s="48">
        <v>1</v>
      </c>
      <c r="Y9" s="53" t="e">
        <f t="shared" ref="Y9:Y20" ca="1" si="0">LOOKUP(X9,P$5:P$78,Q$5:Q$17)</f>
        <v>#REF!</v>
      </c>
      <c r="Z9" s="37" t="s">
        <v>157</v>
      </c>
      <c r="AA9" s="65" t="e">
        <f t="shared" ref="AA9:AA20" ca="1" si="1">LOOKUP(X9,P$5:P$78,S$5:S$17)</f>
        <v>#REF!</v>
      </c>
      <c r="AB9" s="74"/>
    </row>
    <row r="10" spans="4:28" ht="13" thickBot="1">
      <c r="D10">
        <v>2</v>
      </c>
      <c r="E10" s="79" t="e">
        <f>#REF!</f>
        <v>#REF!</v>
      </c>
      <c r="F10" s="11"/>
      <c r="G10" s="10"/>
      <c r="H10" s="14"/>
      <c r="I10" s="10"/>
      <c r="J10" s="13"/>
      <c r="K10" s="10"/>
      <c r="L10" s="10"/>
      <c r="M10" s="10"/>
      <c r="P10">
        <v>6</v>
      </c>
      <c r="Q10" s="28" t="s">
        <v>160</v>
      </c>
      <c r="R10" t="s">
        <v>77</v>
      </c>
      <c r="S10" s="29" t="e">
        <f>E18</f>
        <v>#REF!</v>
      </c>
      <c r="T10" s="34"/>
      <c r="U10" s="40"/>
      <c r="V10" s="40" t="str">
        <f t="shared" ref="V10:V20" si="2">IF($O$5="","",$O$5)</f>
        <v/>
      </c>
      <c r="W10" s="38" t="s">
        <v>159</v>
      </c>
      <c r="X10" s="48">
        <v>2</v>
      </c>
      <c r="Y10" s="53" t="e">
        <f t="shared" ca="1" si="0"/>
        <v>#REF!</v>
      </c>
      <c r="Z10" s="37" t="s">
        <v>157</v>
      </c>
      <c r="AA10" s="65" t="e">
        <f t="shared" ca="1" si="1"/>
        <v>#REF!</v>
      </c>
      <c r="AB10" s="74"/>
    </row>
    <row r="11" spans="4:28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P11">
        <v>7</v>
      </c>
      <c r="Q11" s="28" t="e">
        <f>E20</f>
        <v>#REF!</v>
      </c>
      <c r="R11" t="s">
        <v>77</v>
      </c>
      <c r="S11" s="29" t="s">
        <v>161</v>
      </c>
      <c r="T11" s="34"/>
      <c r="U11" s="40"/>
      <c r="V11" s="40" t="str">
        <f t="shared" si="2"/>
        <v/>
      </c>
      <c r="W11" s="38" t="s">
        <v>159</v>
      </c>
      <c r="X11" s="48">
        <v>3</v>
      </c>
      <c r="Y11" s="53" t="e">
        <f t="shared" ca="1" si="0"/>
        <v>#REF!</v>
      </c>
      <c r="Z11" s="37" t="s">
        <v>157</v>
      </c>
      <c r="AA11" s="65" t="e">
        <f t="shared" ca="1" si="1"/>
        <v>#REF!</v>
      </c>
      <c r="AB11" s="74"/>
    </row>
    <row r="12" spans="4:28" ht="13" thickBot="1">
      <c r="D12">
        <v>3</v>
      </c>
      <c r="E12" s="79" t="e">
        <f>#REF!</f>
        <v>#REF!</v>
      </c>
      <c r="F12" s="16"/>
      <c r="G12" s="10"/>
      <c r="H12" s="10"/>
      <c r="I12" s="10"/>
      <c r="J12" s="14"/>
      <c r="K12" s="10"/>
      <c r="L12" s="10"/>
      <c r="M12" s="10"/>
      <c r="P12">
        <v>8</v>
      </c>
      <c r="Q12" s="28" t="s">
        <v>81</v>
      </c>
      <c r="R12" t="s">
        <v>77</v>
      </c>
      <c r="S12" s="29" t="e">
        <f>E31</f>
        <v>#REF!</v>
      </c>
      <c r="T12" s="34"/>
      <c r="U12" s="40"/>
      <c r="V12" s="40" t="str">
        <f t="shared" si="2"/>
        <v/>
      </c>
      <c r="W12" s="38" t="s">
        <v>159</v>
      </c>
      <c r="X12" s="48">
        <v>4</v>
      </c>
      <c r="Y12" s="53" t="e">
        <f t="shared" ca="1" si="0"/>
        <v>#REF!</v>
      </c>
      <c r="Z12" s="37" t="s">
        <v>157</v>
      </c>
      <c r="AA12" s="65" t="e">
        <f t="shared" ca="1" si="1"/>
        <v>#REF!</v>
      </c>
      <c r="AB12" s="74"/>
    </row>
    <row r="13" spans="4:28" ht="13" thickBot="1">
      <c r="E13" s="12"/>
      <c r="F13" s="10"/>
      <c r="G13" s="10"/>
      <c r="H13" s="10"/>
      <c r="I13" s="10"/>
      <c r="J13" s="14" t="s">
        <v>219</v>
      </c>
      <c r="K13" s="9" t="str">
        <f>IF(OR(J9="",J17=""),"",+IF(J9&gt;J17,I9,I17))</f>
        <v/>
      </c>
      <c r="L13" s="17"/>
      <c r="M13" s="10"/>
      <c r="P13">
        <v>9</v>
      </c>
      <c r="Q13" s="28" t="s">
        <v>162</v>
      </c>
      <c r="R13" t="s">
        <v>77</v>
      </c>
      <c r="S13" s="29" t="s">
        <v>163</v>
      </c>
      <c r="T13" s="34"/>
      <c r="U13" s="40"/>
      <c r="V13" s="40" t="str">
        <f t="shared" si="2"/>
        <v/>
      </c>
      <c r="W13" s="38" t="s">
        <v>159</v>
      </c>
      <c r="X13" s="48">
        <v>5</v>
      </c>
      <c r="Y13" s="53" t="e">
        <f t="shared" ca="1" si="0"/>
        <v>#REF!</v>
      </c>
      <c r="Z13" s="37" t="s">
        <v>157</v>
      </c>
      <c r="AA13" s="65" t="str">
        <f t="shared" ca="1" si="1"/>
        <v>Venc.J1</v>
      </c>
      <c r="AB13" s="74"/>
    </row>
    <row r="14" spans="4:28" ht="13" thickBot="1">
      <c r="D14">
        <v>4</v>
      </c>
      <c r="E14" s="79" t="e">
        <f>#REF!</f>
        <v>#REF!</v>
      </c>
      <c r="F14" s="11"/>
      <c r="G14" s="10"/>
      <c r="H14" s="10"/>
      <c r="I14" s="10"/>
      <c r="J14" s="14"/>
      <c r="K14" s="10"/>
      <c r="L14" s="13"/>
      <c r="M14" s="10"/>
      <c r="P14">
        <v>10</v>
      </c>
      <c r="Q14" s="28" t="s">
        <v>84</v>
      </c>
      <c r="R14" t="s">
        <v>77</v>
      </c>
      <c r="S14" s="29" t="s">
        <v>164</v>
      </c>
      <c r="T14" s="34"/>
      <c r="U14" s="40"/>
      <c r="V14" s="40" t="str">
        <f t="shared" si="2"/>
        <v/>
      </c>
      <c r="W14" s="38" t="s">
        <v>159</v>
      </c>
      <c r="X14" s="48">
        <v>6</v>
      </c>
      <c r="Y14" s="53" t="str">
        <f t="shared" ca="1" si="0"/>
        <v>Venc.J2</v>
      </c>
      <c r="Z14" s="37" t="s">
        <v>157</v>
      </c>
      <c r="AA14" s="65" t="e">
        <f t="shared" ca="1" si="1"/>
        <v>#REF!</v>
      </c>
      <c r="AB14" s="74"/>
    </row>
    <row r="15" spans="4:28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L15" s="14"/>
      <c r="M15" s="10"/>
      <c r="P15">
        <v>11</v>
      </c>
      <c r="Q15" s="71" t="s">
        <v>285</v>
      </c>
      <c r="R15" t="s">
        <v>77</v>
      </c>
      <c r="S15" s="72" t="s">
        <v>286</v>
      </c>
      <c r="T15" s="34"/>
      <c r="U15" s="40"/>
      <c r="V15" s="40" t="str">
        <f t="shared" si="2"/>
        <v/>
      </c>
      <c r="W15" s="38" t="s">
        <v>159</v>
      </c>
      <c r="X15" s="48">
        <v>7</v>
      </c>
      <c r="Y15" s="53" t="e">
        <f t="shared" ca="1" si="0"/>
        <v>#REF!</v>
      </c>
      <c r="Z15" s="37" t="s">
        <v>157</v>
      </c>
      <c r="AA15" s="65" t="str">
        <f t="shared" ca="1" si="1"/>
        <v>Venc.J3</v>
      </c>
      <c r="AB15" s="74"/>
    </row>
    <row r="16" spans="4:28" ht="13" thickBot="1">
      <c r="D16">
        <v>5</v>
      </c>
      <c r="E16" s="9" t="e">
        <f>#REF!</f>
        <v>#REF!</v>
      </c>
      <c r="F16" s="16"/>
      <c r="G16" s="10"/>
      <c r="H16" s="13"/>
      <c r="I16" s="10"/>
      <c r="J16" s="14"/>
      <c r="K16" s="10"/>
      <c r="L16" s="14"/>
      <c r="M16" s="10"/>
      <c r="P16">
        <v>12</v>
      </c>
      <c r="Q16" s="28" t="s">
        <v>86</v>
      </c>
      <c r="R16" t="s">
        <v>77</v>
      </c>
      <c r="S16" s="29" t="s">
        <v>87</v>
      </c>
      <c r="T16" s="34"/>
      <c r="U16" s="40"/>
      <c r="V16" s="40" t="str">
        <f t="shared" si="2"/>
        <v/>
      </c>
      <c r="W16" s="38" t="s">
        <v>159</v>
      </c>
      <c r="X16" s="48">
        <v>8</v>
      </c>
      <c r="Y16" s="53" t="str">
        <f t="shared" ca="1" si="0"/>
        <v>Venc.J4</v>
      </c>
      <c r="Z16" s="37" t="s">
        <v>157</v>
      </c>
      <c r="AA16" s="65" t="e">
        <f t="shared" ca="1" si="1"/>
        <v>#REF!</v>
      </c>
      <c r="AB16" s="74"/>
    </row>
    <row r="17" spans="4:28" ht="13" thickBot="1">
      <c r="E17" s="10"/>
      <c r="F17" s="10"/>
      <c r="G17" s="10"/>
      <c r="H17" s="14" t="s">
        <v>212</v>
      </c>
      <c r="I17" s="9" t="str">
        <f>IF(OR(H15="",H18=""),"",+IF(H15&gt;H18,G15,E18))</f>
        <v/>
      </c>
      <c r="J17" s="16"/>
      <c r="K17" s="10"/>
      <c r="L17" s="14"/>
      <c r="M17" s="10"/>
      <c r="Q17" s="29"/>
      <c r="T17" s="34"/>
      <c r="U17" s="40"/>
      <c r="V17" s="40" t="str">
        <f t="shared" si="2"/>
        <v/>
      </c>
      <c r="W17" s="38" t="s">
        <v>159</v>
      </c>
      <c r="X17" s="48">
        <v>9</v>
      </c>
      <c r="Y17" s="53" t="str">
        <f t="shared" ca="1" si="0"/>
        <v>Venc.J5</v>
      </c>
      <c r="Z17" s="37" t="s">
        <v>157</v>
      </c>
      <c r="AA17" s="65" t="str">
        <f t="shared" ca="1" si="1"/>
        <v>Venc.J6</v>
      </c>
      <c r="AB17" s="74"/>
    </row>
    <row r="18" spans="4:28" ht="13" thickBot="1">
      <c r="D18">
        <v>6</v>
      </c>
      <c r="E18" s="9" t="e">
        <f>#REF!</f>
        <v>#REF!</v>
      </c>
      <c r="F18" s="9"/>
      <c r="G18" s="9" t="e">
        <f>E18</f>
        <v>#REF!</v>
      </c>
      <c r="H18" s="16"/>
      <c r="I18" s="10"/>
      <c r="J18" s="10"/>
      <c r="K18" s="10"/>
      <c r="L18" s="14"/>
      <c r="M18" s="10"/>
      <c r="T18" s="34"/>
      <c r="U18" s="40"/>
      <c r="V18" s="40" t="str">
        <f t="shared" si="2"/>
        <v/>
      </c>
      <c r="W18" s="38" t="s">
        <v>159</v>
      </c>
      <c r="X18" s="48">
        <v>10</v>
      </c>
      <c r="Y18" s="53" t="str">
        <f t="shared" ca="1" si="0"/>
        <v>Venc.J7</v>
      </c>
      <c r="Z18" s="37" t="s">
        <v>157</v>
      </c>
      <c r="AA18" s="65" t="str">
        <f t="shared" ca="1" si="1"/>
        <v>Venc.J8</v>
      </c>
      <c r="AB18" s="74"/>
    </row>
    <row r="19" spans="4:28">
      <c r="E19" s="10"/>
      <c r="F19" s="10"/>
      <c r="G19" s="10"/>
      <c r="H19" s="10"/>
      <c r="I19" s="10"/>
      <c r="J19" s="10"/>
      <c r="K19" s="10"/>
      <c r="L19" s="14"/>
      <c r="M19" s="10"/>
      <c r="T19" s="34"/>
      <c r="U19" s="40"/>
      <c r="V19" s="40" t="str">
        <f t="shared" si="2"/>
        <v/>
      </c>
      <c r="W19" s="38" t="s">
        <v>159</v>
      </c>
      <c r="X19" s="48">
        <v>11</v>
      </c>
      <c r="Y19" s="53" t="str">
        <f t="shared" ca="1" si="0"/>
        <v>Perd.J9</v>
      </c>
      <c r="Z19" s="37" t="s">
        <v>157</v>
      </c>
      <c r="AA19" s="65" t="str">
        <f t="shared" ca="1" si="1"/>
        <v>Perd.J10</v>
      </c>
      <c r="AB19" s="74"/>
    </row>
    <row r="20" spans="4:28" ht="13" thickBot="1">
      <c r="D20">
        <v>7</v>
      </c>
      <c r="E20" s="10" t="e">
        <f>#REF!</f>
        <v>#REF!</v>
      </c>
      <c r="F20" s="9"/>
      <c r="G20" s="9" t="e">
        <f>E20</f>
        <v>#REF!</v>
      </c>
      <c r="H20" s="11"/>
      <c r="I20" s="10"/>
      <c r="J20" s="10"/>
      <c r="K20" s="77" t="s">
        <v>272</v>
      </c>
      <c r="L20" s="70" t="s">
        <v>225</v>
      </c>
      <c r="M20" s="9" t="str">
        <f>IF(OR(L13="",L26=""),"",+IF(L13&gt;L26,K13,K26))</f>
        <v/>
      </c>
      <c r="T20" s="34"/>
      <c r="U20" s="40"/>
      <c r="V20" s="40" t="str">
        <f t="shared" si="2"/>
        <v/>
      </c>
      <c r="W20" s="38" t="s">
        <v>159</v>
      </c>
      <c r="X20" s="48">
        <v>12</v>
      </c>
      <c r="Y20" s="53" t="str">
        <f t="shared" ca="1" si="0"/>
        <v>Venc.J9</v>
      </c>
      <c r="Z20" s="37" t="s">
        <v>157</v>
      </c>
      <c r="AA20" s="65" t="str">
        <f t="shared" ca="1" si="1"/>
        <v>Venc.J10</v>
      </c>
      <c r="AB20" s="74"/>
    </row>
    <row r="21" spans="4:28" ht="13" thickBot="1">
      <c r="E21" s="12"/>
      <c r="F21" s="10"/>
      <c r="G21" s="10"/>
      <c r="H21" s="13"/>
      <c r="I21" s="10"/>
      <c r="J21" s="10"/>
      <c r="K21" s="10"/>
      <c r="L21" s="14"/>
      <c r="M21" s="10"/>
      <c r="T21" s="42"/>
      <c r="U21" s="43"/>
      <c r="V21" s="43"/>
      <c r="W21" s="43"/>
      <c r="X21" s="61"/>
      <c r="Y21" s="62"/>
      <c r="Z21" s="63"/>
      <c r="AA21" s="60"/>
      <c r="AB21" s="75"/>
    </row>
    <row r="22" spans="4:28" ht="13.35" thickTop="1" thickBot="1">
      <c r="E22" s="10"/>
      <c r="F22" s="10"/>
      <c r="G22" s="10"/>
      <c r="H22" s="14" t="s">
        <v>214</v>
      </c>
      <c r="I22" s="9" t="str">
        <f>IF(OR(H20="",H24=""),"",+IF(H20&gt;H24,G20,G24))</f>
        <v/>
      </c>
      <c r="J22" s="11"/>
      <c r="K22" s="10"/>
      <c r="L22" s="14"/>
      <c r="M22" s="10"/>
    </row>
    <row r="23" spans="4:28" ht="13" thickBot="1">
      <c r="D23">
        <v>8</v>
      </c>
      <c r="E23" s="10" t="e">
        <f>#REF!</f>
        <v>#REF!</v>
      </c>
      <c r="F23" s="11"/>
      <c r="G23" s="10"/>
      <c r="H23" s="14"/>
      <c r="I23" s="10"/>
      <c r="J23" s="13"/>
      <c r="K23" s="10"/>
      <c r="L23" s="14"/>
      <c r="M23" s="10"/>
    </row>
    <row r="24" spans="4:28" ht="13" thickBot="1">
      <c r="E24" s="12"/>
      <c r="F24" s="13" t="s">
        <v>206</v>
      </c>
      <c r="G24" s="9" t="str">
        <f>IF(OR(F23="",F25=""),"",+IF(F23&gt;F25,E23,E25))</f>
        <v/>
      </c>
      <c r="H24" s="16"/>
      <c r="I24" s="10"/>
      <c r="J24" s="14"/>
      <c r="K24" s="10"/>
      <c r="L24" s="14"/>
      <c r="M24" s="10"/>
    </row>
    <row r="25" spans="4:28" ht="13" thickBot="1">
      <c r="D25">
        <v>9</v>
      </c>
      <c r="E25" s="10" t="e">
        <f>#REF!</f>
        <v>#REF!</v>
      </c>
      <c r="F25" s="16"/>
      <c r="G25" s="10"/>
      <c r="H25" s="10"/>
      <c r="I25" s="10"/>
      <c r="J25" s="14"/>
      <c r="K25" s="10"/>
      <c r="L25" s="14"/>
      <c r="M25" s="10"/>
    </row>
    <row r="26" spans="4:28" ht="13" thickBot="1">
      <c r="E26" s="12"/>
      <c r="F26" s="10"/>
      <c r="G26" s="10"/>
      <c r="H26" s="10"/>
      <c r="I26" s="10"/>
      <c r="J26" s="14" t="s">
        <v>221</v>
      </c>
      <c r="K26" s="9" t="str">
        <f>IF(OR(J22="",J30=""),"",+IF(J22&gt;J30,I22,I30))</f>
        <v/>
      </c>
      <c r="L26" s="16"/>
      <c r="M26" s="10"/>
    </row>
    <row r="27" spans="4:28" ht="13" thickBot="1">
      <c r="D27">
        <v>10</v>
      </c>
      <c r="E27" s="10" t="e">
        <f>#REF!</f>
        <v>#REF!</v>
      </c>
      <c r="F27" s="11"/>
      <c r="G27" s="10"/>
      <c r="H27" s="10"/>
      <c r="I27" s="10"/>
      <c r="J27" s="14"/>
      <c r="K27" s="10"/>
      <c r="L27" s="10"/>
      <c r="M27" s="10"/>
    </row>
    <row r="28" spans="4:28" ht="13" thickBot="1">
      <c r="E28" s="12"/>
      <c r="F28" s="13" t="s">
        <v>208</v>
      </c>
      <c r="G28" s="9" t="str">
        <f>IF(OR(F27="",F29=""),"",+IF(F27&gt;F29,E27,E29))</f>
        <v/>
      </c>
      <c r="H28" s="11"/>
      <c r="I28" s="10"/>
      <c r="J28" s="14"/>
      <c r="K28" s="10"/>
      <c r="L28" s="10"/>
      <c r="M28" s="10"/>
    </row>
    <row r="29" spans="4:28" ht="13" thickBot="1">
      <c r="D29">
        <v>11</v>
      </c>
      <c r="E29" s="9" t="e">
        <f>#REF!</f>
        <v>#REF!</v>
      </c>
      <c r="F29" s="16"/>
      <c r="G29" s="10"/>
      <c r="H29" s="13"/>
      <c r="I29" s="10"/>
      <c r="J29" s="14"/>
      <c r="K29" s="10"/>
      <c r="L29" s="10"/>
      <c r="M29" s="10"/>
    </row>
    <row r="30" spans="4:28" ht="13" thickBot="1">
      <c r="E30" s="10"/>
      <c r="F30" s="10"/>
      <c r="G30" s="10"/>
      <c r="H30" s="14" t="s">
        <v>217</v>
      </c>
      <c r="I30" s="9" t="str">
        <f>IF(OR(H28="",H31=""),"",+IF(H28&gt;H31,G28,E31))</f>
        <v/>
      </c>
      <c r="J30" s="16"/>
      <c r="K30" s="10"/>
      <c r="L30" s="10"/>
      <c r="M30" s="10"/>
    </row>
    <row r="31" spans="4:28" ht="13" thickBot="1">
      <c r="D31">
        <v>12</v>
      </c>
      <c r="E31" s="9" t="e">
        <f>#REF!</f>
        <v>#REF!</v>
      </c>
      <c r="F31" s="9"/>
      <c r="G31" s="9" t="e">
        <f>E31</f>
        <v>#REF!</v>
      </c>
      <c r="H31" s="16"/>
      <c r="I31" s="10"/>
      <c r="J31" s="10"/>
      <c r="K31" s="10"/>
      <c r="L31" s="10"/>
      <c r="M31" s="10"/>
    </row>
    <row r="34" spans="9:13" ht="13" thickBot="1">
      <c r="K34" s="9" t="str">
        <f>IF(OR(K13="",K26=""),"",+IF(J9&gt;J17,I17,I9))</f>
        <v/>
      </c>
      <c r="L34" s="11"/>
      <c r="M34" s="10"/>
    </row>
    <row r="35" spans="9:13">
      <c r="K35" s="10"/>
      <c r="L35" s="13"/>
      <c r="M35" s="10"/>
    </row>
    <row r="36" spans="9:13">
      <c r="K36" s="10"/>
      <c r="L36" s="14"/>
      <c r="M36" s="10"/>
    </row>
    <row r="37" spans="9:13">
      <c r="K37" s="10"/>
      <c r="L37" s="14"/>
      <c r="M37" s="10"/>
    </row>
    <row r="38" spans="9:13" ht="13" thickBot="1">
      <c r="K38" s="77" t="s">
        <v>271</v>
      </c>
      <c r="L38" s="70" t="s">
        <v>223</v>
      </c>
      <c r="M38" s="9" t="str">
        <f>IF(OR(L34="",L42=""),"",+IF(L34&gt;L42,K34,K42))</f>
        <v/>
      </c>
    </row>
    <row r="39" spans="9:13">
      <c r="K39" s="10"/>
      <c r="L39" s="14"/>
      <c r="M39" s="10"/>
    </row>
    <row r="40" spans="9:13">
      <c r="K40" s="10"/>
      <c r="L40" s="14"/>
      <c r="M40" s="10"/>
    </row>
    <row r="41" spans="9:13">
      <c r="K41" s="10"/>
      <c r="L41" s="14"/>
      <c r="M41" s="10"/>
    </row>
    <row r="42" spans="9:13" ht="13" thickBot="1">
      <c r="K42" s="9" t="str">
        <f>IF(OR(K13="",K26=""),"",+IF(J22&gt;J30,I30,I22))</f>
        <v/>
      </c>
      <c r="L42" s="16"/>
      <c r="M42" s="10"/>
    </row>
    <row r="43" spans="9:13">
      <c r="K43" s="10"/>
      <c r="L43" s="10"/>
      <c r="M43" s="10"/>
    </row>
    <row r="45" spans="9:13">
      <c r="I45" s="28"/>
      <c r="J45" s="76"/>
      <c r="K45" s="29"/>
    </row>
  </sheetData>
  <mergeCells count="3">
    <mergeCell ref="V6:AA6"/>
    <mergeCell ref="U7:AA7"/>
    <mergeCell ref="W8:X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Plan3"/>
  <dimension ref="D4:AB53"/>
  <sheetViews>
    <sheetView showGridLines="0" topLeftCell="E19" zoomScaleNormal="100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11.52734375" bestFit="1" customWidth="1"/>
    <col min="16" max="16" width="9.1171875"/>
    <col min="17" max="17" width="9.1171875" style="28"/>
    <col min="18" max="18" width="5" bestFit="1" customWidth="1"/>
    <col min="19" max="19" width="21.9375" style="29" bestFit="1" customWidth="1"/>
    <col min="20" max="20" width="9.1171875"/>
    <col min="21" max="21" width="7.52734375" bestFit="1" customWidth="1"/>
    <col min="22" max="22" width="6.52734375" bestFit="1" customWidth="1"/>
    <col min="23" max="23" width="2.3515625" bestFit="1" customWidth="1"/>
    <col min="24" max="24" width="3.52734375" style="10" bestFit="1" customWidth="1"/>
    <col min="25" max="25" width="15.64453125" style="28" customWidth="1"/>
    <col min="26" max="26" width="6.52734375" bestFit="1" customWidth="1"/>
    <col min="27" max="27" width="15.64453125" style="29" customWidth="1"/>
  </cols>
  <sheetData>
    <row r="4" spans="4:28" ht="13" thickBot="1"/>
    <row r="5" spans="4:28" ht="13" thickTop="1">
      <c r="N5" t="s">
        <v>311</v>
      </c>
      <c r="O5" s="82"/>
      <c r="P5">
        <v>1</v>
      </c>
      <c r="Q5" s="28" t="e">
        <f>E10</f>
        <v>#REF!</v>
      </c>
      <c r="R5" t="s">
        <v>77</v>
      </c>
      <c r="S5" s="29" t="e">
        <f>E12</f>
        <v>#REF!</v>
      </c>
      <c r="T5" s="30"/>
      <c r="U5" s="31"/>
      <c r="V5" s="31"/>
      <c r="W5" s="31"/>
      <c r="X5" s="49"/>
      <c r="Y5" s="51"/>
      <c r="Z5" s="31"/>
      <c r="AA5" s="56"/>
      <c r="AB5" s="73"/>
    </row>
    <row r="6" spans="4:28">
      <c r="P6">
        <v>2</v>
      </c>
      <c r="Q6" s="28" t="e">
        <f>E21</f>
        <v>#REF!</v>
      </c>
      <c r="R6" t="s">
        <v>77</v>
      </c>
      <c r="S6" s="29" t="e">
        <f>E23</f>
        <v>#REF!</v>
      </c>
      <c r="T6" s="34"/>
      <c r="U6" s="35" t="s">
        <v>153</v>
      </c>
      <c r="V6" s="100"/>
      <c r="W6" s="100"/>
      <c r="X6" s="100"/>
      <c r="Y6" s="100"/>
      <c r="Z6" s="100"/>
      <c r="AA6" s="101"/>
      <c r="AB6" s="74"/>
    </row>
    <row r="7" spans="4:28" ht="13" thickBot="1">
      <c r="D7">
        <v>1</v>
      </c>
      <c r="E7" s="10" t="e">
        <f>#REF!</f>
        <v>#REF!</v>
      </c>
      <c r="F7" s="9"/>
      <c r="G7" s="9" t="e">
        <f>E7</f>
        <v>#REF!</v>
      </c>
      <c r="H7" s="11"/>
      <c r="I7" s="10"/>
      <c r="J7" s="10"/>
      <c r="K7" s="10"/>
      <c r="L7" s="10"/>
      <c r="M7" s="10"/>
      <c r="P7">
        <v>3</v>
      </c>
      <c r="Q7" s="28" t="e">
        <f>E25</f>
        <v>#REF!</v>
      </c>
      <c r="R7" t="s">
        <v>77</v>
      </c>
      <c r="S7" s="29" t="e">
        <f>E27</f>
        <v>#REF!</v>
      </c>
      <c r="T7" s="34"/>
      <c r="U7" s="102"/>
      <c r="V7" s="103"/>
      <c r="W7" s="103"/>
      <c r="X7" s="103"/>
      <c r="Y7" s="103"/>
      <c r="Z7" s="103"/>
      <c r="AA7" s="104"/>
      <c r="AB7" s="74"/>
    </row>
    <row r="8" spans="4:28">
      <c r="E8" s="12"/>
      <c r="F8" s="10"/>
      <c r="G8" s="10"/>
      <c r="H8" s="13"/>
      <c r="I8" s="10"/>
      <c r="J8" s="10"/>
      <c r="K8" s="10"/>
      <c r="L8" s="10"/>
      <c r="M8" s="10"/>
      <c r="P8">
        <v>4</v>
      </c>
      <c r="Q8" s="28" t="e">
        <f>E7</f>
        <v>#REF!</v>
      </c>
      <c r="R8" t="s">
        <v>77</v>
      </c>
      <c r="S8" s="29" t="s">
        <v>78</v>
      </c>
      <c r="T8" s="34"/>
      <c r="U8" s="37" t="s">
        <v>154</v>
      </c>
      <c r="V8" s="37" t="s">
        <v>155</v>
      </c>
      <c r="W8" s="105" t="s">
        <v>158</v>
      </c>
      <c r="X8" s="106"/>
      <c r="Y8" s="52"/>
      <c r="Z8" s="39" t="s">
        <v>156</v>
      </c>
      <c r="AA8" s="57"/>
      <c r="AB8" s="74"/>
    </row>
    <row r="9" spans="4:28" ht="13" thickBot="1">
      <c r="E9" s="10"/>
      <c r="F9" s="10"/>
      <c r="G9" s="10"/>
      <c r="H9" s="14" t="s">
        <v>208</v>
      </c>
      <c r="I9" s="9" t="str">
        <f>IF(OR(H7="",H11=""),"",+IF(H7&gt;H11,G7,G11))</f>
        <v/>
      </c>
      <c r="J9" s="11"/>
      <c r="K9" s="10"/>
      <c r="L9" s="10"/>
      <c r="M9" s="10"/>
      <c r="P9">
        <v>5</v>
      </c>
      <c r="Q9" s="28" t="e">
        <f>E14</f>
        <v>#REF!</v>
      </c>
      <c r="R9" t="s">
        <v>77</v>
      </c>
      <c r="S9" s="29" t="e">
        <f>E16</f>
        <v>#REF!</v>
      </c>
      <c r="T9" s="34"/>
      <c r="U9" s="40"/>
      <c r="V9" s="40" t="str">
        <f>IF($O$5="","",$O$5)</f>
        <v/>
      </c>
      <c r="W9" s="38" t="s">
        <v>159</v>
      </c>
      <c r="X9" s="48">
        <v>1</v>
      </c>
      <c r="Y9" s="53" t="e">
        <f t="shared" ref="Y9:Y19" ca="1" si="0">LOOKUP(X9,P$5:P$78,Q$5:Q$16)</f>
        <v>#REF!</v>
      </c>
      <c r="Z9" s="37" t="s">
        <v>157</v>
      </c>
      <c r="AA9" s="65" t="e">
        <f t="shared" ref="AA9:AA19" ca="1" si="1">LOOKUP(X9,P$5:P$78,S$5:S$16)</f>
        <v>#REF!</v>
      </c>
      <c r="AB9" s="74"/>
    </row>
    <row r="10" spans="4:28" ht="13" thickBot="1">
      <c r="D10">
        <v>2</v>
      </c>
      <c r="E10" s="10" t="e">
        <f>#REF!</f>
        <v>#REF!</v>
      </c>
      <c r="F10" s="11"/>
      <c r="G10" s="10"/>
      <c r="H10" s="14"/>
      <c r="I10" s="10"/>
      <c r="J10" s="13"/>
      <c r="K10" s="10"/>
      <c r="L10" s="10"/>
      <c r="M10" s="10"/>
      <c r="P10">
        <v>6</v>
      </c>
      <c r="Q10" s="28" t="e">
        <f>E18</f>
        <v>#REF!</v>
      </c>
      <c r="R10" t="s">
        <v>77</v>
      </c>
      <c r="S10" s="29" t="s">
        <v>160</v>
      </c>
      <c r="T10" s="34"/>
      <c r="U10" s="40"/>
      <c r="V10" s="40" t="str">
        <f t="shared" ref="V10:V19" si="2">IF($O$5="","",$O$5)</f>
        <v/>
      </c>
      <c r="W10" s="38" t="s">
        <v>159</v>
      </c>
      <c r="X10" s="48">
        <v>2</v>
      </c>
      <c r="Y10" s="53" t="e">
        <f t="shared" ca="1" si="0"/>
        <v>#REF!</v>
      </c>
      <c r="Z10" s="37" t="s">
        <v>157</v>
      </c>
      <c r="AA10" s="65" t="e">
        <f t="shared" ca="1" si="1"/>
        <v>#REF!</v>
      </c>
      <c r="AB10" s="74"/>
    </row>
    <row r="11" spans="4:28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P11">
        <v>7</v>
      </c>
      <c r="Q11" s="28" t="s">
        <v>161</v>
      </c>
      <c r="R11" t="s">
        <v>77</v>
      </c>
      <c r="S11" s="29" t="e">
        <f>E29</f>
        <v>#REF!</v>
      </c>
      <c r="T11" s="34"/>
      <c r="U11" s="40"/>
      <c r="V11" s="40" t="str">
        <f t="shared" si="2"/>
        <v/>
      </c>
      <c r="W11" s="38" t="s">
        <v>159</v>
      </c>
      <c r="X11" s="48">
        <v>3</v>
      </c>
      <c r="Y11" s="53" t="e">
        <f t="shared" ca="1" si="0"/>
        <v>#REF!</v>
      </c>
      <c r="Z11" s="37" t="s">
        <v>157</v>
      </c>
      <c r="AA11" s="65" t="e">
        <f t="shared" ca="1" si="1"/>
        <v>#REF!</v>
      </c>
      <c r="AB11" s="74"/>
    </row>
    <row r="12" spans="4:28" ht="13" thickBot="1">
      <c r="D12">
        <v>3</v>
      </c>
      <c r="E12" s="10" t="e">
        <f>#REF!</f>
        <v>#REF!</v>
      </c>
      <c r="F12" s="16"/>
      <c r="G12" s="10"/>
      <c r="H12" s="10"/>
      <c r="I12" s="10"/>
      <c r="J12" s="14" t="s">
        <v>217</v>
      </c>
      <c r="K12" s="9" t="str">
        <f>IF(OR(J9="",J15=""),"",+IF(J9&gt;J15,I9,I15))</f>
        <v/>
      </c>
      <c r="L12" s="11"/>
      <c r="M12" s="10"/>
      <c r="P12">
        <v>8</v>
      </c>
      <c r="Q12" s="28" t="s">
        <v>81</v>
      </c>
      <c r="R12" t="s">
        <v>77</v>
      </c>
      <c r="S12" s="29" t="s">
        <v>162</v>
      </c>
      <c r="T12" s="34"/>
      <c r="U12" s="40"/>
      <c r="V12" s="40" t="str">
        <f t="shared" si="2"/>
        <v/>
      </c>
      <c r="W12" s="38" t="s">
        <v>159</v>
      </c>
      <c r="X12" s="48">
        <v>4</v>
      </c>
      <c r="Y12" s="53" t="e">
        <f t="shared" ca="1" si="0"/>
        <v>#REF!</v>
      </c>
      <c r="Z12" s="37" t="s">
        <v>157</v>
      </c>
      <c r="AA12" s="65" t="str">
        <f t="shared" ca="1" si="1"/>
        <v>Venc.J1</v>
      </c>
      <c r="AB12" s="74"/>
    </row>
    <row r="13" spans="4:28">
      <c r="E13" s="12"/>
      <c r="F13" s="10"/>
      <c r="G13" s="10"/>
      <c r="H13" s="10"/>
      <c r="I13" s="10"/>
      <c r="J13" s="14"/>
      <c r="K13" s="12"/>
      <c r="L13" s="13"/>
      <c r="M13" s="10"/>
      <c r="P13">
        <v>9</v>
      </c>
      <c r="Q13" s="28" t="s">
        <v>163</v>
      </c>
      <c r="R13" t="s">
        <v>77</v>
      </c>
      <c r="S13" s="29" t="s">
        <v>84</v>
      </c>
      <c r="T13" s="34"/>
      <c r="U13" s="40"/>
      <c r="V13" s="40" t="str">
        <f t="shared" si="2"/>
        <v/>
      </c>
      <c r="W13" s="38" t="s">
        <v>159</v>
      </c>
      <c r="X13" s="48">
        <v>5</v>
      </c>
      <c r="Y13" s="53" t="e">
        <f t="shared" ca="1" si="0"/>
        <v>#REF!</v>
      </c>
      <c r="Z13" s="37" t="s">
        <v>157</v>
      </c>
      <c r="AA13" s="65" t="e">
        <f t="shared" ca="1" si="1"/>
        <v>#REF!</v>
      </c>
      <c r="AB13" s="74"/>
    </row>
    <row r="14" spans="4:28" ht="13" thickBot="1">
      <c r="D14">
        <v>4</v>
      </c>
      <c r="E14" s="9" t="e">
        <f>#REF!</f>
        <v>#REF!</v>
      </c>
      <c r="F14" s="9"/>
      <c r="G14" s="9" t="e">
        <f>E14</f>
        <v>#REF!</v>
      </c>
      <c r="H14" s="11"/>
      <c r="I14" s="10"/>
      <c r="J14" s="14"/>
      <c r="K14" s="10"/>
      <c r="L14" s="14"/>
      <c r="M14" s="10"/>
      <c r="P14">
        <v>10</v>
      </c>
      <c r="Q14" s="71" t="s">
        <v>284</v>
      </c>
      <c r="R14" t="s">
        <v>77</v>
      </c>
      <c r="S14" s="72" t="s">
        <v>285</v>
      </c>
      <c r="T14" s="34"/>
      <c r="U14" s="40"/>
      <c r="V14" s="40" t="str">
        <f t="shared" si="2"/>
        <v/>
      </c>
      <c r="W14" s="38" t="s">
        <v>159</v>
      </c>
      <c r="X14" s="48">
        <v>6</v>
      </c>
      <c r="Y14" s="53" t="e">
        <f t="shared" ca="1" si="0"/>
        <v>#REF!</v>
      </c>
      <c r="Z14" s="37" t="s">
        <v>157</v>
      </c>
      <c r="AA14" s="65" t="str">
        <f t="shared" ca="1" si="1"/>
        <v>Venc.J2</v>
      </c>
      <c r="AB14" s="74"/>
    </row>
    <row r="15" spans="4:28" ht="13" thickBot="1">
      <c r="E15" s="10"/>
      <c r="F15" s="10"/>
      <c r="G15" s="10"/>
      <c r="H15" s="13" t="s">
        <v>210</v>
      </c>
      <c r="I15" s="9" t="str">
        <f>IF(OR(H14="",H16=""),"",+IF(H14&gt;H16,E14,E16))</f>
        <v/>
      </c>
      <c r="J15" s="16"/>
      <c r="K15" s="10"/>
      <c r="L15" s="14"/>
      <c r="M15" s="10"/>
      <c r="P15">
        <v>11</v>
      </c>
      <c r="Q15" s="28" t="s">
        <v>164</v>
      </c>
      <c r="R15" t="s">
        <v>77</v>
      </c>
      <c r="S15" s="29" t="s">
        <v>86</v>
      </c>
      <c r="T15" s="34"/>
      <c r="U15" s="40"/>
      <c r="V15" s="40" t="str">
        <f t="shared" si="2"/>
        <v/>
      </c>
      <c r="W15" s="38" t="s">
        <v>159</v>
      </c>
      <c r="X15" s="48">
        <v>7</v>
      </c>
      <c r="Y15" s="53" t="str">
        <f t="shared" ca="1" si="0"/>
        <v>Venc.J3</v>
      </c>
      <c r="Z15" s="37" t="s">
        <v>157</v>
      </c>
      <c r="AA15" s="65" t="e">
        <f t="shared" ca="1" si="1"/>
        <v>#REF!</v>
      </c>
      <c r="AB15" s="74"/>
    </row>
    <row r="16" spans="4:28" ht="13" thickBot="1">
      <c r="D16">
        <v>5</v>
      </c>
      <c r="E16" s="9" t="e">
        <f>#REF!</f>
        <v>#REF!</v>
      </c>
      <c r="F16" s="9"/>
      <c r="G16" s="9" t="e">
        <f>E16</f>
        <v>#REF!</v>
      </c>
      <c r="H16" s="16"/>
      <c r="I16" s="10"/>
      <c r="J16" s="10"/>
      <c r="K16" s="10"/>
      <c r="L16" s="14"/>
      <c r="M16" s="10"/>
      <c r="Q16" s="29"/>
      <c r="T16" s="34"/>
      <c r="U16" s="40"/>
      <c r="V16" s="40" t="str">
        <f t="shared" si="2"/>
        <v/>
      </c>
      <c r="W16" s="38" t="s">
        <v>159</v>
      </c>
      <c r="X16" s="48">
        <v>8</v>
      </c>
      <c r="Y16" s="53" t="str">
        <f t="shared" ca="1" si="0"/>
        <v>Venc.J4</v>
      </c>
      <c r="Z16" s="37" t="s">
        <v>157</v>
      </c>
      <c r="AA16" s="65" t="str">
        <f t="shared" ca="1" si="1"/>
        <v>Venc.J5</v>
      </c>
      <c r="AB16" s="74"/>
    </row>
    <row r="17" spans="4:28" ht="13" thickBot="1">
      <c r="E17" s="10"/>
      <c r="F17" s="10"/>
      <c r="G17" s="10"/>
      <c r="H17" s="10"/>
      <c r="I17" s="10"/>
      <c r="J17" s="10"/>
      <c r="K17" s="77" t="s">
        <v>272</v>
      </c>
      <c r="L17" s="70" t="s">
        <v>223</v>
      </c>
      <c r="M17" s="9" t="str">
        <f>IF(OR(L12="",L24=""),"",+IF(L12&gt;L24,K12,K24))</f>
        <v/>
      </c>
      <c r="T17" s="34"/>
      <c r="U17" s="40"/>
      <c r="V17" s="40" t="str">
        <f t="shared" si="2"/>
        <v/>
      </c>
      <c r="W17" s="38" t="s">
        <v>159</v>
      </c>
      <c r="X17" s="48">
        <v>9</v>
      </c>
      <c r="Y17" s="53" t="str">
        <f t="shared" ca="1" si="0"/>
        <v>Venc.J6</v>
      </c>
      <c r="Z17" s="37" t="s">
        <v>157</v>
      </c>
      <c r="AA17" s="65" t="str">
        <f t="shared" ca="1" si="1"/>
        <v>Venc.J7</v>
      </c>
      <c r="AB17" s="74"/>
    </row>
    <row r="18" spans="4:28" ht="13" thickBot="1">
      <c r="D18">
        <v>6</v>
      </c>
      <c r="E18" s="10" t="e">
        <f>#REF!</f>
        <v>#REF!</v>
      </c>
      <c r="F18" s="9"/>
      <c r="G18" s="9" t="e">
        <f>E18</f>
        <v>#REF!</v>
      </c>
      <c r="H18" s="11"/>
      <c r="I18" s="10"/>
      <c r="J18" s="10"/>
      <c r="K18" s="10"/>
      <c r="L18" s="14"/>
      <c r="M18" s="10"/>
      <c r="T18" s="34"/>
      <c r="U18" s="40"/>
      <c r="V18" s="40" t="str">
        <f t="shared" si="2"/>
        <v/>
      </c>
      <c r="W18" s="38" t="s">
        <v>159</v>
      </c>
      <c r="X18" s="48">
        <v>10</v>
      </c>
      <c r="Y18" s="53" t="str">
        <f t="shared" ca="1" si="0"/>
        <v>Perd.J8</v>
      </c>
      <c r="Z18" s="37" t="s">
        <v>157</v>
      </c>
      <c r="AA18" s="65" t="str">
        <f t="shared" ca="1" si="1"/>
        <v>Perd.J9</v>
      </c>
      <c r="AB18" s="74"/>
    </row>
    <row r="19" spans="4:28">
      <c r="E19" s="12"/>
      <c r="F19" s="10"/>
      <c r="G19" s="10"/>
      <c r="H19" s="13"/>
      <c r="I19" s="10"/>
      <c r="J19" s="10"/>
      <c r="K19" s="10"/>
      <c r="L19" s="14"/>
      <c r="M19" s="10"/>
      <c r="T19" s="34"/>
      <c r="U19" s="40"/>
      <c r="V19" s="40" t="str">
        <f t="shared" si="2"/>
        <v/>
      </c>
      <c r="W19" s="38" t="s">
        <v>159</v>
      </c>
      <c r="X19" s="48">
        <v>11</v>
      </c>
      <c r="Y19" s="53" t="str">
        <f t="shared" ca="1" si="0"/>
        <v>Venc.J8</v>
      </c>
      <c r="Z19" s="37" t="s">
        <v>157</v>
      </c>
      <c r="AA19" s="65" t="str">
        <f t="shared" ca="1" si="1"/>
        <v>Venc.J9</v>
      </c>
      <c r="AB19" s="74"/>
    </row>
    <row r="20" spans="4:28" ht="13" thickBot="1">
      <c r="E20" s="10"/>
      <c r="F20" s="10"/>
      <c r="G20" s="10"/>
      <c r="H20" s="14" t="s">
        <v>212</v>
      </c>
      <c r="I20" s="9" t="str">
        <f>IF(OR(H18="",H22=""),"",+IF(H18&gt;H22,G18,G22))</f>
        <v/>
      </c>
      <c r="J20" s="11"/>
      <c r="K20" s="10"/>
      <c r="L20" s="14"/>
      <c r="M20" s="10"/>
      <c r="T20" s="42"/>
      <c r="U20" s="43"/>
      <c r="V20" s="43"/>
      <c r="W20" s="43"/>
      <c r="X20" s="61"/>
      <c r="Y20" s="62"/>
      <c r="Z20" s="63"/>
      <c r="AA20" s="60"/>
      <c r="AB20" s="75"/>
    </row>
    <row r="21" spans="4:28" ht="13" thickBot="1">
      <c r="D21">
        <v>7</v>
      </c>
      <c r="E21" s="10" t="e">
        <f>#REF!</f>
        <v>#REF!</v>
      </c>
      <c r="F21" s="11"/>
      <c r="G21" s="10"/>
      <c r="H21" s="14"/>
      <c r="I21" s="10"/>
      <c r="J21" s="13"/>
      <c r="K21" s="10"/>
      <c r="L21" s="14"/>
      <c r="M21" s="10"/>
    </row>
    <row r="22" spans="4:28" ht="13" thickBot="1">
      <c r="E22" s="12"/>
      <c r="F22" s="13" t="s">
        <v>204</v>
      </c>
      <c r="G22" s="9" t="str">
        <f>IF(OR(F21="",F23=""),"",+IF(F21&gt;F23,E21,E23))</f>
        <v/>
      </c>
      <c r="H22" s="16"/>
      <c r="I22" s="10"/>
      <c r="J22" s="14"/>
      <c r="K22" s="10"/>
      <c r="L22" s="14"/>
      <c r="M22" s="10"/>
    </row>
    <row r="23" spans="4:28" ht="13" thickBot="1">
      <c r="D23">
        <v>8</v>
      </c>
      <c r="E23" s="10" t="e">
        <f>#REF!</f>
        <v>#REF!</v>
      </c>
      <c r="F23" s="16"/>
      <c r="G23" s="10"/>
      <c r="H23" s="10"/>
      <c r="I23" s="10"/>
      <c r="J23" s="14"/>
      <c r="K23" s="10"/>
      <c r="L23" s="14"/>
      <c r="M23" s="10"/>
    </row>
    <row r="24" spans="4:28" ht="13" thickBot="1">
      <c r="E24" s="12"/>
      <c r="F24" s="10"/>
      <c r="G24" s="10"/>
      <c r="H24" s="10"/>
      <c r="I24" s="10"/>
      <c r="J24" s="14" t="s">
        <v>219</v>
      </c>
      <c r="K24" s="9" t="str">
        <f>IF(OR(J20="",J28=""),"",+IF(J20&gt;J28,I20,I28))</f>
        <v/>
      </c>
      <c r="L24" s="16"/>
      <c r="M24" s="10"/>
    </row>
    <row r="25" spans="4:28" ht="13" thickBot="1">
      <c r="D25">
        <v>9</v>
      </c>
      <c r="E25" s="10" t="e">
        <f>#REF!</f>
        <v>#REF!</v>
      </c>
      <c r="F25" s="11"/>
      <c r="G25" s="10"/>
      <c r="H25" s="10"/>
      <c r="I25" s="10"/>
      <c r="J25" s="14"/>
      <c r="K25" s="10"/>
      <c r="L25" s="10"/>
      <c r="M25" s="10"/>
    </row>
    <row r="26" spans="4:28" ht="13" thickBot="1">
      <c r="E26" s="12"/>
      <c r="F26" s="13" t="s">
        <v>206</v>
      </c>
      <c r="G26" s="9" t="str">
        <f>IF(OR(F25="",F27=""),"",+IF(F25&gt;F27,E25,E27))</f>
        <v/>
      </c>
      <c r="H26" s="11"/>
      <c r="I26" s="10"/>
      <c r="J26" s="14"/>
      <c r="K26" s="10"/>
      <c r="L26" s="10"/>
      <c r="M26" s="10"/>
    </row>
    <row r="27" spans="4:28" ht="13" thickBot="1">
      <c r="D27">
        <v>10</v>
      </c>
      <c r="E27" s="9" t="e">
        <f>#REF!</f>
        <v>#REF!</v>
      </c>
      <c r="F27" s="16"/>
      <c r="G27" s="10"/>
      <c r="H27" s="13"/>
      <c r="I27" s="10"/>
      <c r="J27" s="14"/>
      <c r="K27" s="10"/>
      <c r="L27" s="10"/>
      <c r="M27" s="10"/>
    </row>
    <row r="28" spans="4:28" ht="13" thickBot="1">
      <c r="E28" s="10"/>
      <c r="F28" s="10"/>
      <c r="G28" s="10"/>
      <c r="H28" s="14" t="s">
        <v>214</v>
      </c>
      <c r="I28" s="9" t="str">
        <f>IF(OR(H26="",H29=""),"",+IF(H26&gt;H29,G26,E29))</f>
        <v/>
      </c>
      <c r="J28" s="16"/>
      <c r="K28" s="10"/>
      <c r="L28" s="10"/>
      <c r="M28" s="10"/>
    </row>
    <row r="29" spans="4:28" ht="13" thickBot="1">
      <c r="D29">
        <v>11</v>
      </c>
      <c r="E29" s="9" t="e">
        <f>#REF!</f>
        <v>#REF!</v>
      </c>
      <c r="F29" s="9"/>
      <c r="G29" s="9" t="e">
        <f>E29</f>
        <v>#REF!</v>
      </c>
      <c r="H29" s="16"/>
      <c r="I29" s="10"/>
      <c r="J29" s="10"/>
      <c r="K29" s="10"/>
      <c r="L29" s="10"/>
      <c r="M29" s="10"/>
    </row>
    <row r="33" spans="11:19" ht="13" thickBot="1">
      <c r="K33" s="9" t="str">
        <f>IF(OR(K12="",K24=""),"",+IF(J9&gt;J15,I15,I9))</f>
        <v/>
      </c>
      <c r="L33" s="11"/>
      <c r="M33" s="10"/>
    </row>
    <row r="34" spans="11:19">
      <c r="K34" s="10"/>
      <c r="L34" s="13"/>
      <c r="M34" s="10"/>
    </row>
    <row r="35" spans="11:19">
      <c r="K35" s="10"/>
      <c r="L35" s="14"/>
      <c r="M35" s="10"/>
    </row>
    <row r="36" spans="11:19" ht="13" thickBot="1">
      <c r="K36" s="77" t="s">
        <v>271</v>
      </c>
      <c r="L36" s="70" t="s">
        <v>221</v>
      </c>
      <c r="M36" s="9" t="str">
        <f>IF(OR(L33="",L39=""),"",+IF(L33&gt;L39,K33,K39))</f>
        <v/>
      </c>
    </row>
    <row r="37" spans="11:19">
      <c r="K37" s="10"/>
      <c r="L37" s="14"/>
      <c r="M37" s="12"/>
    </row>
    <row r="38" spans="11:19">
      <c r="K38" s="10"/>
      <c r="L38" s="14"/>
      <c r="M38" s="10"/>
    </row>
    <row r="39" spans="11:19" ht="13" thickBot="1">
      <c r="K39" s="9" t="str">
        <f>IF(OR(K12="",K24=""),"",+IF(J20&gt;J28,I28,I20))</f>
        <v/>
      </c>
      <c r="L39" s="16"/>
      <c r="M39" s="10"/>
    </row>
    <row r="40" spans="11:19">
      <c r="K40" s="10"/>
      <c r="L40" s="10"/>
      <c r="M40" s="10"/>
    </row>
    <row r="42" spans="11:19">
      <c r="M42" s="28"/>
      <c r="N42" s="76"/>
      <c r="O42" s="29"/>
      <c r="Q42"/>
    </row>
    <row r="43" spans="11:19">
      <c r="S43"/>
    </row>
    <row r="44" spans="11:19">
      <c r="S44"/>
    </row>
    <row r="45" spans="11:19">
      <c r="S45"/>
    </row>
    <row r="46" spans="11:19">
      <c r="S46"/>
    </row>
    <row r="47" spans="11:19">
      <c r="S47"/>
    </row>
    <row r="48" spans="11:19">
      <c r="S48"/>
    </row>
    <row r="49" spans="19:19">
      <c r="S49"/>
    </row>
    <row r="50" spans="19:19">
      <c r="S50"/>
    </row>
    <row r="51" spans="19:19">
      <c r="S51"/>
    </row>
    <row r="52" spans="19:19">
      <c r="S52"/>
    </row>
    <row r="53" spans="19:19">
      <c r="S53"/>
    </row>
  </sheetData>
  <mergeCells count="3">
    <mergeCell ref="V6:AA6"/>
    <mergeCell ref="U7:AA7"/>
    <mergeCell ref="W8:X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Plan4"/>
  <dimension ref="D4:Z46"/>
  <sheetViews>
    <sheetView showGridLines="0" topLeftCell="A14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3.64453125" customWidth="1"/>
    <col min="13" max="13" width="15.64453125" customWidth="1"/>
    <col min="14" max="14" width="9.1171875"/>
    <col min="15" max="15" width="9.1171875" style="28"/>
    <col min="16" max="16" width="2.41015625" customWidth="1"/>
    <col min="17" max="17" width="9.1171875" style="29"/>
    <col min="18" max="18" width="9.1171875"/>
    <col min="19" max="19" width="7.52734375" bestFit="1" customWidth="1"/>
    <col min="20" max="20" width="6.52734375" bestFit="1" customWidth="1"/>
    <col min="21" max="21" width="2.3515625" bestFit="1" customWidth="1"/>
    <col min="22" max="22" width="3.52734375" style="10" bestFit="1" customWidth="1"/>
    <col min="23" max="23" width="15.64453125" style="28" customWidth="1"/>
    <col min="24" max="24" width="6.52734375" bestFit="1" customWidth="1"/>
    <col min="25" max="25" width="15.64453125" style="29" customWidth="1"/>
  </cols>
  <sheetData>
    <row r="4" spans="4:26" ht="13" thickBot="1"/>
    <row r="5" spans="4:26" ht="13" thickTop="1">
      <c r="N5">
        <v>1</v>
      </c>
      <c r="O5" s="28" t="e">
        <f>E10</f>
        <v>#REF!</v>
      </c>
      <c r="P5" t="s">
        <v>77</v>
      </c>
      <c r="Q5" s="29" t="e">
        <f>E12</f>
        <v>#REF!</v>
      </c>
      <c r="R5" s="30"/>
      <c r="S5" s="31"/>
      <c r="T5" s="31"/>
      <c r="U5" s="31"/>
      <c r="V5" s="49"/>
      <c r="W5" s="51"/>
      <c r="X5" s="31"/>
      <c r="Y5" s="56"/>
      <c r="Z5" s="73"/>
    </row>
    <row r="6" spans="4:26">
      <c r="N6">
        <v>2</v>
      </c>
      <c r="O6" s="28" t="e">
        <f>E22</f>
        <v>#REF!</v>
      </c>
      <c r="P6" t="s">
        <v>77</v>
      </c>
      <c r="Q6" s="29" t="e">
        <f>E24</f>
        <v>#REF!</v>
      </c>
      <c r="R6" s="34"/>
      <c r="S6" s="35" t="s">
        <v>153</v>
      </c>
      <c r="T6" s="100"/>
      <c r="U6" s="100"/>
      <c r="V6" s="100"/>
      <c r="W6" s="100"/>
      <c r="X6" s="100"/>
      <c r="Y6" s="101"/>
      <c r="Z6" s="74"/>
    </row>
    <row r="7" spans="4:26" ht="13" thickBot="1">
      <c r="D7">
        <v>1</v>
      </c>
      <c r="E7" s="98" t="e">
        <f>#REF!</f>
        <v>#REF!</v>
      </c>
      <c r="F7" s="9"/>
      <c r="G7" s="9" t="e">
        <f>E7</f>
        <v>#REF!</v>
      </c>
      <c r="H7" s="11"/>
      <c r="I7" s="10"/>
      <c r="J7" s="10"/>
      <c r="K7" s="10"/>
      <c r="L7" s="10"/>
      <c r="M7" s="10"/>
      <c r="N7">
        <v>3</v>
      </c>
      <c r="O7" s="28" t="e">
        <f>E7</f>
        <v>#REF!</v>
      </c>
      <c r="P7" t="s">
        <v>77</v>
      </c>
      <c r="Q7" s="29" t="s">
        <v>78</v>
      </c>
      <c r="R7" s="34"/>
      <c r="S7" s="102"/>
      <c r="T7" s="103"/>
      <c r="U7" s="103"/>
      <c r="V7" s="103"/>
      <c r="W7" s="103"/>
      <c r="X7" s="103"/>
      <c r="Y7" s="104"/>
      <c r="Z7" s="74"/>
    </row>
    <row r="8" spans="4:26">
      <c r="E8" s="12"/>
      <c r="F8" s="10"/>
      <c r="G8" s="10"/>
      <c r="H8" s="13"/>
      <c r="I8" s="10"/>
      <c r="J8" s="10"/>
      <c r="K8" s="10"/>
      <c r="L8" s="10"/>
      <c r="M8" s="10"/>
      <c r="N8">
        <v>4</v>
      </c>
      <c r="O8" s="28" t="e">
        <f>E14</f>
        <v>#REF!</v>
      </c>
      <c r="P8" t="s">
        <v>77</v>
      </c>
      <c r="Q8" s="29" t="e">
        <f>E16</f>
        <v>#REF!</v>
      </c>
      <c r="R8" s="34"/>
      <c r="S8" s="37" t="s">
        <v>154</v>
      </c>
      <c r="T8" s="37" t="s">
        <v>155</v>
      </c>
      <c r="U8" s="105" t="s">
        <v>158</v>
      </c>
      <c r="V8" s="106"/>
      <c r="W8" s="52"/>
      <c r="X8" s="39" t="s">
        <v>156</v>
      </c>
      <c r="Y8" s="57"/>
      <c r="Z8" s="74"/>
    </row>
    <row r="9" spans="4:26" ht="13" thickBot="1">
      <c r="E9" s="10"/>
      <c r="F9" s="10"/>
      <c r="G9" s="10"/>
      <c r="H9" s="14" t="s">
        <v>206</v>
      </c>
      <c r="I9" s="9" t="str">
        <f>IF(OR(H7="",H11=""),"",+IF(H7&gt;H11,G7,G11))</f>
        <v/>
      </c>
      <c r="J9" s="11"/>
      <c r="K9" s="10"/>
      <c r="L9" s="10"/>
      <c r="M9" s="10"/>
      <c r="N9">
        <v>5</v>
      </c>
      <c r="O9" s="28" t="e">
        <f>E18</f>
        <v>#REF!</v>
      </c>
      <c r="P9" t="s">
        <v>77</v>
      </c>
      <c r="Q9" s="29" t="e">
        <f>E20</f>
        <v>#REF!</v>
      </c>
      <c r="R9" s="34"/>
      <c r="S9" s="40"/>
      <c r="T9" s="40" t="e">
        <f>IF(#REF!="","",#REF!)</f>
        <v>#REF!</v>
      </c>
      <c r="U9" s="38" t="s">
        <v>159</v>
      </c>
      <c r="V9" s="48">
        <v>1</v>
      </c>
      <c r="W9" s="53" t="e">
        <f t="shared" ref="W9:W18" ca="1" si="0">LOOKUP(V9,N$5:N$78,O$5:O$15)</f>
        <v>#REF!</v>
      </c>
      <c r="X9" s="37" t="s">
        <v>157</v>
      </c>
      <c r="Y9" s="65" t="e">
        <f t="shared" ref="Y9:Y18" ca="1" si="1">LOOKUP(V9,N$5:N$78,Q$5:Q$15)</f>
        <v>#REF!</v>
      </c>
      <c r="Z9" s="74"/>
    </row>
    <row r="10" spans="4:26" ht="13" thickBot="1">
      <c r="D10">
        <v>2</v>
      </c>
      <c r="E10" s="10" t="e">
        <f>#REF!</f>
        <v>#REF!</v>
      </c>
      <c r="F10" s="11"/>
      <c r="G10" s="10"/>
      <c r="H10" s="14"/>
      <c r="I10" s="10"/>
      <c r="J10" s="13"/>
      <c r="K10" s="10"/>
      <c r="L10" s="10"/>
      <c r="M10" s="10"/>
      <c r="N10">
        <v>6</v>
      </c>
      <c r="O10" s="28" t="s">
        <v>160</v>
      </c>
      <c r="P10" t="s">
        <v>77</v>
      </c>
      <c r="Q10" s="29" t="e">
        <f>E26</f>
        <v>#REF!</v>
      </c>
      <c r="R10" s="34"/>
      <c r="S10" s="40"/>
      <c r="T10" s="40" t="e">
        <f>IF(#REF!="","",#REF!)</f>
        <v>#REF!</v>
      </c>
      <c r="U10" s="38" t="s">
        <v>159</v>
      </c>
      <c r="V10" s="48">
        <v>2</v>
      </c>
      <c r="W10" s="53" t="e">
        <f t="shared" ca="1" si="0"/>
        <v>#REF!</v>
      </c>
      <c r="X10" s="37" t="s">
        <v>157</v>
      </c>
      <c r="Y10" s="65" t="e">
        <f t="shared" ca="1" si="1"/>
        <v>#REF!</v>
      </c>
      <c r="Z10" s="74"/>
    </row>
    <row r="11" spans="4:26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L11" s="10"/>
      <c r="M11" s="10"/>
      <c r="N11">
        <v>7</v>
      </c>
      <c r="O11" s="28" t="s">
        <v>161</v>
      </c>
      <c r="P11" t="s">
        <v>77</v>
      </c>
      <c r="Q11" s="29" t="s">
        <v>81</v>
      </c>
      <c r="R11" s="34"/>
      <c r="S11" s="40"/>
      <c r="T11" s="40" t="e">
        <f>IF(#REF!="","",#REF!)</f>
        <v>#REF!</v>
      </c>
      <c r="U11" s="38" t="s">
        <v>159</v>
      </c>
      <c r="V11" s="48">
        <v>3</v>
      </c>
      <c r="W11" s="53" t="e">
        <f t="shared" ca="1" si="0"/>
        <v>#REF!</v>
      </c>
      <c r="X11" s="37" t="s">
        <v>157</v>
      </c>
      <c r="Y11" s="65" t="str">
        <f t="shared" ca="1" si="1"/>
        <v>Venc.J1</v>
      </c>
      <c r="Z11" s="74"/>
    </row>
    <row r="12" spans="4:26" ht="13" thickBot="1">
      <c r="D12">
        <v>3</v>
      </c>
      <c r="E12" s="10" t="e">
        <f>#REF!</f>
        <v>#REF!</v>
      </c>
      <c r="F12" s="16"/>
      <c r="G12" s="10"/>
      <c r="H12" s="10"/>
      <c r="I12" s="10"/>
      <c r="J12" s="14" t="s">
        <v>214</v>
      </c>
      <c r="K12" s="9" t="str">
        <f>IF(OR(J9="",J15=""),"",+IF(J9&gt;J15,I9,I15))</f>
        <v/>
      </c>
      <c r="L12" s="11"/>
      <c r="M12" s="10"/>
      <c r="N12">
        <v>8</v>
      </c>
      <c r="O12" s="28" t="s">
        <v>162</v>
      </c>
      <c r="P12" t="s">
        <v>77</v>
      </c>
      <c r="Q12" s="29" t="s">
        <v>163</v>
      </c>
      <c r="R12" s="34"/>
      <c r="S12" s="40"/>
      <c r="T12" s="40" t="e">
        <f>IF(#REF!="","",#REF!)</f>
        <v>#REF!</v>
      </c>
      <c r="U12" s="38" t="s">
        <v>159</v>
      </c>
      <c r="V12" s="48">
        <v>4</v>
      </c>
      <c r="W12" s="53" t="e">
        <f t="shared" ca="1" si="0"/>
        <v>#REF!</v>
      </c>
      <c r="X12" s="37" t="s">
        <v>157</v>
      </c>
      <c r="Y12" s="65" t="e">
        <f t="shared" ca="1" si="1"/>
        <v>#REF!</v>
      </c>
      <c r="Z12" s="74"/>
    </row>
    <row r="13" spans="4:26">
      <c r="E13" s="12"/>
      <c r="F13" s="10"/>
      <c r="G13" s="10"/>
      <c r="H13" s="10"/>
      <c r="I13" s="10"/>
      <c r="J13" s="14"/>
      <c r="K13" s="12"/>
      <c r="L13" s="13"/>
      <c r="M13" s="10"/>
      <c r="N13">
        <v>9</v>
      </c>
      <c r="O13" s="71" t="s">
        <v>269</v>
      </c>
      <c r="P13" t="s">
        <v>77</v>
      </c>
      <c r="Q13" s="72" t="s">
        <v>270</v>
      </c>
      <c r="R13" s="34"/>
      <c r="S13" s="40"/>
      <c r="T13" s="40" t="e">
        <f>IF(#REF!="","",#REF!)</f>
        <v>#REF!</v>
      </c>
      <c r="U13" s="38" t="s">
        <v>159</v>
      </c>
      <c r="V13" s="48">
        <v>5</v>
      </c>
      <c r="W13" s="53" t="e">
        <f t="shared" ca="1" si="0"/>
        <v>#REF!</v>
      </c>
      <c r="X13" s="37" t="s">
        <v>157</v>
      </c>
      <c r="Y13" s="65" t="e">
        <f t="shared" ca="1" si="1"/>
        <v>#REF!</v>
      </c>
      <c r="Z13" s="74"/>
    </row>
    <row r="14" spans="4:26" ht="13" thickBot="1">
      <c r="D14">
        <v>4</v>
      </c>
      <c r="E14" s="9" t="e">
        <f>#REF!</f>
        <v>#REF!</v>
      </c>
      <c r="F14" s="9"/>
      <c r="G14" s="9" t="e">
        <f>E14</f>
        <v>#REF!</v>
      </c>
      <c r="H14" s="11"/>
      <c r="I14" s="10"/>
      <c r="J14" s="14"/>
      <c r="K14" s="10"/>
      <c r="L14" s="14"/>
      <c r="M14" s="10"/>
      <c r="N14">
        <v>10</v>
      </c>
      <c r="O14" s="71" t="s">
        <v>84</v>
      </c>
      <c r="P14" t="s">
        <v>77</v>
      </c>
      <c r="Q14" s="72" t="s">
        <v>164</v>
      </c>
      <c r="R14" s="34"/>
      <c r="S14" s="40"/>
      <c r="T14" s="40" t="e">
        <f>IF(#REF!="","",#REF!)</f>
        <v>#REF!</v>
      </c>
      <c r="U14" s="38" t="s">
        <v>159</v>
      </c>
      <c r="V14" s="48">
        <v>6</v>
      </c>
      <c r="W14" s="53" t="str">
        <f t="shared" ca="1" si="0"/>
        <v>Venc.J2</v>
      </c>
      <c r="X14" s="37" t="s">
        <v>157</v>
      </c>
      <c r="Y14" s="65" t="e">
        <f t="shared" ca="1" si="1"/>
        <v>#REF!</v>
      </c>
      <c r="Z14" s="74"/>
    </row>
    <row r="15" spans="4:26" ht="13" thickBot="1">
      <c r="E15" s="10"/>
      <c r="F15" s="10"/>
      <c r="G15" s="10"/>
      <c r="H15" s="13" t="s">
        <v>208</v>
      </c>
      <c r="I15" s="9" t="str">
        <f>IF(OR(H14="",H16=""),"",+IF(H14&gt;H16,E14,E16))</f>
        <v/>
      </c>
      <c r="J15" s="16"/>
      <c r="K15" s="10"/>
      <c r="L15" s="14"/>
      <c r="M15" s="10"/>
      <c r="O15" s="29"/>
      <c r="R15" s="34"/>
      <c r="S15" s="40"/>
      <c r="T15" s="40" t="e">
        <f>IF(#REF!="","",#REF!)</f>
        <v>#REF!</v>
      </c>
      <c r="U15" s="38" t="s">
        <v>159</v>
      </c>
      <c r="V15" s="48">
        <v>7</v>
      </c>
      <c r="W15" s="53" t="str">
        <f t="shared" ca="1" si="0"/>
        <v>Venc.J3</v>
      </c>
      <c r="X15" s="37" t="s">
        <v>157</v>
      </c>
      <c r="Y15" s="65" t="str">
        <f t="shared" ca="1" si="1"/>
        <v>Venc.J4</v>
      </c>
      <c r="Z15" s="74"/>
    </row>
    <row r="16" spans="4:26" ht="13" thickBot="1">
      <c r="D16">
        <v>5</v>
      </c>
      <c r="E16" s="97" t="e">
        <f>#REF!</f>
        <v>#REF!</v>
      </c>
      <c r="F16" s="9"/>
      <c r="G16" s="9" t="e">
        <f>E16</f>
        <v>#REF!</v>
      </c>
      <c r="H16" s="16"/>
      <c r="I16" s="10"/>
      <c r="J16" s="10"/>
      <c r="K16" s="10"/>
      <c r="L16" s="14"/>
      <c r="M16" s="10"/>
      <c r="R16" s="34"/>
      <c r="S16" s="40"/>
      <c r="T16" s="40" t="e">
        <f>IF(#REF!="","",#REF!)</f>
        <v>#REF!</v>
      </c>
      <c r="U16" s="38" t="s">
        <v>159</v>
      </c>
      <c r="V16" s="48">
        <v>8</v>
      </c>
      <c r="W16" s="53" t="str">
        <f t="shared" ca="1" si="0"/>
        <v>Venc.J5</v>
      </c>
      <c r="X16" s="37" t="s">
        <v>157</v>
      </c>
      <c r="Y16" s="65" t="str">
        <f t="shared" ca="1" si="1"/>
        <v>Venc.J6</v>
      </c>
      <c r="Z16" s="74"/>
    </row>
    <row r="17" spans="4:26" ht="13" thickBot="1">
      <c r="E17" s="10"/>
      <c r="F17" s="10"/>
      <c r="G17" s="10"/>
      <c r="H17" s="10"/>
      <c r="I17" s="10"/>
      <c r="J17" s="10"/>
      <c r="K17" s="77" t="s">
        <v>272</v>
      </c>
      <c r="L17" s="70" t="s">
        <v>221</v>
      </c>
      <c r="M17" s="9" t="str">
        <f>IF(OR(L12="",L22=""),"",+IF(L12&gt;L22,K12,K22))</f>
        <v/>
      </c>
      <c r="R17" s="34"/>
      <c r="S17" s="40"/>
      <c r="T17" s="40" t="e">
        <f>IF(#REF!="","",#REF!)</f>
        <v>#REF!</v>
      </c>
      <c r="U17" s="38" t="s">
        <v>159</v>
      </c>
      <c r="V17" s="48">
        <v>9</v>
      </c>
      <c r="W17" s="53" t="str">
        <f t="shared" ca="1" si="0"/>
        <v>perd.J7</v>
      </c>
      <c r="X17" s="37" t="s">
        <v>157</v>
      </c>
      <c r="Y17" s="65" t="str">
        <f t="shared" ca="1" si="1"/>
        <v>perd.J8</v>
      </c>
      <c r="Z17" s="74"/>
    </row>
    <row r="18" spans="4:26" ht="13" thickBot="1">
      <c r="D18">
        <v>6</v>
      </c>
      <c r="E18" s="97" t="e">
        <f>#REF!</f>
        <v>#REF!</v>
      </c>
      <c r="F18" s="9"/>
      <c r="G18" s="9" t="e">
        <f>E18</f>
        <v>#REF!</v>
      </c>
      <c r="H18" s="11"/>
      <c r="I18" s="10"/>
      <c r="J18" s="10"/>
      <c r="K18" s="10"/>
      <c r="L18" s="14"/>
      <c r="M18" s="10"/>
      <c r="R18" s="34"/>
      <c r="S18" s="40"/>
      <c r="T18" s="40" t="e">
        <f>IF(#REF!="","",#REF!)</f>
        <v>#REF!</v>
      </c>
      <c r="U18" s="38" t="s">
        <v>159</v>
      </c>
      <c r="V18" s="48">
        <v>10</v>
      </c>
      <c r="W18" s="53" t="str">
        <f t="shared" ca="1" si="0"/>
        <v>Venc.J7</v>
      </c>
      <c r="X18" s="37" t="s">
        <v>157</v>
      </c>
      <c r="Y18" s="65" t="str">
        <f t="shared" ca="1" si="1"/>
        <v>Venc.J8</v>
      </c>
      <c r="Z18" s="74"/>
    </row>
    <row r="19" spans="4:26" ht="13" thickBot="1">
      <c r="E19" s="10"/>
      <c r="F19" s="10"/>
      <c r="G19" s="10"/>
      <c r="H19" s="13" t="s">
        <v>210</v>
      </c>
      <c r="I19" s="9" t="str">
        <f>IF(OR(H18="",H20=""),"",+IF(H18&gt;H20,E18,E20))</f>
        <v/>
      </c>
      <c r="J19" s="17"/>
      <c r="K19" s="10"/>
      <c r="L19" s="14"/>
      <c r="M19" s="10"/>
      <c r="R19" s="42"/>
      <c r="S19" s="43"/>
      <c r="T19" s="43"/>
      <c r="U19" s="43"/>
      <c r="V19" s="61"/>
      <c r="W19" s="62"/>
      <c r="X19" s="63"/>
      <c r="Y19" s="60"/>
      <c r="Z19" s="75"/>
    </row>
    <row r="20" spans="4:26" ht="13" thickBot="1">
      <c r="D20">
        <v>7</v>
      </c>
      <c r="E20" s="9" t="e">
        <f>#REF!</f>
        <v>#REF!</v>
      </c>
      <c r="F20" s="9"/>
      <c r="G20" s="9" t="e">
        <f>E20</f>
        <v>#REF!</v>
      </c>
      <c r="H20" s="16"/>
      <c r="I20" s="10"/>
      <c r="J20" s="13"/>
      <c r="K20" s="10"/>
      <c r="L20" s="14"/>
      <c r="M20" s="10"/>
    </row>
    <row r="21" spans="4:26">
      <c r="E21" s="10"/>
      <c r="F21" s="10"/>
      <c r="G21" s="10"/>
      <c r="H21" s="10"/>
      <c r="I21" s="10"/>
      <c r="J21" s="14"/>
      <c r="K21" s="10"/>
      <c r="L21" s="14"/>
      <c r="M21" s="10"/>
    </row>
    <row r="22" spans="4:26" ht="13" thickBot="1">
      <c r="D22">
        <v>8</v>
      </c>
      <c r="E22" s="10" t="e">
        <f>#REF!</f>
        <v>#REF!</v>
      </c>
      <c r="F22" s="11"/>
      <c r="G22" s="10"/>
      <c r="H22" s="10"/>
      <c r="I22" s="10"/>
      <c r="J22" s="14" t="s">
        <v>217</v>
      </c>
      <c r="K22" s="18" t="str">
        <f>IF(OR(I19="",I24=""),"",+IF(J19&gt;J24,I19,I24))</f>
        <v/>
      </c>
      <c r="L22" s="16"/>
      <c r="M22" s="10"/>
    </row>
    <row r="23" spans="4:26" ht="13" thickBot="1">
      <c r="E23" s="12"/>
      <c r="F23" s="13" t="s">
        <v>204</v>
      </c>
      <c r="G23" s="9" t="str">
        <f>IF(OR(F22="",F24=""),"",+IF(F22&gt;F24,E22,E24))</f>
        <v/>
      </c>
      <c r="H23" s="17"/>
      <c r="I23" s="10"/>
      <c r="J23" s="14"/>
      <c r="K23" s="10"/>
      <c r="L23" s="10"/>
      <c r="M23" s="10"/>
    </row>
    <row r="24" spans="4:26" ht="13" thickBot="1">
      <c r="D24">
        <v>9</v>
      </c>
      <c r="E24" s="9" t="e">
        <f>#REF!</f>
        <v>#REF!</v>
      </c>
      <c r="F24" s="16"/>
      <c r="G24" s="10"/>
      <c r="H24" s="13" t="s">
        <v>212</v>
      </c>
      <c r="I24" s="9" t="str">
        <f>IF(OR(H23="",H26=""),"",+IF(H23&gt;H26,G23,G26))</f>
        <v/>
      </c>
      <c r="J24" s="16"/>
      <c r="K24" s="10"/>
      <c r="L24" s="10"/>
      <c r="M24" s="10"/>
    </row>
    <row r="25" spans="4:26">
      <c r="E25" s="10"/>
      <c r="F25" s="10"/>
      <c r="G25" s="10"/>
      <c r="H25" s="14"/>
      <c r="I25" s="10"/>
      <c r="J25" s="10"/>
      <c r="K25" s="10"/>
      <c r="L25" s="10"/>
      <c r="M25" s="10"/>
    </row>
    <row r="26" spans="4:26" ht="13" thickBot="1">
      <c r="D26">
        <v>10</v>
      </c>
      <c r="E26" s="97" t="e">
        <f>#REF!</f>
        <v>#REF!</v>
      </c>
      <c r="F26" s="9"/>
      <c r="G26" s="9" t="e">
        <f>E26</f>
        <v>#REF!</v>
      </c>
      <c r="H26" s="16"/>
      <c r="I26" s="10"/>
      <c r="J26" s="10"/>
      <c r="K26" s="10"/>
      <c r="L26" s="10"/>
      <c r="M26" s="10"/>
    </row>
    <row r="28" spans="4:26">
      <c r="K28" s="76"/>
    </row>
    <row r="29" spans="4:26" ht="13" thickBot="1">
      <c r="K29" s="9" t="str">
        <f>IF(OR(K12="",K22=""),"",+IF(J9&gt;J15,I15,I9))</f>
        <v/>
      </c>
      <c r="L29" s="11"/>
    </row>
    <row r="30" spans="4:26">
      <c r="K30" s="12"/>
      <c r="L30" s="13"/>
    </row>
    <row r="31" spans="4:26" ht="13" thickBot="1">
      <c r="K31" s="77" t="s">
        <v>271</v>
      </c>
      <c r="L31" s="14" t="s">
        <v>219</v>
      </c>
      <c r="M31" s="27"/>
    </row>
    <row r="32" spans="4:26">
      <c r="K32" s="10"/>
      <c r="L32" s="14"/>
    </row>
    <row r="33" spans="11:17" ht="13" thickBot="1">
      <c r="K33" s="9" t="str">
        <f>IF(OR(K12="",K22=""),"",+IF(J19&gt;J24,I24,I19))</f>
        <v/>
      </c>
      <c r="L33" s="16"/>
    </row>
    <row r="37" spans="11:17">
      <c r="M37" s="28"/>
      <c r="N37" s="76"/>
      <c r="O37" s="29"/>
      <c r="Q37"/>
    </row>
    <row r="39" spans="11:17">
      <c r="Q39"/>
    </row>
    <row r="40" spans="11:17">
      <c r="Q40"/>
    </row>
    <row r="41" spans="11:17">
      <c r="Q41"/>
    </row>
    <row r="42" spans="11:17">
      <c r="Q42"/>
    </row>
    <row r="43" spans="11:17">
      <c r="Q43"/>
    </row>
    <row r="44" spans="11:17">
      <c r="Q44"/>
    </row>
    <row r="45" spans="11:17">
      <c r="Q45"/>
    </row>
    <row r="46" spans="11:17">
      <c r="Q46"/>
    </row>
  </sheetData>
  <mergeCells count="3">
    <mergeCell ref="T6:Y6"/>
    <mergeCell ref="S7:Y7"/>
    <mergeCell ref="U8:V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Plan5"/>
  <dimension ref="D4:AB46"/>
  <sheetViews>
    <sheetView showGridLines="0" topLeftCell="A3" zoomScale="75" workbookViewId="0">
      <selection activeCell="I14" sqref="I14"/>
    </sheetView>
  </sheetViews>
  <sheetFormatPr defaultColWidth="9.1171875" defaultRowHeight="12.7"/>
  <cols>
    <col min="5" max="5" width="12.41015625" style="10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style="10" customWidth="1"/>
    <col min="12" max="12" width="3.64453125" customWidth="1"/>
    <col min="13" max="13" width="15.87890625" customWidth="1"/>
    <col min="14" max="14" width="11.52734375" bestFit="1" customWidth="1"/>
    <col min="17" max="17" width="9.1171875" style="28"/>
    <col min="18" max="18" width="2.41015625" customWidth="1"/>
    <col min="19" max="19" width="9.1171875" style="29"/>
    <col min="21" max="21" width="7.52734375" bestFit="1" customWidth="1"/>
    <col min="22" max="22" width="6.52734375" bestFit="1" customWidth="1"/>
    <col min="23" max="23" width="2.3515625" bestFit="1" customWidth="1"/>
    <col min="24" max="24" width="3.52734375" style="10" bestFit="1" customWidth="1"/>
    <col min="25" max="25" width="15.64453125" style="28" customWidth="1"/>
    <col min="26" max="26" width="6.52734375" bestFit="1" customWidth="1"/>
    <col min="27" max="27" width="15.64453125" style="29" customWidth="1"/>
  </cols>
  <sheetData>
    <row r="4" spans="4:28" ht="13" thickBot="1"/>
    <row r="5" spans="4:28" ht="13" thickTop="1">
      <c r="N5" t="s">
        <v>311</v>
      </c>
      <c r="O5" s="82"/>
      <c r="P5">
        <v>1</v>
      </c>
      <c r="Q5" s="28" t="e">
        <f>E10</f>
        <v>#REF!</v>
      </c>
      <c r="R5" t="s">
        <v>77</v>
      </c>
      <c r="S5" s="29" t="e">
        <f>E12</f>
        <v>#REF!</v>
      </c>
      <c r="T5" s="30"/>
      <c r="U5" s="31"/>
      <c r="V5" s="31"/>
      <c r="W5" s="31"/>
      <c r="X5" s="49"/>
      <c r="Y5" s="51"/>
      <c r="Z5" s="31"/>
      <c r="AA5" s="56"/>
      <c r="AB5" s="73"/>
    </row>
    <row r="6" spans="4:28">
      <c r="P6">
        <v>2</v>
      </c>
      <c r="Q6" s="28" t="e">
        <f>E7</f>
        <v>#REF!</v>
      </c>
      <c r="R6" t="s">
        <v>77</v>
      </c>
      <c r="S6" s="29" t="s">
        <v>78</v>
      </c>
      <c r="T6" s="34"/>
      <c r="U6" s="35" t="s">
        <v>153</v>
      </c>
      <c r="V6" s="100"/>
      <c r="W6" s="100"/>
      <c r="X6" s="100"/>
      <c r="Y6" s="100"/>
      <c r="Z6" s="100"/>
      <c r="AA6" s="101"/>
      <c r="AB6" s="74"/>
    </row>
    <row r="7" spans="4:28" ht="13" thickBot="1">
      <c r="D7">
        <v>1</v>
      </c>
      <c r="E7" s="97" t="e">
        <f>#REF!</f>
        <v>#REF!</v>
      </c>
      <c r="F7" s="9"/>
      <c r="G7" s="9" t="e">
        <f>E7</f>
        <v>#REF!</v>
      </c>
      <c r="H7" s="1"/>
      <c r="P7">
        <v>3</v>
      </c>
      <c r="Q7" s="28" t="e">
        <f>E14</f>
        <v>#REF!</v>
      </c>
      <c r="R7" t="s">
        <v>77</v>
      </c>
      <c r="S7" s="29" t="e">
        <f>E16</f>
        <v>#REF!</v>
      </c>
      <c r="T7" s="34"/>
      <c r="U7" s="102"/>
      <c r="V7" s="103"/>
      <c r="W7" s="103"/>
      <c r="X7" s="103"/>
      <c r="Y7" s="103"/>
      <c r="Z7" s="103"/>
      <c r="AA7" s="104"/>
      <c r="AB7" s="74"/>
    </row>
    <row r="8" spans="4:28">
      <c r="E8" s="12"/>
      <c r="H8" s="5"/>
      <c r="P8">
        <v>4</v>
      </c>
      <c r="Q8" s="28" t="e">
        <f>E18</f>
        <v>#REF!</v>
      </c>
      <c r="R8" t="s">
        <v>77</v>
      </c>
      <c r="S8" s="29" t="e">
        <f>E20</f>
        <v>#REF!</v>
      </c>
      <c r="T8" s="34"/>
      <c r="U8" s="37" t="s">
        <v>154</v>
      </c>
      <c r="V8" s="37" t="s">
        <v>155</v>
      </c>
      <c r="W8" s="105" t="s">
        <v>158</v>
      </c>
      <c r="X8" s="106"/>
      <c r="Y8" s="52"/>
      <c r="Z8" s="39" t="s">
        <v>156</v>
      </c>
      <c r="AA8" s="57"/>
      <c r="AB8" s="74"/>
    </row>
    <row r="9" spans="4:28" ht="13" thickBot="1">
      <c r="H9" s="6" t="s">
        <v>204</v>
      </c>
      <c r="I9" s="7" t="str">
        <f>IF(OR(H7="",H11=""),"",+IF(H7&gt;H11,E7,G11))</f>
        <v/>
      </c>
      <c r="J9" s="1"/>
      <c r="P9">
        <v>5</v>
      </c>
      <c r="Q9" s="28" t="e">
        <f>E22</f>
        <v>#REF!</v>
      </c>
      <c r="R9" t="s">
        <v>77</v>
      </c>
      <c r="S9" s="29" t="e">
        <f>E24</f>
        <v>#REF!</v>
      </c>
      <c r="T9" s="34"/>
      <c r="U9" s="40"/>
      <c r="V9" s="40" t="str">
        <f>IF($O$5="","",$O$5)</f>
        <v/>
      </c>
      <c r="W9" s="38" t="s">
        <v>159</v>
      </c>
      <c r="X9" s="48">
        <v>1</v>
      </c>
      <c r="Y9" s="53" t="e">
        <f t="shared" ref="Y9:Y17" ca="1" si="0">LOOKUP(X9,P$5:P$78,Q$5:Q$14)</f>
        <v>#REF!</v>
      </c>
      <c r="Z9" s="37" t="s">
        <v>157</v>
      </c>
      <c r="AA9" s="65" t="e">
        <f t="shared" ref="AA9:AA17" ca="1" si="1">LOOKUP(X9,P$5:P$78,S$5:S$14)</f>
        <v>#REF!</v>
      </c>
      <c r="AB9" s="74"/>
    </row>
    <row r="10" spans="4:28" ht="13" thickBot="1">
      <c r="D10">
        <v>2</v>
      </c>
      <c r="E10" s="10" t="e">
        <f>#REF!</f>
        <v>#REF!</v>
      </c>
      <c r="F10" s="1"/>
      <c r="H10" s="6"/>
      <c r="J10" s="5"/>
      <c r="P10">
        <v>6</v>
      </c>
      <c r="Q10" s="28" t="s">
        <v>160</v>
      </c>
      <c r="R10" t="s">
        <v>77</v>
      </c>
      <c r="S10" s="29" t="s">
        <v>161</v>
      </c>
      <c r="T10" s="34"/>
      <c r="U10" s="40"/>
      <c r="V10" s="40" t="str">
        <f t="shared" ref="V10:V17" si="2">IF($O$5="","",$O$5)</f>
        <v/>
      </c>
      <c r="W10" s="38" t="s">
        <v>159</v>
      </c>
      <c r="X10" s="48">
        <v>2</v>
      </c>
      <c r="Y10" s="53" t="e">
        <f t="shared" ca="1" si="0"/>
        <v>#REF!</v>
      </c>
      <c r="Z10" s="37" t="s">
        <v>157</v>
      </c>
      <c r="AA10" s="65" t="str">
        <f t="shared" ca="1" si="1"/>
        <v>Venc.J1</v>
      </c>
      <c r="AB10" s="74"/>
    </row>
    <row r="11" spans="4:28" ht="13" thickBot="1">
      <c r="E11" s="12"/>
      <c r="F11" s="5" t="s">
        <v>202</v>
      </c>
      <c r="G11" s="7" t="str">
        <f>IF(OR(F10="",F12=""),"",+IF(F10&gt;F12,E10,E12))</f>
        <v/>
      </c>
      <c r="H11" s="2"/>
      <c r="J11" s="6"/>
      <c r="P11">
        <v>7</v>
      </c>
      <c r="Q11" s="28" t="s">
        <v>81</v>
      </c>
      <c r="R11" t="s">
        <v>77</v>
      </c>
      <c r="S11" s="29" t="s">
        <v>162</v>
      </c>
      <c r="T11" s="34"/>
      <c r="U11" s="40"/>
      <c r="V11" s="40" t="str">
        <f t="shared" si="2"/>
        <v/>
      </c>
      <c r="W11" s="38" t="s">
        <v>159</v>
      </c>
      <c r="X11" s="48">
        <v>3</v>
      </c>
      <c r="Y11" s="53" t="e">
        <f t="shared" ca="1" si="0"/>
        <v>#REF!</v>
      </c>
      <c r="Z11" s="37" t="s">
        <v>157</v>
      </c>
      <c r="AA11" s="65" t="e">
        <f t="shared" ca="1" si="1"/>
        <v>#REF!</v>
      </c>
      <c r="AB11" s="74"/>
    </row>
    <row r="12" spans="4:28" ht="13" thickBot="1">
      <c r="D12">
        <v>3</v>
      </c>
      <c r="E12" s="10" t="e">
        <f>#REF!</f>
        <v>#REF!</v>
      </c>
      <c r="F12" s="2"/>
      <c r="J12" s="6" t="s">
        <v>212</v>
      </c>
      <c r="K12" s="9" t="str">
        <f>IF(OR(J9="",J15=""),"",+IF(J9&gt;J15,I9,I15))</f>
        <v/>
      </c>
      <c r="L12" s="4"/>
      <c r="P12">
        <v>8</v>
      </c>
      <c r="Q12" s="71" t="s">
        <v>282</v>
      </c>
      <c r="R12" t="s">
        <v>77</v>
      </c>
      <c r="S12" s="72" t="s">
        <v>283</v>
      </c>
      <c r="T12" s="34"/>
      <c r="U12" s="40"/>
      <c r="V12" s="40" t="str">
        <f t="shared" si="2"/>
        <v/>
      </c>
      <c r="W12" s="38" t="s">
        <v>159</v>
      </c>
      <c r="X12" s="48">
        <v>4</v>
      </c>
      <c r="Y12" s="53" t="e">
        <f t="shared" ca="1" si="0"/>
        <v>#REF!</v>
      </c>
      <c r="Z12" s="37" t="s">
        <v>157</v>
      </c>
      <c r="AA12" s="65" t="e">
        <f t="shared" ca="1" si="1"/>
        <v>#REF!</v>
      </c>
      <c r="AB12" s="74"/>
    </row>
    <row r="13" spans="4:28">
      <c r="E13" s="12"/>
      <c r="J13" s="6"/>
      <c r="M13" s="8"/>
      <c r="P13">
        <v>9</v>
      </c>
      <c r="Q13" s="28" t="s">
        <v>163</v>
      </c>
      <c r="R13" t="s">
        <v>77</v>
      </c>
      <c r="S13" s="29" t="s">
        <v>84</v>
      </c>
      <c r="T13" s="34"/>
      <c r="U13" s="40"/>
      <c r="V13" s="40" t="str">
        <f t="shared" si="2"/>
        <v/>
      </c>
      <c r="W13" s="38" t="s">
        <v>159</v>
      </c>
      <c r="X13" s="48">
        <v>5</v>
      </c>
      <c r="Y13" s="53" t="e">
        <f t="shared" ca="1" si="0"/>
        <v>#REF!</v>
      </c>
      <c r="Z13" s="37" t="s">
        <v>157</v>
      </c>
      <c r="AA13" s="65" t="e">
        <f t="shared" ca="1" si="1"/>
        <v>#REF!</v>
      </c>
      <c r="AB13" s="74"/>
    </row>
    <row r="14" spans="4:28" ht="13" thickBot="1">
      <c r="D14">
        <v>4</v>
      </c>
      <c r="E14" s="9" t="e">
        <f>#REF!</f>
        <v>#REF!</v>
      </c>
      <c r="F14" s="9"/>
      <c r="G14" s="9" t="e">
        <f>E14</f>
        <v>#REF!</v>
      </c>
      <c r="H14" s="1"/>
      <c r="J14" s="6"/>
      <c r="M14" s="8"/>
      <c r="Q14" s="29"/>
      <c r="T14" s="34"/>
      <c r="U14" s="40"/>
      <c r="V14" s="40" t="str">
        <f t="shared" si="2"/>
        <v/>
      </c>
      <c r="W14" s="38" t="s">
        <v>159</v>
      </c>
      <c r="X14" s="48">
        <v>6</v>
      </c>
      <c r="Y14" s="53" t="str">
        <f t="shared" ca="1" si="0"/>
        <v>Venc.J2</v>
      </c>
      <c r="Z14" s="37" t="s">
        <v>157</v>
      </c>
      <c r="AA14" s="65" t="str">
        <f t="shared" ca="1" si="1"/>
        <v>Venc.J3</v>
      </c>
      <c r="AB14" s="74"/>
    </row>
    <row r="15" spans="4:28" ht="13" thickBot="1">
      <c r="H15" s="5" t="s">
        <v>206</v>
      </c>
      <c r="I15" s="7" t="str">
        <f>IF(OR(H14="",H16=""),"",+IF(H14&gt;H16,E14,E16))</f>
        <v/>
      </c>
      <c r="J15" s="2"/>
      <c r="M15" s="8"/>
      <c r="T15" s="34"/>
      <c r="U15" s="40"/>
      <c r="V15" s="40" t="str">
        <f t="shared" si="2"/>
        <v/>
      </c>
      <c r="W15" s="38" t="s">
        <v>159</v>
      </c>
      <c r="X15" s="48">
        <v>7</v>
      </c>
      <c r="Y15" s="53" t="str">
        <f t="shared" ca="1" si="0"/>
        <v>Venc.J4</v>
      </c>
      <c r="Z15" s="37" t="s">
        <v>157</v>
      </c>
      <c r="AA15" s="65" t="str">
        <f t="shared" ca="1" si="1"/>
        <v>Venc.J5</v>
      </c>
      <c r="AB15" s="74"/>
    </row>
    <row r="16" spans="4:28" ht="13" thickBot="1">
      <c r="D16">
        <v>5</v>
      </c>
      <c r="E16" s="97" t="e">
        <f>#REF!</f>
        <v>#REF!</v>
      </c>
      <c r="F16" s="9"/>
      <c r="G16" s="9" t="e">
        <f>E16</f>
        <v>#REF!</v>
      </c>
      <c r="H16" s="2"/>
      <c r="M16" s="8"/>
      <c r="T16" s="34"/>
      <c r="U16" s="40"/>
      <c r="V16" s="40" t="str">
        <f t="shared" si="2"/>
        <v/>
      </c>
      <c r="W16" s="38" t="s">
        <v>159</v>
      </c>
      <c r="X16" s="48">
        <v>8</v>
      </c>
      <c r="Y16" s="53" t="str">
        <f t="shared" ca="1" si="0"/>
        <v>Perd.J6</v>
      </c>
      <c r="Z16" s="37" t="s">
        <v>157</v>
      </c>
      <c r="AA16" s="65" t="str">
        <f t="shared" ca="1" si="1"/>
        <v>Perd.J7</v>
      </c>
      <c r="AB16" s="74"/>
    </row>
    <row r="17" spans="4:28" ht="13" thickBot="1">
      <c r="K17" s="77" t="s">
        <v>278</v>
      </c>
      <c r="L17" s="78" t="s">
        <v>219</v>
      </c>
      <c r="M17" s="7" t="str">
        <f>IF(OR(L12="",L21=""),"",+IF(L12&gt;L21,K12,K21))</f>
        <v/>
      </c>
      <c r="T17" s="34"/>
      <c r="U17" s="40"/>
      <c r="V17" s="40" t="str">
        <f t="shared" si="2"/>
        <v/>
      </c>
      <c r="W17" s="38" t="s">
        <v>159</v>
      </c>
      <c r="X17" s="48">
        <v>9</v>
      </c>
      <c r="Y17" s="53" t="str">
        <f t="shared" ca="1" si="0"/>
        <v>Venc.J6</v>
      </c>
      <c r="Z17" s="37" t="s">
        <v>157</v>
      </c>
      <c r="AA17" s="65" t="str">
        <f t="shared" ca="1" si="1"/>
        <v>Venc.J7</v>
      </c>
      <c r="AB17" s="74"/>
    </row>
    <row r="18" spans="4:28" ht="13" thickBot="1">
      <c r="D18">
        <v>6</v>
      </c>
      <c r="E18" s="97" t="e">
        <f>#REF!</f>
        <v>#REF!</v>
      </c>
      <c r="F18" s="9"/>
      <c r="G18" s="9" t="e">
        <f>E18</f>
        <v>#REF!</v>
      </c>
      <c r="H18" s="1"/>
      <c r="M18" s="8"/>
      <c r="T18" s="42"/>
      <c r="U18" s="43"/>
      <c r="V18" s="43"/>
      <c r="W18" s="43"/>
      <c r="X18" s="61"/>
      <c r="Y18" s="62"/>
      <c r="Z18" s="63"/>
      <c r="AA18" s="60"/>
      <c r="AB18" s="75"/>
    </row>
    <row r="19" spans="4:28" ht="13" thickBot="1">
      <c r="G19" s="3"/>
      <c r="H19" s="5" t="s">
        <v>208</v>
      </c>
      <c r="I19" s="7" t="str">
        <f>IF(OR(H18="",H20=""),"",+IF(H18&gt;H20,E18,E20))</f>
        <v/>
      </c>
      <c r="J19" s="4"/>
      <c r="M19" s="8"/>
    </row>
    <row r="20" spans="4:28" ht="13" thickBot="1">
      <c r="D20">
        <v>7</v>
      </c>
      <c r="E20" s="9" t="e">
        <f>#REF!</f>
        <v>#REF!</v>
      </c>
      <c r="F20" s="9"/>
      <c r="G20" s="9" t="e">
        <f>E20</f>
        <v>#REF!</v>
      </c>
      <c r="H20" s="2"/>
      <c r="J20" s="6"/>
      <c r="M20" s="8"/>
    </row>
    <row r="21" spans="4:28" ht="13" thickBot="1">
      <c r="G21" s="3"/>
      <c r="J21" s="6" t="s">
        <v>214</v>
      </c>
      <c r="K21" s="9" t="str">
        <f>IF(OR(J19="",J23=""),"",+IF(J19&gt;J23,I19,I23))</f>
        <v/>
      </c>
      <c r="L21" s="2"/>
      <c r="M21" s="8"/>
    </row>
    <row r="22" spans="4:28" ht="13" thickBot="1">
      <c r="D22">
        <v>8</v>
      </c>
      <c r="E22" s="9" t="e">
        <f>#REF!</f>
        <v>#REF!</v>
      </c>
      <c r="F22" s="9"/>
      <c r="G22" s="9" t="e">
        <f>E22</f>
        <v>#REF!</v>
      </c>
      <c r="H22" s="1"/>
      <c r="J22" s="6"/>
    </row>
    <row r="23" spans="4:28" ht="13" thickBot="1">
      <c r="G23" s="3"/>
      <c r="H23" s="5" t="s">
        <v>210</v>
      </c>
      <c r="I23" s="7" t="str">
        <f>IF(OR(H22="",H24=""),"",+IF(H22&gt;H24,E22,E24))</f>
        <v/>
      </c>
      <c r="J23" s="2"/>
    </row>
    <row r="24" spans="4:28" ht="13" thickBot="1">
      <c r="D24">
        <v>9</v>
      </c>
      <c r="E24" s="97" t="e">
        <f>#REF!</f>
        <v>#REF!</v>
      </c>
      <c r="F24" s="9"/>
      <c r="G24" s="9" t="e">
        <f>E24</f>
        <v>#REF!</v>
      </c>
      <c r="H24" s="2"/>
    </row>
    <row r="27" spans="4:28" ht="13" thickBot="1">
      <c r="K27" s="9" t="str">
        <f>IF(OR(K12="",K21=""),"",+IF(J9&gt;J15,I15,I9))</f>
        <v/>
      </c>
      <c r="L27" s="1"/>
    </row>
    <row r="28" spans="4:28">
      <c r="L28" s="5"/>
    </row>
    <row r="29" spans="4:28">
      <c r="L29" s="6"/>
    </row>
    <row r="30" spans="4:28" ht="13" thickBot="1">
      <c r="K30" s="77" t="s">
        <v>279</v>
      </c>
      <c r="L30" s="78" t="s">
        <v>217</v>
      </c>
      <c r="M30" s="7" t="str">
        <f>IF(OR(L27="",L33=""),"",+IF(L27&gt;L33,K27,K33))</f>
        <v/>
      </c>
    </row>
    <row r="31" spans="4:28">
      <c r="L31" s="6"/>
    </row>
    <row r="32" spans="4:28">
      <c r="L32" s="6"/>
    </row>
    <row r="33" spans="7:19" ht="13" thickBot="1">
      <c r="K33" s="9" t="str">
        <f>IF(OR(K12="",K21=""),"",+IF(J19&gt;J23,I23,I19))</f>
        <v/>
      </c>
      <c r="L33" s="2"/>
    </row>
    <row r="34" spans="7:19">
      <c r="G34" s="10"/>
    </row>
    <row r="35" spans="7:19">
      <c r="G35" s="10"/>
    </row>
    <row r="36" spans="7:19">
      <c r="G36" s="10"/>
    </row>
    <row r="37" spans="7:19">
      <c r="G37" s="10"/>
      <c r="K37"/>
      <c r="M37" s="28"/>
      <c r="N37" s="76"/>
      <c r="O37" s="29"/>
      <c r="Q37"/>
    </row>
    <row r="38" spans="7:19">
      <c r="S38"/>
    </row>
    <row r="39" spans="7:19">
      <c r="Q39"/>
      <c r="S39"/>
    </row>
    <row r="40" spans="7:19">
      <c r="Q40"/>
      <c r="S40"/>
    </row>
    <row r="41" spans="7:19">
      <c r="Q41"/>
      <c r="S41"/>
    </row>
    <row r="42" spans="7:19">
      <c r="Q42"/>
      <c r="S42"/>
    </row>
    <row r="43" spans="7:19">
      <c r="Q43"/>
      <c r="S43"/>
    </row>
    <row r="44" spans="7:19">
      <c r="Q44"/>
      <c r="S44"/>
    </row>
    <row r="45" spans="7:19">
      <c r="Q45"/>
      <c r="S45"/>
    </row>
    <row r="46" spans="7:19">
      <c r="Q46"/>
      <c r="S46"/>
    </row>
  </sheetData>
  <mergeCells count="3">
    <mergeCell ref="V6:AA6"/>
    <mergeCell ref="U7:AA7"/>
    <mergeCell ref="W8:X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Plan6"/>
  <dimension ref="D4:Z35"/>
  <sheetViews>
    <sheetView showGridLines="0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11.52734375" bestFit="1" customWidth="1"/>
    <col min="14" max="14" width="9.1171875"/>
    <col min="15" max="15" width="9.1171875" style="28"/>
    <col min="16" max="16" width="2.41015625" customWidth="1"/>
    <col min="17" max="17" width="9.1171875" style="29"/>
    <col min="18" max="18" width="9.1171875"/>
    <col min="19" max="19" width="7.52734375" bestFit="1" customWidth="1"/>
    <col min="20" max="20" width="6.52734375" bestFit="1" customWidth="1"/>
    <col min="21" max="21" width="2.3515625" bestFit="1" customWidth="1"/>
    <col min="22" max="22" width="3.52734375" style="10" bestFit="1" customWidth="1"/>
    <col min="23" max="23" width="15.64453125" style="28" customWidth="1"/>
    <col min="24" max="24" width="6.52734375" bestFit="1" customWidth="1"/>
    <col min="25" max="25" width="15.64453125" style="29" customWidth="1"/>
  </cols>
  <sheetData>
    <row r="4" spans="4:26" ht="13" thickBot="1"/>
    <row r="5" spans="4:26" ht="13" thickTop="1">
      <c r="L5" t="s">
        <v>311</v>
      </c>
      <c r="M5" s="82"/>
      <c r="N5">
        <v>1</v>
      </c>
      <c r="O5" s="28">
        <f>E7</f>
        <v>0</v>
      </c>
      <c r="P5" t="s">
        <v>77</v>
      </c>
      <c r="Q5" s="29">
        <f>E9</f>
        <v>0</v>
      </c>
      <c r="R5" s="30"/>
      <c r="S5" s="31"/>
      <c r="T5" s="31"/>
      <c r="U5" s="31"/>
      <c r="V5" s="49"/>
      <c r="W5" s="51"/>
      <c r="X5" s="31"/>
      <c r="Y5" s="56"/>
      <c r="Z5" s="73"/>
    </row>
    <row r="6" spans="4:26">
      <c r="N6">
        <v>2</v>
      </c>
      <c r="O6" s="28">
        <f>E11</f>
        <v>0</v>
      </c>
      <c r="P6" t="s">
        <v>77</v>
      </c>
      <c r="Q6" s="29">
        <f>E13</f>
        <v>0</v>
      </c>
      <c r="R6" s="34"/>
      <c r="S6" s="35" t="s">
        <v>153</v>
      </c>
      <c r="T6" s="100"/>
      <c r="U6" s="100"/>
      <c r="V6" s="100"/>
      <c r="W6" s="100"/>
      <c r="X6" s="100"/>
      <c r="Y6" s="101"/>
      <c r="Z6" s="74"/>
    </row>
    <row r="7" spans="4:26" ht="13" thickBot="1">
      <c r="D7">
        <v>1</v>
      </c>
      <c r="E7" s="10"/>
      <c r="F7" s="11"/>
      <c r="G7" s="10"/>
      <c r="H7" s="10"/>
      <c r="I7" s="10"/>
      <c r="J7" s="10"/>
      <c r="K7" s="10"/>
      <c r="N7">
        <v>3</v>
      </c>
      <c r="O7" s="28">
        <f>E15</f>
        <v>0</v>
      </c>
      <c r="P7" t="s">
        <v>77</v>
      </c>
      <c r="Q7" s="29">
        <f>E17</f>
        <v>0</v>
      </c>
      <c r="R7" s="34"/>
      <c r="S7" s="102"/>
      <c r="T7" s="103"/>
      <c r="U7" s="103"/>
      <c r="V7" s="103"/>
      <c r="W7" s="103"/>
      <c r="X7" s="103"/>
      <c r="Y7" s="104"/>
      <c r="Z7" s="74"/>
    </row>
    <row r="8" spans="4:26" ht="13" thickBot="1">
      <c r="E8" s="12"/>
      <c r="F8" s="13" t="s">
        <v>202</v>
      </c>
      <c r="G8" s="9" t="str">
        <f>IF(OR(F7="",F9=""),"",+IF(F7&gt;F9,E7,E9))</f>
        <v/>
      </c>
      <c r="H8" s="17"/>
      <c r="I8" s="10"/>
      <c r="J8" s="10"/>
      <c r="K8" s="10"/>
      <c r="N8">
        <v>4</v>
      </c>
      <c r="O8" s="28">
        <f>E19</f>
        <v>0</v>
      </c>
      <c r="P8" t="s">
        <v>77</v>
      </c>
      <c r="Q8" s="29">
        <f>E21</f>
        <v>0</v>
      </c>
      <c r="R8" s="34"/>
      <c r="S8" s="37" t="s">
        <v>154</v>
      </c>
      <c r="T8" s="37" t="s">
        <v>155</v>
      </c>
      <c r="U8" s="105" t="s">
        <v>158</v>
      </c>
      <c r="V8" s="106"/>
      <c r="W8" s="52"/>
      <c r="X8" s="39" t="s">
        <v>156</v>
      </c>
      <c r="Y8" s="57"/>
      <c r="Z8" s="74"/>
    </row>
    <row r="9" spans="4:26" ht="13" thickBot="1">
      <c r="D9">
        <v>2</v>
      </c>
      <c r="E9" s="10"/>
      <c r="F9" s="16"/>
      <c r="G9" s="10"/>
      <c r="H9" s="14"/>
      <c r="I9" s="10"/>
      <c r="J9" s="10"/>
      <c r="K9" s="10"/>
      <c r="N9">
        <v>5</v>
      </c>
      <c r="O9" s="28" t="s">
        <v>78</v>
      </c>
      <c r="P9" t="s">
        <v>77</v>
      </c>
      <c r="Q9" s="29" t="s">
        <v>160</v>
      </c>
      <c r="R9" s="34"/>
      <c r="S9" s="40"/>
      <c r="T9" s="40" t="str">
        <f>IF($M$5="","",$M$5)</f>
        <v/>
      </c>
      <c r="U9" s="38" t="s">
        <v>159</v>
      </c>
      <c r="V9" s="48">
        <v>1</v>
      </c>
      <c r="W9" s="53">
        <f t="shared" ref="W9:W16" ca="1" si="0">LOOKUP(V9,N$5:N$78,O$5:O$13)</f>
        <v>0</v>
      </c>
      <c r="X9" s="37" t="s">
        <v>157</v>
      </c>
      <c r="Y9" s="65">
        <f t="shared" ref="Y9:Y16" ca="1" si="1">LOOKUP(V9,N$5:N$78,Q$5:Q$13)</f>
        <v>0</v>
      </c>
      <c r="Z9" s="74"/>
    </row>
    <row r="10" spans="4:26" ht="13" thickBot="1">
      <c r="E10" s="12"/>
      <c r="F10" s="10"/>
      <c r="G10" s="10"/>
      <c r="H10" s="14" t="s">
        <v>210</v>
      </c>
      <c r="I10" s="9" t="str">
        <f>IF(OR(H8="",H12=""),"",+IF(H8&gt;H12,G8,G12))</f>
        <v/>
      </c>
      <c r="J10" s="17"/>
      <c r="K10" s="10"/>
      <c r="N10">
        <v>6</v>
      </c>
      <c r="O10" s="28" t="s">
        <v>161</v>
      </c>
      <c r="P10" t="s">
        <v>77</v>
      </c>
      <c r="Q10" s="29" t="s">
        <v>81</v>
      </c>
      <c r="R10" s="34"/>
      <c r="S10" s="40"/>
      <c r="T10" s="40" t="str">
        <f t="shared" ref="T10:T16" si="2">IF($M$5="","",$M$5)</f>
        <v/>
      </c>
      <c r="U10" s="38" t="s">
        <v>159</v>
      </c>
      <c r="V10" s="48">
        <v>2</v>
      </c>
      <c r="W10" s="53">
        <f t="shared" ca="1" si="0"/>
        <v>0</v>
      </c>
      <c r="X10" s="37" t="s">
        <v>157</v>
      </c>
      <c r="Y10" s="65">
        <f t="shared" ca="1" si="1"/>
        <v>0</v>
      </c>
      <c r="Z10" s="74"/>
    </row>
    <row r="11" spans="4:26" ht="13" thickBot="1">
      <c r="D11">
        <v>3</v>
      </c>
      <c r="E11" s="10"/>
      <c r="F11" s="11"/>
      <c r="G11" s="10"/>
      <c r="H11" s="14"/>
      <c r="I11" s="10"/>
      <c r="J11" s="13"/>
      <c r="K11" s="10"/>
      <c r="N11">
        <v>7</v>
      </c>
      <c r="O11" s="71" t="s">
        <v>281</v>
      </c>
      <c r="P11" t="s">
        <v>77</v>
      </c>
      <c r="Q11" s="72" t="s">
        <v>282</v>
      </c>
      <c r="R11" s="34"/>
      <c r="S11" s="40"/>
      <c r="T11" s="40" t="str">
        <f t="shared" si="2"/>
        <v/>
      </c>
      <c r="U11" s="38" t="s">
        <v>159</v>
      </c>
      <c r="V11" s="48">
        <v>3</v>
      </c>
      <c r="W11" s="53">
        <f t="shared" ca="1" si="0"/>
        <v>0</v>
      </c>
      <c r="X11" s="37" t="s">
        <v>157</v>
      </c>
      <c r="Y11" s="65">
        <f t="shared" ca="1" si="1"/>
        <v>0</v>
      </c>
      <c r="Z11" s="74"/>
    </row>
    <row r="12" spans="4:26" ht="13" thickBot="1">
      <c r="E12" s="12"/>
      <c r="F12" s="13" t="s">
        <v>204</v>
      </c>
      <c r="G12" s="9" t="str">
        <f>IF(OR(F11="",F13=""),"",+IF(F11&gt;F13,E11,E13))</f>
        <v/>
      </c>
      <c r="H12" s="16"/>
      <c r="I12" s="10"/>
      <c r="J12" s="14"/>
      <c r="K12" s="10"/>
      <c r="N12">
        <v>8</v>
      </c>
      <c r="O12" s="28" t="s">
        <v>162</v>
      </c>
      <c r="P12" t="s">
        <v>77</v>
      </c>
      <c r="Q12" s="29" t="s">
        <v>163</v>
      </c>
      <c r="R12" s="34"/>
      <c r="S12" s="40"/>
      <c r="T12" s="40" t="str">
        <f t="shared" si="2"/>
        <v/>
      </c>
      <c r="U12" s="38" t="s">
        <v>159</v>
      </c>
      <c r="V12" s="48">
        <v>4</v>
      </c>
      <c r="W12" s="53">
        <f t="shared" ca="1" si="0"/>
        <v>0</v>
      </c>
      <c r="X12" s="37" t="s">
        <v>157</v>
      </c>
      <c r="Y12" s="65">
        <f t="shared" ca="1" si="1"/>
        <v>0</v>
      </c>
      <c r="Z12" s="74"/>
    </row>
    <row r="13" spans="4:26" ht="13" thickBot="1">
      <c r="D13">
        <v>4</v>
      </c>
      <c r="E13" s="10"/>
      <c r="F13" s="16"/>
      <c r="G13" s="10"/>
      <c r="H13" s="10"/>
      <c r="I13" s="10"/>
      <c r="J13" s="14"/>
      <c r="K13" s="10"/>
      <c r="O13" s="29"/>
      <c r="R13" s="34"/>
      <c r="S13" s="40"/>
      <c r="T13" s="40" t="str">
        <f t="shared" si="2"/>
        <v/>
      </c>
      <c r="U13" s="38" t="s">
        <v>159</v>
      </c>
      <c r="V13" s="48">
        <v>5</v>
      </c>
      <c r="W13" s="53" t="str">
        <f t="shared" ca="1" si="0"/>
        <v>Venc.J1</v>
      </c>
      <c r="X13" s="37" t="s">
        <v>157</v>
      </c>
      <c r="Y13" s="65" t="str">
        <f t="shared" ca="1" si="1"/>
        <v>Venc.J2</v>
      </c>
      <c r="Z13" s="74"/>
    </row>
    <row r="14" spans="4:26" ht="13" thickBot="1">
      <c r="E14" s="12"/>
      <c r="F14" s="10"/>
      <c r="G14" s="10"/>
      <c r="H14" s="10"/>
      <c r="I14" s="77" t="s">
        <v>278</v>
      </c>
      <c r="J14" s="70" t="s">
        <v>217</v>
      </c>
      <c r="K14" s="9" t="str">
        <f>IF(OR(J10="",J18=""),"",+IF(J10&gt;J18,I10,I18))</f>
        <v/>
      </c>
      <c r="R14" s="34"/>
      <c r="S14" s="40"/>
      <c r="T14" s="40" t="str">
        <f t="shared" si="2"/>
        <v/>
      </c>
      <c r="U14" s="38" t="s">
        <v>159</v>
      </c>
      <c r="V14" s="48">
        <v>6</v>
      </c>
      <c r="W14" s="53" t="str">
        <f t="shared" ca="1" si="0"/>
        <v>Venc.J3</v>
      </c>
      <c r="X14" s="37" t="s">
        <v>157</v>
      </c>
      <c r="Y14" s="65" t="str">
        <f t="shared" ca="1" si="1"/>
        <v>Venc.J4</v>
      </c>
      <c r="Z14" s="74"/>
    </row>
    <row r="15" spans="4:26" ht="13" thickBot="1">
      <c r="D15">
        <v>5</v>
      </c>
      <c r="E15" s="10"/>
      <c r="F15" s="11"/>
      <c r="G15" s="10"/>
      <c r="H15" s="10"/>
      <c r="I15" s="10"/>
      <c r="J15" s="14"/>
      <c r="K15" s="10"/>
      <c r="R15" s="34"/>
      <c r="S15" s="40"/>
      <c r="T15" s="40" t="str">
        <f t="shared" si="2"/>
        <v/>
      </c>
      <c r="U15" s="38" t="s">
        <v>159</v>
      </c>
      <c r="V15" s="48">
        <v>7</v>
      </c>
      <c r="W15" s="53" t="str">
        <f t="shared" ca="1" si="0"/>
        <v>Perd.J5</v>
      </c>
      <c r="X15" s="37" t="s">
        <v>157</v>
      </c>
      <c r="Y15" s="65" t="str">
        <f t="shared" ca="1" si="1"/>
        <v>Perd.J6</v>
      </c>
      <c r="Z15" s="74"/>
    </row>
    <row r="16" spans="4:26" ht="13" thickBot="1">
      <c r="E16" s="12"/>
      <c r="F16" s="13" t="s">
        <v>206</v>
      </c>
      <c r="G16" s="9" t="str">
        <f>IF(OR(F15="",F17=""),"",+IF(F15&gt;F17,E15,E17))</f>
        <v/>
      </c>
      <c r="H16" s="17"/>
      <c r="I16" s="10"/>
      <c r="J16" s="14"/>
      <c r="K16" s="10"/>
      <c r="R16" s="34"/>
      <c r="S16" s="40"/>
      <c r="T16" s="40" t="str">
        <f t="shared" si="2"/>
        <v/>
      </c>
      <c r="U16" s="38" t="s">
        <v>159</v>
      </c>
      <c r="V16" s="48">
        <v>8</v>
      </c>
      <c r="W16" s="53" t="str">
        <f t="shared" ca="1" si="0"/>
        <v>Venc.J5</v>
      </c>
      <c r="X16" s="37" t="s">
        <v>157</v>
      </c>
      <c r="Y16" s="65" t="str">
        <f t="shared" ca="1" si="1"/>
        <v>Venc.J6</v>
      </c>
      <c r="Z16" s="74"/>
    </row>
    <row r="17" spans="4:26" ht="13" thickBot="1">
      <c r="D17">
        <v>6</v>
      </c>
      <c r="E17" s="10"/>
      <c r="F17" s="16"/>
      <c r="G17" s="10"/>
      <c r="H17" s="14"/>
      <c r="I17" s="10"/>
      <c r="J17" s="14"/>
      <c r="K17" s="10"/>
      <c r="R17" s="42"/>
      <c r="S17" s="43"/>
      <c r="T17" s="43"/>
      <c r="U17" s="43"/>
      <c r="V17" s="61"/>
      <c r="W17" s="62"/>
      <c r="X17" s="63"/>
      <c r="Y17" s="60"/>
      <c r="Z17" s="75"/>
    </row>
    <row r="18" spans="4:26" ht="13" thickBot="1">
      <c r="E18" s="12"/>
      <c r="F18" s="10"/>
      <c r="G18" s="10"/>
      <c r="H18" s="14" t="s">
        <v>212</v>
      </c>
      <c r="I18" s="9" t="str">
        <f>IF(OR(H16="",H20=""),"",+IF(H16&gt;H20,G16,G20))</f>
        <v/>
      </c>
      <c r="J18" s="16"/>
      <c r="K18" s="10"/>
    </row>
    <row r="19" spans="4:26" ht="13" thickBot="1">
      <c r="D19">
        <v>7</v>
      </c>
      <c r="E19" s="10"/>
      <c r="F19" s="11"/>
      <c r="G19" s="10"/>
      <c r="H19" s="14"/>
      <c r="I19" s="10"/>
      <c r="J19" s="10"/>
      <c r="K19" s="10"/>
    </row>
    <row r="20" spans="4:26" ht="13" thickBot="1">
      <c r="E20" s="12"/>
      <c r="F20" s="13" t="s">
        <v>208</v>
      </c>
      <c r="G20" s="9" t="str">
        <f>IF(OR(F19="",F21=""),"",+IF(F19&gt;F21,E19,E21))</f>
        <v/>
      </c>
      <c r="H20" s="16"/>
      <c r="I20" s="10"/>
      <c r="J20" s="10"/>
      <c r="K20" s="10"/>
    </row>
    <row r="21" spans="4:26" ht="13" thickBot="1">
      <c r="D21">
        <v>8</v>
      </c>
      <c r="E21" s="9"/>
      <c r="F21" s="16"/>
      <c r="G21" s="10"/>
      <c r="H21" s="10"/>
      <c r="I21" s="10"/>
      <c r="J21" s="10"/>
      <c r="K21" s="10"/>
    </row>
    <row r="24" spans="4:26" ht="13" thickBot="1">
      <c r="I24" s="9" t="str">
        <f>IF(OR(I10="",I18=""),"",+IF(H8&gt;H12,G12,G8))</f>
        <v/>
      </c>
      <c r="J24" s="17"/>
      <c r="K24" s="10"/>
    </row>
    <row r="25" spans="4:26">
      <c r="I25" s="10"/>
      <c r="J25" s="14"/>
      <c r="K25" s="10"/>
    </row>
    <row r="26" spans="4:26" ht="13" thickBot="1">
      <c r="I26" s="77" t="s">
        <v>279</v>
      </c>
      <c r="J26" s="70" t="s">
        <v>214</v>
      </c>
      <c r="K26" s="9" t="str">
        <f>IF(OR(J24="",J28=""),"",+IF(J24&gt;J28,I24,I28))</f>
        <v/>
      </c>
    </row>
    <row r="27" spans="4:26">
      <c r="I27" s="10"/>
      <c r="J27" s="14"/>
      <c r="K27" s="10"/>
    </row>
    <row r="28" spans="4:26" ht="13" thickBot="1">
      <c r="I28" s="9" t="str">
        <f>IF(OR(I10="",I18=""),"",+IF(H16&gt;H20,G20,G16))</f>
        <v/>
      </c>
      <c r="J28" s="16"/>
      <c r="K28" s="10"/>
    </row>
    <row r="29" spans="4:26">
      <c r="I29" s="10"/>
      <c r="J29" s="10"/>
      <c r="K29" s="10"/>
    </row>
    <row r="32" spans="4:26">
      <c r="G32" s="10"/>
      <c r="M32" s="28"/>
      <c r="N32" s="76"/>
      <c r="O32" s="29"/>
      <c r="Q32"/>
    </row>
    <row r="33" spans="7:7">
      <c r="G33" s="10"/>
    </row>
    <row r="34" spans="7:7">
      <c r="G34" s="10"/>
    </row>
    <row r="35" spans="7:7">
      <c r="G35" s="10"/>
    </row>
  </sheetData>
  <mergeCells count="3">
    <mergeCell ref="T6:Y6"/>
    <mergeCell ref="S7:Y7"/>
    <mergeCell ref="U8:V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Plan7"/>
  <dimension ref="D4:Z38"/>
  <sheetViews>
    <sheetView showGridLines="0" zoomScale="75" workbookViewId="0">
      <selection activeCell="I14" sqref="I14"/>
    </sheetView>
  </sheetViews>
  <sheetFormatPr defaultRowHeight="12.7"/>
  <cols>
    <col min="4" max="4" width="2.3515625" bestFit="1" customWidth="1"/>
    <col min="5" max="5" width="22.41015625" bestFit="1" customWidth="1"/>
    <col min="6" max="6" width="2.76171875" bestFit="1" customWidth="1"/>
    <col min="7" max="7" width="22.3515625" bestFit="1" customWidth="1"/>
    <col min="8" max="8" width="2.76171875" bestFit="1" customWidth="1"/>
    <col min="9" max="9" width="6.234375" bestFit="1" customWidth="1"/>
    <col min="10" max="10" width="2.76171875" bestFit="1" customWidth="1"/>
    <col min="11" max="11" width="13.3515625" customWidth="1"/>
    <col min="12" max="12" width="11.234375" bestFit="1" customWidth="1"/>
    <col min="14" max="14" width="2.3515625" bestFit="1" customWidth="1"/>
    <col min="15" max="15" width="22.41015625" style="28" bestFit="1" customWidth="1"/>
    <col min="16" max="16" width="2.41015625" customWidth="1"/>
    <col min="17" max="17" width="12.41015625" style="29" bestFit="1" customWidth="1"/>
    <col min="18" max="18" width="9.1171875"/>
    <col min="19" max="19" width="8" bestFit="1" customWidth="1"/>
    <col min="20" max="20" width="6.64453125" bestFit="1" customWidth="1"/>
    <col min="21" max="21" width="2.234375" bestFit="1" customWidth="1"/>
    <col min="22" max="22" width="2.3515625" style="10" bestFit="1" customWidth="1"/>
    <col min="23" max="23" width="22.41015625" style="28" bestFit="1" customWidth="1"/>
    <col min="24" max="24" width="6.64453125" bestFit="1" customWidth="1"/>
    <col min="25" max="25" width="12.41015625" style="29" bestFit="1" customWidth="1"/>
  </cols>
  <sheetData>
    <row r="4" spans="4:26" ht="13" thickBot="1"/>
    <row r="5" spans="4:26" ht="13" thickTop="1">
      <c r="L5" t="s">
        <v>311</v>
      </c>
      <c r="M5" s="82"/>
      <c r="N5">
        <v>1</v>
      </c>
      <c r="O5" s="28">
        <f>E10</f>
        <v>0</v>
      </c>
      <c r="P5" t="s">
        <v>77</v>
      </c>
      <c r="Q5" s="29">
        <f>E12</f>
        <v>0</v>
      </c>
      <c r="R5" s="30"/>
      <c r="S5" s="31"/>
      <c r="T5" s="31"/>
      <c r="U5" s="31"/>
      <c r="V5" s="49"/>
      <c r="W5" s="51"/>
      <c r="X5" s="31"/>
      <c r="Y5" s="56"/>
      <c r="Z5" s="73"/>
    </row>
    <row r="6" spans="4:26">
      <c r="N6">
        <v>2</v>
      </c>
      <c r="O6" s="28">
        <f>E14</f>
        <v>0</v>
      </c>
      <c r="P6" t="s">
        <v>77</v>
      </c>
      <c r="Q6" s="29">
        <f>E16</f>
        <v>0</v>
      </c>
      <c r="R6" s="34"/>
      <c r="S6" s="35" t="s">
        <v>153</v>
      </c>
      <c r="T6" s="100"/>
      <c r="U6" s="100"/>
      <c r="V6" s="100"/>
      <c r="W6" s="100"/>
      <c r="X6" s="100"/>
      <c r="Y6" s="101"/>
      <c r="Z6" s="74"/>
    </row>
    <row r="7" spans="4:26" ht="13" thickBot="1">
      <c r="D7">
        <v>1</v>
      </c>
      <c r="E7" s="10"/>
      <c r="F7" s="9"/>
      <c r="G7" s="9">
        <f>E7</f>
        <v>0</v>
      </c>
      <c r="H7" s="11"/>
      <c r="I7" s="10"/>
      <c r="J7" s="10"/>
      <c r="K7" s="10"/>
      <c r="N7">
        <v>3</v>
      </c>
      <c r="O7" s="28">
        <f>E18</f>
        <v>0</v>
      </c>
      <c r="P7" t="s">
        <v>77</v>
      </c>
      <c r="Q7" s="29">
        <f>E20</f>
        <v>0</v>
      </c>
      <c r="R7" s="34"/>
      <c r="S7" s="102"/>
      <c r="T7" s="103"/>
      <c r="U7" s="103"/>
      <c r="V7" s="103"/>
      <c r="W7" s="103"/>
      <c r="X7" s="103"/>
      <c r="Y7" s="104"/>
      <c r="Z7" s="74"/>
    </row>
    <row r="8" spans="4:26">
      <c r="E8" s="12"/>
      <c r="F8" s="10"/>
      <c r="G8" s="10"/>
      <c r="H8" s="13"/>
      <c r="I8" s="10"/>
      <c r="J8" s="10"/>
      <c r="K8" s="10"/>
      <c r="N8">
        <v>4</v>
      </c>
      <c r="O8" s="28">
        <f>E7</f>
        <v>0</v>
      </c>
      <c r="P8" t="s">
        <v>77</v>
      </c>
      <c r="Q8" s="29" t="s">
        <v>78</v>
      </c>
      <c r="R8" s="34"/>
      <c r="S8" s="37" t="s">
        <v>154</v>
      </c>
      <c r="T8" s="37" t="s">
        <v>155</v>
      </c>
      <c r="U8" s="105" t="s">
        <v>158</v>
      </c>
      <c r="V8" s="106"/>
      <c r="W8" s="52"/>
      <c r="X8" s="39" t="s">
        <v>156</v>
      </c>
      <c r="Y8" s="57"/>
      <c r="Z8" s="74"/>
    </row>
    <row r="9" spans="4:26" ht="13" thickBot="1">
      <c r="E9" s="10"/>
      <c r="F9" s="10"/>
      <c r="G9" s="10"/>
      <c r="H9" s="14" t="s">
        <v>208</v>
      </c>
      <c r="I9" s="9" t="str">
        <f>IF(OR(H7="",H11=""),"",+IF(H7&gt;H11,G7,G11))</f>
        <v/>
      </c>
      <c r="J9" s="10"/>
      <c r="K9" s="10"/>
      <c r="N9">
        <v>5</v>
      </c>
      <c r="O9" s="28" t="s">
        <v>160</v>
      </c>
      <c r="P9" t="s">
        <v>77</v>
      </c>
      <c r="Q9" s="29" t="s">
        <v>161</v>
      </c>
      <c r="R9" s="34"/>
      <c r="S9" s="40"/>
      <c r="T9" s="40" t="str">
        <f>IF($M$5="","",$M$5)</f>
        <v/>
      </c>
      <c r="U9" s="38" t="s">
        <v>159</v>
      </c>
      <c r="V9" s="48">
        <v>1</v>
      </c>
      <c r="W9" s="53">
        <f t="shared" ref="W9:W15" ca="1" si="0">LOOKUP(V9,N$5:N$78,O$5:O$14)</f>
        <v>0</v>
      </c>
      <c r="X9" s="37" t="s">
        <v>157</v>
      </c>
      <c r="Y9" s="65">
        <f t="shared" ref="Y9:Y15" ca="1" si="1">LOOKUP(V9,N$5:N$78,Q$5:Q$14)</f>
        <v>0</v>
      </c>
      <c r="Z9" s="74"/>
    </row>
    <row r="10" spans="4:26" ht="13" thickBot="1">
      <c r="D10">
        <v>2</v>
      </c>
      <c r="E10" s="10"/>
      <c r="F10" s="11"/>
      <c r="G10" s="10"/>
      <c r="H10" s="14"/>
      <c r="I10" s="12"/>
      <c r="J10" s="15"/>
      <c r="K10" s="10"/>
      <c r="N10">
        <v>6</v>
      </c>
      <c r="O10" s="71" t="s">
        <v>280</v>
      </c>
      <c r="P10" t="s">
        <v>77</v>
      </c>
      <c r="Q10" s="72" t="s">
        <v>281</v>
      </c>
      <c r="R10" s="34"/>
      <c r="S10" s="40"/>
      <c r="T10" s="40" t="str">
        <f t="shared" ref="T10:T15" si="2">IF($M$5="","",$M$5)</f>
        <v/>
      </c>
      <c r="U10" s="38" t="s">
        <v>159</v>
      </c>
      <c r="V10" s="48">
        <v>2</v>
      </c>
      <c r="W10" s="53">
        <f t="shared" ca="1" si="0"/>
        <v>0</v>
      </c>
      <c r="X10" s="37" t="s">
        <v>157</v>
      </c>
      <c r="Y10" s="65">
        <f t="shared" ca="1" si="1"/>
        <v>0</v>
      </c>
      <c r="Z10" s="74"/>
    </row>
    <row r="11" spans="4:26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N11">
        <v>7</v>
      </c>
      <c r="O11" s="28" t="s">
        <v>81</v>
      </c>
      <c r="P11" t="s">
        <v>77</v>
      </c>
      <c r="Q11" s="29" t="s">
        <v>162</v>
      </c>
      <c r="R11" s="34"/>
      <c r="S11" s="40"/>
      <c r="T11" s="40" t="str">
        <f t="shared" si="2"/>
        <v/>
      </c>
      <c r="U11" s="38" t="s">
        <v>159</v>
      </c>
      <c r="V11" s="48">
        <v>3</v>
      </c>
      <c r="W11" s="53">
        <f t="shared" ca="1" si="0"/>
        <v>0</v>
      </c>
      <c r="X11" s="37" t="s">
        <v>157</v>
      </c>
      <c r="Y11" s="65">
        <f t="shared" ca="1" si="1"/>
        <v>0</v>
      </c>
      <c r="Z11" s="74"/>
    </row>
    <row r="12" spans="4:26" ht="13" thickBot="1">
      <c r="D12">
        <v>3</v>
      </c>
      <c r="E12" s="9"/>
      <c r="F12" s="16"/>
      <c r="G12" s="10"/>
      <c r="H12" s="10"/>
      <c r="I12" s="10"/>
      <c r="J12" s="14"/>
      <c r="K12" s="10"/>
      <c r="R12" s="34"/>
      <c r="S12" s="40"/>
      <c r="T12" s="40" t="str">
        <f t="shared" si="2"/>
        <v/>
      </c>
      <c r="U12" s="38" t="s">
        <v>159</v>
      </c>
      <c r="V12" s="48">
        <v>4</v>
      </c>
      <c r="W12" s="53">
        <f t="shared" ca="1" si="0"/>
        <v>0</v>
      </c>
      <c r="X12" s="37" t="s">
        <v>157</v>
      </c>
      <c r="Y12" s="65" t="str">
        <f t="shared" ca="1" si="1"/>
        <v>Venc.J1</v>
      </c>
      <c r="Z12" s="74"/>
    </row>
    <row r="13" spans="4:26" ht="13" thickBot="1">
      <c r="E13" s="10"/>
      <c r="F13" s="10"/>
      <c r="G13" s="10"/>
      <c r="H13" s="10"/>
      <c r="I13" s="77" t="s">
        <v>278</v>
      </c>
      <c r="J13" s="70" t="s">
        <v>214</v>
      </c>
      <c r="K13" s="9" t="str">
        <f>IF(OR(J10="",J17=""),"",+IF(J10&gt;J17,I9,I17))</f>
        <v/>
      </c>
      <c r="O13" s="29"/>
      <c r="R13" s="34"/>
      <c r="S13" s="40"/>
      <c r="T13" s="40" t="str">
        <f t="shared" si="2"/>
        <v/>
      </c>
      <c r="U13" s="38" t="s">
        <v>159</v>
      </c>
      <c r="V13" s="48">
        <v>5</v>
      </c>
      <c r="W13" s="53" t="str">
        <f t="shared" ca="1" si="0"/>
        <v>Venc.J2</v>
      </c>
      <c r="X13" s="37" t="s">
        <v>157</v>
      </c>
      <c r="Y13" s="65" t="str">
        <f t="shared" ca="1" si="1"/>
        <v>Venc.J3</v>
      </c>
      <c r="Z13" s="74"/>
    </row>
    <row r="14" spans="4:26" ht="13" thickBot="1">
      <c r="D14">
        <v>4</v>
      </c>
      <c r="E14" s="10"/>
      <c r="F14" s="11"/>
      <c r="G14" s="10"/>
      <c r="H14" s="10"/>
      <c r="I14" s="10"/>
      <c r="J14" s="14"/>
      <c r="K14" s="10"/>
      <c r="O14" s="29"/>
      <c r="R14" s="34"/>
      <c r="S14" s="40"/>
      <c r="T14" s="40" t="str">
        <f t="shared" si="2"/>
        <v/>
      </c>
      <c r="U14" s="38" t="s">
        <v>159</v>
      </c>
      <c r="V14" s="48">
        <v>6</v>
      </c>
      <c r="W14" s="53" t="str">
        <f t="shared" ca="1" si="0"/>
        <v>Perd.J4</v>
      </c>
      <c r="X14" s="37" t="s">
        <v>157</v>
      </c>
      <c r="Y14" s="65" t="str">
        <f t="shared" ca="1" si="1"/>
        <v>Perd.J5</v>
      </c>
      <c r="Z14" s="74"/>
    </row>
    <row r="15" spans="4:26" ht="13" thickBot="1">
      <c r="E15" s="12"/>
      <c r="F15" s="13" t="s">
        <v>204</v>
      </c>
      <c r="G15" s="9" t="str">
        <f>IF(OR(F14="",F16=""),"",+IF(F14&gt;F16,E14,E16))</f>
        <v/>
      </c>
      <c r="H15" s="17"/>
      <c r="I15" s="10"/>
      <c r="J15" s="14"/>
      <c r="K15" s="10"/>
      <c r="R15" s="34"/>
      <c r="S15" s="40"/>
      <c r="T15" s="40" t="str">
        <f t="shared" si="2"/>
        <v/>
      </c>
      <c r="U15" s="38" t="s">
        <v>159</v>
      </c>
      <c r="V15" s="48">
        <v>7</v>
      </c>
      <c r="W15" s="53" t="str">
        <f t="shared" ca="1" si="0"/>
        <v>Venc.J4</v>
      </c>
      <c r="X15" s="37" t="s">
        <v>157</v>
      </c>
      <c r="Y15" s="65" t="str">
        <f t="shared" ca="1" si="1"/>
        <v>Venc.J5</v>
      </c>
      <c r="Z15" s="74"/>
    </row>
    <row r="16" spans="4:26" ht="13" thickBot="1">
      <c r="D16">
        <v>5</v>
      </c>
      <c r="E16" s="10"/>
      <c r="F16" s="16"/>
      <c r="G16" s="10"/>
      <c r="H16" s="14"/>
      <c r="I16" s="10"/>
      <c r="J16" s="14"/>
      <c r="K16" s="10"/>
      <c r="R16" s="42"/>
      <c r="S16" s="43"/>
      <c r="T16" s="43"/>
      <c r="U16" s="43"/>
      <c r="V16" s="61"/>
      <c r="W16" s="62"/>
      <c r="X16" s="63"/>
      <c r="Y16" s="60"/>
      <c r="Z16" s="75"/>
    </row>
    <row r="17" spans="4:17" ht="13" thickBot="1">
      <c r="E17" s="12"/>
      <c r="F17" s="10"/>
      <c r="G17" s="10"/>
      <c r="H17" s="14" t="s">
        <v>210</v>
      </c>
      <c r="I17" s="9" t="str">
        <f>IF(OR(H15="",H19=""),"",+IF(H15&gt;H19,G15,G19))</f>
        <v/>
      </c>
      <c r="J17" s="16"/>
      <c r="K17" s="10"/>
    </row>
    <row r="18" spans="4:17" ht="13" thickBot="1">
      <c r="D18">
        <v>6</v>
      </c>
      <c r="E18" s="10"/>
      <c r="F18" s="11"/>
      <c r="G18" s="10"/>
      <c r="H18" s="14"/>
      <c r="I18" s="10"/>
      <c r="J18" s="10"/>
      <c r="K18" s="10"/>
    </row>
    <row r="19" spans="4:17" ht="13" thickBot="1">
      <c r="E19" s="12"/>
      <c r="F19" s="13" t="s">
        <v>206</v>
      </c>
      <c r="G19" s="9" t="str">
        <f>IF(OR(F18="",F20=""),"",+IF(F18&gt;F20,E18,E20))</f>
        <v/>
      </c>
      <c r="H19" s="16"/>
      <c r="I19" s="10"/>
      <c r="J19" s="10"/>
      <c r="K19" s="10"/>
    </row>
    <row r="20" spans="4:17" ht="13" thickBot="1">
      <c r="D20">
        <v>7</v>
      </c>
      <c r="E20" s="10"/>
      <c r="F20" s="16"/>
      <c r="G20" s="10"/>
      <c r="H20" s="10"/>
      <c r="I20" s="10"/>
      <c r="J20" s="10"/>
      <c r="K20" s="10"/>
    </row>
    <row r="21" spans="4:17">
      <c r="E21" s="3"/>
    </row>
    <row r="22" spans="4:17" ht="13" thickBot="1">
      <c r="I22" s="9" t="str">
        <f>IF(OR(I9="",I17=""),"",+IF(H7&gt;H11,G11,G7))</f>
        <v/>
      </c>
      <c r="J22" s="11"/>
      <c r="K22" s="10"/>
    </row>
    <row r="23" spans="4:17">
      <c r="I23" s="10"/>
      <c r="J23" s="13"/>
      <c r="K23" s="10"/>
    </row>
    <row r="24" spans="4:17" ht="13" thickBot="1">
      <c r="I24" s="77" t="s">
        <v>279</v>
      </c>
      <c r="J24" s="70" t="s">
        <v>212</v>
      </c>
      <c r="K24" s="9" t="str">
        <f>IF(OR(J22="",J26=""),"",+IF(J22&gt;J26,I22,I26))</f>
        <v/>
      </c>
    </row>
    <row r="25" spans="4:17">
      <c r="I25" s="10"/>
      <c r="J25" s="14"/>
      <c r="K25" s="12"/>
    </row>
    <row r="26" spans="4:17" ht="13" thickBot="1">
      <c r="I26" s="9" t="str">
        <f>IF(OR(I9="",I17=""),"",+IF(H15&gt;H19,G19,G15))</f>
        <v/>
      </c>
      <c r="J26" s="16"/>
      <c r="K26" s="10"/>
    </row>
    <row r="27" spans="4:17">
      <c r="I27" s="10"/>
      <c r="J27" s="10"/>
      <c r="K27" s="10"/>
    </row>
    <row r="31" spans="4:17">
      <c r="M31" s="28"/>
      <c r="N31" s="76"/>
      <c r="O31" s="29"/>
      <c r="Q31"/>
    </row>
    <row r="33" spans="7:17">
      <c r="G33" s="10"/>
      <c r="P33" s="29"/>
      <c r="Q33"/>
    </row>
    <row r="34" spans="7:17">
      <c r="G34" s="10"/>
      <c r="P34" s="29"/>
      <c r="Q34"/>
    </row>
    <row r="35" spans="7:17">
      <c r="G35" s="10"/>
      <c r="P35" s="29"/>
      <c r="Q35"/>
    </row>
    <row r="36" spans="7:17">
      <c r="G36" s="10"/>
      <c r="P36" s="29"/>
      <c r="Q36"/>
    </row>
    <row r="37" spans="7:17">
      <c r="P37" s="29"/>
      <c r="Q37"/>
    </row>
    <row r="38" spans="7:17">
      <c r="P38" s="29"/>
      <c r="Q38"/>
    </row>
  </sheetData>
  <mergeCells count="3">
    <mergeCell ref="T6:Y6"/>
    <mergeCell ref="S7:Y7"/>
    <mergeCell ref="U8:V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Plan8"/>
  <dimension ref="D4:Z34"/>
  <sheetViews>
    <sheetView showGridLines="0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11.52734375" bestFit="1" customWidth="1"/>
    <col min="14" max="14" width="9.1171875"/>
    <col min="15" max="15" width="9.1171875" style="28"/>
    <col min="16" max="16" width="2.41015625" customWidth="1"/>
    <col min="17" max="17" width="10.3515625" style="29" bestFit="1" customWidth="1"/>
    <col min="18" max="18" width="9.1171875"/>
    <col min="19" max="19" width="18.3515625" bestFit="1" customWidth="1"/>
    <col min="20" max="20" width="6.52734375" bestFit="1" customWidth="1"/>
    <col min="21" max="21" width="2.3515625" bestFit="1" customWidth="1"/>
    <col min="22" max="22" width="3.52734375" style="10" bestFit="1" customWidth="1"/>
    <col min="23" max="23" width="15.64453125" style="28" customWidth="1"/>
    <col min="24" max="24" width="6.52734375" bestFit="1" customWidth="1"/>
    <col min="25" max="25" width="15.64453125" style="29" customWidth="1"/>
  </cols>
  <sheetData>
    <row r="4" spans="4:26" ht="13" thickBot="1"/>
    <row r="5" spans="4:26" ht="13" thickTop="1">
      <c r="L5" t="s">
        <v>311</v>
      </c>
      <c r="M5" s="82"/>
      <c r="N5">
        <v>1</v>
      </c>
      <c r="O5" s="28" t="e">
        <f>E10</f>
        <v>#REF!</v>
      </c>
      <c r="P5" t="s">
        <v>77</v>
      </c>
      <c r="Q5" s="29" t="e">
        <f>E12</f>
        <v>#REF!</v>
      </c>
      <c r="R5" s="30"/>
      <c r="S5" s="31"/>
      <c r="T5" s="31"/>
      <c r="U5" s="31"/>
      <c r="V5" s="49"/>
      <c r="W5" s="51"/>
      <c r="X5" s="31"/>
      <c r="Y5" s="56"/>
      <c r="Z5" s="73"/>
    </row>
    <row r="6" spans="4:26">
      <c r="N6">
        <v>2</v>
      </c>
      <c r="O6" s="28" t="e">
        <f>E14</f>
        <v>#REF!</v>
      </c>
      <c r="P6" t="s">
        <v>77</v>
      </c>
      <c r="Q6" s="29" t="e">
        <f>E16</f>
        <v>#REF!</v>
      </c>
      <c r="R6" s="34"/>
      <c r="S6" s="35" t="s">
        <v>153</v>
      </c>
      <c r="T6" s="100"/>
      <c r="U6" s="100"/>
      <c r="V6" s="100"/>
      <c r="W6" s="100"/>
      <c r="X6" s="100"/>
      <c r="Y6" s="101"/>
      <c r="Z6" s="74"/>
    </row>
    <row r="7" spans="4:26" ht="13" thickBot="1">
      <c r="D7">
        <v>1</v>
      </c>
      <c r="E7" s="10" t="e">
        <f>#REF!</f>
        <v>#REF!</v>
      </c>
      <c r="F7" s="9"/>
      <c r="G7" s="9" t="e">
        <f>E7</f>
        <v>#REF!</v>
      </c>
      <c r="H7" s="11"/>
      <c r="I7" s="10"/>
      <c r="J7" s="10"/>
      <c r="K7" s="10"/>
      <c r="N7">
        <v>3</v>
      </c>
      <c r="O7" s="28" t="e">
        <f>E7</f>
        <v>#REF!</v>
      </c>
      <c r="P7" t="s">
        <v>77</v>
      </c>
      <c r="Q7" s="29" t="s">
        <v>78</v>
      </c>
      <c r="R7" s="34"/>
      <c r="S7" s="102"/>
      <c r="T7" s="103"/>
      <c r="U7" s="103"/>
      <c r="V7" s="103"/>
      <c r="W7" s="103"/>
      <c r="X7" s="103"/>
      <c r="Y7" s="104"/>
      <c r="Z7" s="74"/>
    </row>
    <row r="8" spans="4:26">
      <c r="E8" s="12"/>
      <c r="F8" s="10"/>
      <c r="G8" s="10"/>
      <c r="H8" s="13"/>
      <c r="I8" s="10"/>
      <c r="J8" s="10"/>
      <c r="K8" s="10"/>
      <c r="N8">
        <v>4</v>
      </c>
      <c r="O8" s="28" t="s">
        <v>160</v>
      </c>
      <c r="P8" t="s">
        <v>77</v>
      </c>
      <c r="Q8" s="29" t="e">
        <f>E18</f>
        <v>#REF!</v>
      </c>
      <c r="R8" s="34"/>
      <c r="S8" s="37" t="s">
        <v>154</v>
      </c>
      <c r="T8" s="37" t="s">
        <v>155</v>
      </c>
      <c r="U8" s="105" t="s">
        <v>158</v>
      </c>
      <c r="V8" s="106"/>
      <c r="W8" s="52"/>
      <c r="X8" s="39" t="s">
        <v>156</v>
      </c>
      <c r="Y8" s="57"/>
      <c r="Z8" s="74"/>
    </row>
    <row r="9" spans="4:26" ht="13" thickBot="1">
      <c r="E9" s="10"/>
      <c r="F9" s="10"/>
      <c r="G9" s="10"/>
      <c r="H9" s="14" t="s">
        <v>206</v>
      </c>
      <c r="I9" s="9" t="str">
        <f>IF(OR(H7="",H11=""),"",+IF(H7&gt;H11,G7,G11))</f>
        <v/>
      </c>
      <c r="J9" s="11"/>
      <c r="K9" s="10"/>
      <c r="N9">
        <v>5</v>
      </c>
      <c r="O9" s="71" t="s">
        <v>275</v>
      </c>
      <c r="P9" t="s">
        <v>77</v>
      </c>
      <c r="Q9" s="72" t="s">
        <v>280</v>
      </c>
      <c r="R9" s="34"/>
      <c r="S9" s="40"/>
      <c r="T9" s="40" t="str">
        <f>IF($M$5="","",$M$5)</f>
        <v/>
      </c>
      <c r="U9" s="38" t="s">
        <v>159</v>
      </c>
      <c r="V9" s="48">
        <v>1</v>
      </c>
      <c r="W9" s="53" t="e">
        <f t="shared" ref="W9:W14" ca="1" si="0">LOOKUP(V9,N$5:N$78,O$5:O$13)</f>
        <v>#REF!</v>
      </c>
      <c r="X9" s="37" t="s">
        <v>157</v>
      </c>
      <c r="Y9" s="65" t="e">
        <f t="shared" ref="Y9:Y14" ca="1" si="1">LOOKUP(V9,N$5:N$78,Q$5:Q$13)</f>
        <v>#REF!</v>
      </c>
      <c r="Z9" s="74"/>
    </row>
    <row r="10" spans="4:26" ht="13" thickBot="1">
      <c r="D10">
        <v>2</v>
      </c>
      <c r="E10" s="10" t="e">
        <f>#REF!</f>
        <v>#REF!</v>
      </c>
      <c r="F10" s="11"/>
      <c r="G10" s="10"/>
      <c r="H10" s="14"/>
      <c r="I10" s="10"/>
      <c r="J10" s="13"/>
      <c r="K10" s="10"/>
      <c r="N10">
        <v>6</v>
      </c>
      <c r="O10" s="28" t="s">
        <v>161</v>
      </c>
      <c r="P10" t="s">
        <v>77</v>
      </c>
      <c r="Q10" s="29" t="s">
        <v>81</v>
      </c>
      <c r="R10" s="34"/>
      <c r="S10" s="40"/>
      <c r="T10" s="40" t="str">
        <f t="shared" ref="T10:T14" si="2">IF($M$5="","",$M$5)</f>
        <v/>
      </c>
      <c r="U10" s="38" t="s">
        <v>159</v>
      </c>
      <c r="V10" s="48">
        <v>2</v>
      </c>
      <c r="W10" s="53" t="e">
        <f t="shared" ca="1" si="0"/>
        <v>#REF!</v>
      </c>
      <c r="X10" s="37" t="s">
        <v>157</v>
      </c>
      <c r="Y10" s="65" t="e">
        <f t="shared" ca="1" si="1"/>
        <v>#REF!</v>
      </c>
      <c r="Z10" s="74"/>
    </row>
    <row r="11" spans="4:26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R11" s="34"/>
      <c r="S11" s="40"/>
      <c r="T11" s="40" t="str">
        <f t="shared" si="2"/>
        <v/>
      </c>
      <c r="U11" s="38" t="s">
        <v>159</v>
      </c>
      <c r="V11" s="48">
        <v>3</v>
      </c>
      <c r="W11" s="53" t="e">
        <f t="shared" ca="1" si="0"/>
        <v>#REF!</v>
      </c>
      <c r="X11" s="37" t="s">
        <v>157</v>
      </c>
      <c r="Y11" s="65" t="str">
        <f t="shared" ca="1" si="1"/>
        <v>Venc.J1</v>
      </c>
      <c r="Z11" s="74"/>
    </row>
    <row r="12" spans="4:26" ht="13" thickBot="1">
      <c r="D12">
        <v>3</v>
      </c>
      <c r="E12" s="10" t="e">
        <f>#REF!</f>
        <v>#REF!</v>
      </c>
      <c r="F12" s="16"/>
      <c r="G12" s="10"/>
      <c r="H12" s="10"/>
      <c r="I12" s="10"/>
      <c r="J12" s="14"/>
      <c r="K12" s="10"/>
      <c r="O12" s="29"/>
      <c r="R12" s="34"/>
      <c r="S12" s="40"/>
      <c r="T12" s="40" t="str">
        <f t="shared" si="2"/>
        <v/>
      </c>
      <c r="U12" s="38" t="s">
        <v>159</v>
      </c>
      <c r="V12" s="48">
        <v>4</v>
      </c>
      <c r="W12" s="53" t="str">
        <f t="shared" ca="1" si="0"/>
        <v>Venc.J2</v>
      </c>
      <c r="X12" s="37" t="s">
        <v>157</v>
      </c>
      <c r="Y12" s="65" t="e">
        <f t="shared" ca="1" si="1"/>
        <v>#REF!</v>
      </c>
      <c r="Z12" s="74"/>
    </row>
    <row r="13" spans="4:26" ht="13" thickBot="1">
      <c r="E13" s="12"/>
      <c r="F13" s="10"/>
      <c r="G13" s="10"/>
      <c r="H13" s="10"/>
      <c r="I13" s="77" t="s">
        <v>278</v>
      </c>
      <c r="J13" s="70" t="s">
        <v>212</v>
      </c>
      <c r="K13" s="9" t="str">
        <f>IF(OR(J9="",J17=""),"",+IF(J9&gt;J17,I9,I17))</f>
        <v/>
      </c>
      <c r="O13" s="29"/>
      <c r="R13" s="34"/>
      <c r="S13" s="40"/>
      <c r="T13" s="40" t="str">
        <f t="shared" si="2"/>
        <v/>
      </c>
      <c r="U13" s="38" t="s">
        <v>159</v>
      </c>
      <c r="V13" s="48">
        <v>5</v>
      </c>
      <c r="W13" s="53" t="str">
        <f t="shared" ca="1" si="0"/>
        <v>Perd.J3</v>
      </c>
      <c r="X13" s="37" t="s">
        <v>157</v>
      </c>
      <c r="Y13" s="65" t="str">
        <f t="shared" ca="1" si="1"/>
        <v>Perd.J4</v>
      </c>
      <c r="Z13" s="74"/>
    </row>
    <row r="14" spans="4:26" ht="13" thickBot="1">
      <c r="D14">
        <v>4</v>
      </c>
      <c r="E14" s="10" t="e">
        <f>#REF!</f>
        <v>#REF!</v>
      </c>
      <c r="F14" s="11"/>
      <c r="G14" s="10"/>
      <c r="H14" s="10"/>
      <c r="I14" s="10"/>
      <c r="J14" s="14"/>
      <c r="K14" s="10"/>
      <c r="R14" s="34"/>
      <c r="S14" s="40"/>
      <c r="T14" s="40" t="str">
        <f t="shared" si="2"/>
        <v/>
      </c>
      <c r="U14" s="38" t="s">
        <v>159</v>
      </c>
      <c r="V14" s="48">
        <v>6</v>
      </c>
      <c r="W14" s="53" t="str">
        <f t="shared" ca="1" si="0"/>
        <v>Venc.J3</v>
      </c>
      <c r="X14" s="37" t="s">
        <v>157</v>
      </c>
      <c r="Y14" s="65" t="str">
        <f t="shared" ca="1" si="1"/>
        <v>Venc.J4</v>
      </c>
      <c r="Z14" s="74"/>
    </row>
    <row r="15" spans="4:26" ht="13" thickBot="1">
      <c r="E15" s="12"/>
      <c r="F15" s="13" t="s">
        <v>204</v>
      </c>
      <c r="G15" s="9" t="str">
        <f>IF(OR(F14="",F16=""),"",+IF(F14&gt;F16,E14,E16))</f>
        <v/>
      </c>
      <c r="H15" s="11"/>
      <c r="I15" s="10"/>
      <c r="J15" s="14"/>
      <c r="K15" s="10"/>
      <c r="R15" s="42"/>
      <c r="S15" s="43"/>
      <c r="T15" s="43"/>
      <c r="U15" s="43"/>
      <c r="V15" s="61"/>
      <c r="W15" s="62"/>
      <c r="X15" s="63"/>
      <c r="Y15" s="60"/>
      <c r="Z15" s="75"/>
    </row>
    <row r="16" spans="4:26" ht="13" thickBot="1">
      <c r="D16">
        <v>5</v>
      </c>
      <c r="E16" s="9" t="e">
        <f>#REF!</f>
        <v>#REF!</v>
      </c>
      <c r="F16" s="16"/>
      <c r="G16" s="10"/>
      <c r="H16" s="13"/>
      <c r="I16" s="10"/>
      <c r="J16" s="14"/>
      <c r="K16" s="10"/>
    </row>
    <row r="17" spans="4:17" ht="13" thickBot="1">
      <c r="E17" s="10"/>
      <c r="F17" s="10"/>
      <c r="G17" s="10"/>
      <c r="H17" s="14" t="s">
        <v>208</v>
      </c>
      <c r="I17" s="9" t="str">
        <f>IF(OR(H15="",H18=""),"",+IF(H15&gt;H18,G15,E18))</f>
        <v/>
      </c>
      <c r="J17" s="16"/>
      <c r="K17" s="10"/>
    </row>
    <row r="18" spans="4:17" ht="13" thickBot="1">
      <c r="D18">
        <v>6</v>
      </c>
      <c r="E18" s="9" t="e">
        <f>#REF!</f>
        <v>#REF!</v>
      </c>
      <c r="F18" s="9"/>
      <c r="G18" s="9" t="e">
        <f>E18</f>
        <v>#REF!</v>
      </c>
      <c r="H18" s="16"/>
      <c r="I18" s="10"/>
      <c r="J18" s="10"/>
      <c r="K18" s="10"/>
    </row>
    <row r="22" spans="4:17" ht="13" thickBot="1">
      <c r="I22" s="9" t="str">
        <f>IF(OR(I9="",I17=""),"",+IF(H7&gt;H11,G11,G7))</f>
        <v/>
      </c>
      <c r="J22" s="11"/>
    </row>
    <row r="23" spans="4:17">
      <c r="I23" s="10"/>
      <c r="J23" s="13"/>
    </row>
    <row r="24" spans="4:17">
      <c r="I24" s="77" t="s">
        <v>279</v>
      </c>
      <c r="J24" s="70" t="s">
        <v>210</v>
      </c>
    </row>
    <row r="25" spans="4:17" ht="13" thickBot="1">
      <c r="I25" s="9" t="str">
        <f>IF(OR(I9="",I17=""),"",+IF(H15&gt;H18,G18,G15))</f>
        <v/>
      </c>
      <c r="J25" s="16"/>
    </row>
    <row r="29" spans="4:17">
      <c r="M29" s="28"/>
      <c r="N29" s="76"/>
      <c r="O29" s="29"/>
      <c r="Q29"/>
    </row>
    <row r="30" spans="4:17">
      <c r="G30" s="10"/>
    </row>
    <row r="31" spans="4:17">
      <c r="G31" s="10"/>
      <c r="Q31"/>
    </row>
    <row r="32" spans="4:17">
      <c r="G32" s="10"/>
      <c r="Q32"/>
    </row>
    <row r="33" spans="7:17">
      <c r="G33" s="10"/>
      <c r="Q33"/>
    </row>
    <row r="34" spans="7:17">
      <c r="Q34"/>
    </row>
  </sheetData>
  <mergeCells count="3">
    <mergeCell ref="T6:Y6"/>
    <mergeCell ref="S7:Y7"/>
    <mergeCell ref="U8:V8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Plan9"/>
  <dimension ref="D4:Z33"/>
  <sheetViews>
    <sheetView showGridLines="0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3.64453125" customWidth="1"/>
    <col min="11" max="11" width="15.64453125" customWidth="1"/>
    <col min="12" max="12" width="11.52734375" bestFit="1" customWidth="1"/>
    <col min="14" max="14" width="9.1171875"/>
    <col min="15" max="15" width="9.1171875" style="28"/>
    <col min="16" max="16" width="2.41015625" customWidth="1"/>
    <col min="17" max="17" width="9.1171875" style="29"/>
    <col min="18" max="18" width="9.1171875"/>
    <col min="19" max="19" width="7.52734375" bestFit="1" customWidth="1"/>
    <col min="20" max="20" width="6.52734375" bestFit="1" customWidth="1"/>
    <col min="21" max="21" width="2.3515625" bestFit="1" customWidth="1"/>
    <col min="22" max="22" width="3.52734375" style="10" bestFit="1" customWidth="1"/>
    <col min="23" max="23" width="15.64453125" style="28" customWidth="1"/>
    <col min="24" max="24" width="6.52734375" bestFit="1" customWidth="1"/>
    <col min="25" max="25" width="15.64453125" style="29" customWidth="1"/>
  </cols>
  <sheetData>
    <row r="4" spans="4:26" ht="13" thickBot="1"/>
    <row r="5" spans="4:26" ht="13" thickTop="1">
      <c r="L5" t="s">
        <v>311</v>
      </c>
      <c r="M5" s="82"/>
      <c r="N5">
        <v>1</v>
      </c>
      <c r="O5" s="28" t="e">
        <f>E10</f>
        <v>#REF!</v>
      </c>
      <c r="P5" t="s">
        <v>77</v>
      </c>
      <c r="Q5" s="29" t="e">
        <f>E12</f>
        <v>#REF!</v>
      </c>
      <c r="R5" s="30"/>
      <c r="S5" s="31"/>
      <c r="T5" s="31"/>
      <c r="U5" s="31"/>
      <c r="V5" s="49"/>
      <c r="W5" s="51"/>
      <c r="X5" s="31"/>
      <c r="Y5" s="56"/>
      <c r="Z5" s="73"/>
    </row>
    <row r="6" spans="4:26">
      <c r="N6">
        <v>2</v>
      </c>
      <c r="O6" s="28" t="e">
        <f>E7</f>
        <v>#REF!</v>
      </c>
      <c r="P6" t="s">
        <v>77</v>
      </c>
      <c r="Q6" s="29" t="s">
        <v>78</v>
      </c>
      <c r="R6" s="34"/>
      <c r="S6" s="35" t="s">
        <v>153</v>
      </c>
      <c r="T6" s="100"/>
      <c r="U6" s="100"/>
      <c r="V6" s="100"/>
      <c r="W6" s="100"/>
      <c r="X6" s="100"/>
      <c r="Y6" s="101"/>
      <c r="Z6" s="74"/>
    </row>
    <row r="7" spans="4:26" ht="13" thickBot="1">
      <c r="D7">
        <v>1</v>
      </c>
      <c r="E7" s="10" t="e">
        <f>#REF!</f>
        <v>#REF!</v>
      </c>
      <c r="F7" s="9"/>
      <c r="G7" s="9" t="e">
        <f>E7</f>
        <v>#REF!</v>
      </c>
      <c r="H7" s="11"/>
      <c r="I7" s="10"/>
      <c r="J7" s="10"/>
      <c r="K7" s="10"/>
      <c r="N7">
        <v>3</v>
      </c>
      <c r="O7" s="28" t="e">
        <f>E14</f>
        <v>#REF!</v>
      </c>
      <c r="P7" t="s">
        <v>77</v>
      </c>
      <c r="Q7" s="29" t="e">
        <f>E16</f>
        <v>#REF!</v>
      </c>
      <c r="R7" s="34"/>
      <c r="S7" s="102"/>
      <c r="T7" s="103"/>
      <c r="U7" s="103"/>
      <c r="V7" s="103"/>
      <c r="W7" s="103"/>
      <c r="X7" s="103"/>
      <c r="Y7" s="104"/>
      <c r="Z7" s="74"/>
    </row>
    <row r="8" spans="4:26">
      <c r="E8" s="12"/>
      <c r="F8" s="10"/>
      <c r="G8" s="10"/>
      <c r="H8" s="13"/>
      <c r="I8" s="10"/>
      <c r="J8" s="10"/>
      <c r="K8" s="10"/>
      <c r="N8">
        <v>4</v>
      </c>
      <c r="O8" s="71" t="s">
        <v>274</v>
      </c>
      <c r="P8" t="s">
        <v>77</v>
      </c>
      <c r="Q8" s="72" t="s">
        <v>275</v>
      </c>
      <c r="R8" s="34"/>
      <c r="S8" s="37" t="s">
        <v>154</v>
      </c>
      <c r="T8" s="37" t="s">
        <v>155</v>
      </c>
      <c r="U8" s="105" t="s">
        <v>158</v>
      </c>
      <c r="V8" s="106"/>
      <c r="W8" s="52"/>
      <c r="X8" s="39" t="s">
        <v>156</v>
      </c>
      <c r="Y8" s="57"/>
      <c r="Z8" s="74"/>
    </row>
    <row r="9" spans="4:26" ht="13" thickBot="1">
      <c r="E9" s="10"/>
      <c r="F9" s="10"/>
      <c r="G9" s="10"/>
      <c r="H9" s="14" t="s">
        <v>204</v>
      </c>
      <c r="I9" s="9" t="str">
        <f>IF(OR(H7="",H11=""),"",+IF(H7&gt;H11,G7,G11))</f>
        <v/>
      </c>
      <c r="J9" s="11"/>
      <c r="K9" s="10"/>
      <c r="N9">
        <v>5</v>
      </c>
      <c r="O9" s="28" t="s">
        <v>160</v>
      </c>
      <c r="P9" t="s">
        <v>77</v>
      </c>
      <c r="Q9" s="29" t="s">
        <v>161</v>
      </c>
      <c r="R9" s="34"/>
      <c r="S9" s="40"/>
      <c r="T9" s="40" t="str">
        <f>IF($M$5="","",$M$5)</f>
        <v/>
      </c>
      <c r="U9" s="38" t="s">
        <v>159</v>
      </c>
      <c r="V9" s="48">
        <v>1</v>
      </c>
      <c r="W9" s="53" t="e">
        <f ca="1">LOOKUP(V9,N$5:N$78,O$5:O$12)</f>
        <v>#REF!</v>
      </c>
      <c r="X9" s="37" t="s">
        <v>157</v>
      </c>
      <c r="Y9" s="65" t="e">
        <f ca="1">LOOKUP(V9,N$5:N$78,Q$5:Q$12)</f>
        <v>#REF!</v>
      </c>
      <c r="Z9" s="74"/>
    </row>
    <row r="10" spans="4:26" ht="13" thickBot="1">
      <c r="D10">
        <v>2</v>
      </c>
      <c r="E10" s="10" t="e">
        <f>#REF!</f>
        <v>#REF!</v>
      </c>
      <c r="F10" s="11"/>
      <c r="G10" s="10"/>
      <c r="H10" s="14"/>
      <c r="I10" s="10"/>
      <c r="J10" s="13"/>
      <c r="K10" s="10"/>
      <c r="R10" s="34"/>
      <c r="S10" s="40"/>
      <c r="T10" s="40" t="str">
        <f t="shared" ref="T10:T13" si="0">IF($M$5="","",$M$5)</f>
        <v/>
      </c>
      <c r="U10" s="38" t="s">
        <v>159</v>
      </c>
      <c r="V10" s="48">
        <v>2</v>
      </c>
      <c r="W10" s="53" t="e">
        <f ca="1">LOOKUP(V10,N$5:N$78,O$5:O$12)</f>
        <v>#REF!</v>
      </c>
      <c r="X10" s="37" t="s">
        <v>157</v>
      </c>
      <c r="Y10" s="65" t="str">
        <f ca="1">LOOKUP(V10,N$5:N$78,Q$5:Q$12)</f>
        <v>Venc.J1</v>
      </c>
      <c r="Z10" s="74"/>
    </row>
    <row r="11" spans="4:26" ht="13" thickBot="1">
      <c r="E11" s="12"/>
      <c r="F11" s="13" t="s">
        <v>202</v>
      </c>
      <c r="G11" s="9" t="str">
        <f>IF(OR(F10="",F12=""),"",+IF(F10&gt;F12,E10,E12))</f>
        <v/>
      </c>
      <c r="H11" s="16"/>
      <c r="I11" s="10"/>
      <c r="J11" s="14"/>
      <c r="K11" s="10"/>
      <c r="O11" s="29"/>
      <c r="R11" s="34"/>
      <c r="S11" s="40"/>
      <c r="T11" s="40" t="str">
        <f t="shared" si="0"/>
        <v/>
      </c>
      <c r="U11" s="38" t="s">
        <v>159</v>
      </c>
      <c r="V11" s="48">
        <v>3</v>
      </c>
      <c r="W11" s="53" t="e">
        <f ca="1">LOOKUP(V11,N$5:N$78,O$5:O$12)</f>
        <v>#REF!</v>
      </c>
      <c r="X11" s="37" t="s">
        <v>157</v>
      </c>
      <c r="Y11" s="65" t="e">
        <f ca="1">LOOKUP(V11,N$5:N$78,Q$5:Q$12)</f>
        <v>#REF!</v>
      </c>
      <c r="Z11" s="74"/>
    </row>
    <row r="12" spans="4:26" ht="13" thickBot="1">
      <c r="D12">
        <v>3</v>
      </c>
      <c r="E12" s="10" t="e">
        <f>#REF!</f>
        <v>#REF!</v>
      </c>
      <c r="F12" s="16"/>
      <c r="G12" s="10"/>
      <c r="H12" s="10"/>
      <c r="I12" s="77" t="s">
        <v>272</v>
      </c>
      <c r="J12" s="70" t="s">
        <v>210</v>
      </c>
      <c r="K12" s="9" t="str">
        <f>IF(OR(J9="",J15=""),"",+IF(J9&gt;J15,I9,I15))</f>
        <v/>
      </c>
      <c r="O12" s="29"/>
      <c r="R12" s="34"/>
      <c r="S12" s="40"/>
      <c r="T12" s="40" t="str">
        <f t="shared" si="0"/>
        <v/>
      </c>
      <c r="U12" s="38" t="s">
        <v>159</v>
      </c>
      <c r="V12" s="48">
        <v>4</v>
      </c>
      <c r="W12" s="53" t="str">
        <f ca="1">LOOKUP(V12,N$5:N$78,O$5:O$12)</f>
        <v>Perd.J2</v>
      </c>
      <c r="X12" s="37" t="s">
        <v>157</v>
      </c>
      <c r="Y12" s="65" t="str">
        <f ca="1">LOOKUP(V12,N$5:N$78,Q$5:Q$12)</f>
        <v>Perd.J3</v>
      </c>
      <c r="Z12" s="74"/>
    </row>
    <row r="13" spans="4:26">
      <c r="E13" s="12"/>
      <c r="F13" s="10"/>
      <c r="G13" s="10"/>
      <c r="H13" s="10"/>
      <c r="I13" s="10"/>
      <c r="J13" s="14"/>
      <c r="K13" s="10"/>
      <c r="R13" s="34"/>
      <c r="S13" s="40"/>
      <c r="T13" s="40" t="str">
        <f t="shared" si="0"/>
        <v/>
      </c>
      <c r="U13" s="38" t="s">
        <v>159</v>
      </c>
      <c r="V13" s="48">
        <v>5</v>
      </c>
      <c r="W13" s="53" t="str">
        <f ca="1">LOOKUP(V13,N$5:N$78,O$5:O$12)</f>
        <v>Venc.J2</v>
      </c>
      <c r="X13" s="37" t="s">
        <v>157</v>
      </c>
      <c r="Y13" s="65" t="str">
        <f ca="1">LOOKUP(V13,N$5:N$78,Q$5:Q$12)</f>
        <v>Venc.J3</v>
      </c>
      <c r="Z13" s="74"/>
    </row>
    <row r="14" spans="4:26" ht="13" thickBot="1">
      <c r="D14">
        <v>4</v>
      </c>
      <c r="E14" s="9" t="e">
        <f>#REF!</f>
        <v>#REF!</v>
      </c>
      <c r="F14" s="9"/>
      <c r="G14" s="9" t="e">
        <f>E14</f>
        <v>#REF!</v>
      </c>
      <c r="H14" s="11"/>
      <c r="I14" s="10"/>
      <c r="J14" s="14"/>
      <c r="K14" s="10"/>
      <c r="R14" s="42"/>
      <c r="S14" s="43"/>
      <c r="T14" s="43"/>
      <c r="U14" s="43"/>
      <c r="V14" s="61"/>
      <c r="W14" s="62"/>
      <c r="X14" s="63"/>
      <c r="Y14" s="60"/>
      <c r="Z14" s="75"/>
    </row>
    <row r="15" spans="4:26" ht="13" thickBot="1">
      <c r="E15" s="10"/>
      <c r="F15" s="10"/>
      <c r="G15" s="10"/>
      <c r="H15" s="13" t="s">
        <v>206</v>
      </c>
      <c r="I15" s="9" t="str">
        <f>IF(OR(H14="",H16=""),"",+IF(H14&gt;H16,E14,E16))</f>
        <v/>
      </c>
      <c r="J15" s="16"/>
      <c r="K15" s="10"/>
    </row>
    <row r="16" spans="4:26" ht="13" thickBot="1">
      <c r="D16">
        <v>5</v>
      </c>
      <c r="E16" s="9" t="e">
        <f>#REF!</f>
        <v>#REF!</v>
      </c>
      <c r="F16" s="9"/>
      <c r="G16" s="9" t="e">
        <f>E16</f>
        <v>#REF!</v>
      </c>
      <c r="H16" s="16"/>
      <c r="I16" s="10"/>
      <c r="J16" s="10"/>
      <c r="K16" s="10"/>
    </row>
    <row r="20" spans="7:11" ht="13" thickBot="1">
      <c r="I20" s="9" t="str">
        <f>IF(OR(I9="",I15=""),"",+IF(H7&gt;H11,G11,G7))</f>
        <v/>
      </c>
      <c r="J20" s="11"/>
      <c r="K20" s="10"/>
    </row>
    <row r="21" spans="7:11">
      <c r="I21" s="10"/>
      <c r="J21" s="13"/>
      <c r="K21" s="10"/>
    </row>
    <row r="22" spans="7:11">
      <c r="I22" s="10"/>
      <c r="J22" s="14"/>
      <c r="K22" s="10"/>
    </row>
    <row r="23" spans="7:11" ht="13" thickBot="1">
      <c r="I23" s="77" t="s">
        <v>271</v>
      </c>
      <c r="J23" s="14" t="s">
        <v>208</v>
      </c>
      <c r="K23" s="9" t="str">
        <f>IF(OR(J20="",J26=""),"",+IF(J20&gt;J26,I20,I26))</f>
        <v/>
      </c>
    </row>
    <row r="24" spans="7:11">
      <c r="I24" s="10"/>
      <c r="J24" s="14"/>
      <c r="K24" s="10"/>
    </row>
    <row r="25" spans="7:11">
      <c r="I25" s="10"/>
      <c r="J25" s="14"/>
      <c r="K25" s="10"/>
    </row>
    <row r="26" spans="7:11" ht="13" thickBot="1">
      <c r="I26" s="9" t="str">
        <f>IF(OR(I9="",I15=""),"",+IF(H14&gt;H16,G16,G14))</f>
        <v/>
      </c>
      <c r="J26" s="16"/>
      <c r="K26" s="10"/>
    </row>
    <row r="27" spans="7:11">
      <c r="I27" s="10"/>
      <c r="J27" s="10"/>
      <c r="K27" s="10"/>
    </row>
    <row r="30" spans="7:11">
      <c r="G30" s="10"/>
    </row>
    <row r="31" spans="7:11">
      <c r="G31" s="10"/>
    </row>
    <row r="32" spans="7:11">
      <c r="G32" s="10"/>
    </row>
    <row r="33" spans="7:7">
      <c r="G33" s="10"/>
    </row>
  </sheetData>
  <mergeCells count="3">
    <mergeCell ref="T6:Y6"/>
    <mergeCell ref="S7:Y7"/>
    <mergeCell ref="U8:V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Plan10"/>
  <dimension ref="D4:X31"/>
  <sheetViews>
    <sheetView showGridLines="0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style="10" customWidth="1"/>
    <col min="8" max="8" width="3.64453125" customWidth="1"/>
    <col min="9" max="9" width="15.64453125" customWidth="1"/>
    <col min="10" max="10" width="11.52734375" bestFit="1" customWidth="1"/>
    <col min="12" max="12" width="9.1171875"/>
    <col min="13" max="13" width="9.1171875" style="28"/>
    <col min="14" max="14" width="2.41015625" customWidth="1"/>
    <col min="15" max="15" width="9.1171875" style="29"/>
    <col min="16" max="16" width="9.1171875"/>
    <col min="17" max="17" width="7.52734375" bestFit="1" customWidth="1"/>
    <col min="18" max="18" width="6.52734375" bestFit="1" customWidth="1"/>
    <col min="19" max="19" width="2.3515625" bestFit="1" customWidth="1"/>
    <col min="20" max="20" width="3.52734375" style="10" bestFit="1" customWidth="1"/>
    <col min="21" max="21" width="15.64453125" style="28" customWidth="1"/>
    <col min="22" max="22" width="6.52734375" bestFit="1" customWidth="1"/>
    <col min="23" max="23" width="15.64453125" style="29" customWidth="1"/>
  </cols>
  <sheetData>
    <row r="4" spans="4:24" ht="13" thickBot="1"/>
    <row r="5" spans="4:24" ht="13" thickTop="1">
      <c r="J5" t="s">
        <v>311</v>
      </c>
      <c r="K5" s="82"/>
      <c r="L5">
        <v>1</v>
      </c>
      <c r="M5" s="28" t="e">
        <f>E8</f>
        <v>#REF!</v>
      </c>
      <c r="N5" t="s">
        <v>77</v>
      </c>
      <c r="O5" s="29" t="e">
        <f>E10</f>
        <v>#REF!</v>
      </c>
      <c r="P5" s="30"/>
      <c r="Q5" s="31"/>
      <c r="R5" s="31"/>
      <c r="S5" s="31"/>
      <c r="T5" s="49"/>
      <c r="U5" s="51"/>
      <c r="V5" s="31"/>
      <c r="W5" s="56"/>
      <c r="X5" s="73"/>
    </row>
    <row r="6" spans="4:24">
      <c r="L6">
        <v>2</v>
      </c>
      <c r="M6" s="28" t="e">
        <f>E12</f>
        <v>#REF!</v>
      </c>
      <c r="N6" t="s">
        <v>77</v>
      </c>
      <c r="O6" s="29" t="e">
        <f>E14</f>
        <v>#REF!</v>
      </c>
      <c r="P6" s="34"/>
      <c r="Q6" s="35" t="s">
        <v>153</v>
      </c>
      <c r="R6" s="100"/>
      <c r="S6" s="100"/>
      <c r="T6" s="100"/>
      <c r="U6" s="100"/>
      <c r="V6" s="100"/>
      <c r="W6" s="101"/>
      <c r="X6" s="74"/>
    </row>
    <row r="7" spans="4:24">
      <c r="L7">
        <v>3</v>
      </c>
      <c r="M7" s="71" t="s">
        <v>273</v>
      </c>
      <c r="N7" t="s">
        <v>77</v>
      </c>
      <c r="O7" s="72" t="s">
        <v>274</v>
      </c>
      <c r="P7" s="34"/>
      <c r="Q7" s="102"/>
      <c r="R7" s="103"/>
      <c r="S7" s="103"/>
      <c r="T7" s="103"/>
      <c r="U7" s="103"/>
      <c r="V7" s="103"/>
      <c r="W7" s="104"/>
      <c r="X7" s="74"/>
    </row>
    <row r="8" spans="4:24" ht="13" thickBot="1">
      <c r="D8">
        <v>1</v>
      </c>
      <c r="E8" s="10" t="e">
        <f>#REF!</f>
        <v>#REF!</v>
      </c>
      <c r="F8" s="11"/>
      <c r="H8" s="10"/>
      <c r="I8" s="10"/>
      <c r="L8">
        <v>4</v>
      </c>
      <c r="M8" s="28" t="s">
        <v>78</v>
      </c>
      <c r="N8" t="s">
        <v>77</v>
      </c>
      <c r="O8" s="29" t="s">
        <v>160</v>
      </c>
      <c r="P8" s="34"/>
      <c r="Q8" s="37" t="s">
        <v>154</v>
      </c>
      <c r="R8" s="37" t="s">
        <v>155</v>
      </c>
      <c r="S8" s="105" t="s">
        <v>158</v>
      </c>
      <c r="T8" s="106"/>
      <c r="U8" s="52"/>
      <c r="V8" s="39" t="s">
        <v>156</v>
      </c>
      <c r="W8" s="57"/>
      <c r="X8" s="74"/>
    </row>
    <row r="9" spans="4:24" ht="13" thickBot="1">
      <c r="E9" s="12"/>
      <c r="F9" s="13" t="s">
        <v>202</v>
      </c>
      <c r="G9" s="9" t="str">
        <f>IF(OR(F8="",F10=""),"",+IF(F8&gt;F10,E8,E10))</f>
        <v/>
      </c>
      <c r="H9" s="17"/>
      <c r="I9" s="10"/>
      <c r="P9" s="34"/>
      <c r="Q9" s="40"/>
      <c r="R9" s="40" t="str">
        <f>IF($K$5="","",$K$5)</f>
        <v/>
      </c>
      <c r="S9" s="38" t="s">
        <v>159</v>
      </c>
      <c r="T9" s="48">
        <v>1</v>
      </c>
      <c r="U9" s="53" t="e">
        <f ca="1">LOOKUP(T9,L$5:L$78,M$5:M$11)</f>
        <v>#REF!</v>
      </c>
      <c r="V9" s="37" t="s">
        <v>157</v>
      </c>
      <c r="W9" s="65" t="e">
        <f ca="1">LOOKUP(T9,L$5:L$78,O$5:O$11)</f>
        <v>#REF!</v>
      </c>
      <c r="X9" s="74"/>
    </row>
    <row r="10" spans="4:24" ht="13" thickBot="1">
      <c r="D10">
        <v>2</v>
      </c>
      <c r="E10" s="10" t="e">
        <f>#REF!</f>
        <v>#REF!</v>
      </c>
      <c r="F10" s="16"/>
      <c r="H10" s="14"/>
      <c r="I10" s="10"/>
      <c r="M10" s="29"/>
      <c r="P10" s="34"/>
      <c r="Q10" s="40"/>
      <c r="R10" s="40" t="str">
        <f t="shared" ref="R10:R12" si="0">IF($K$5="","",$K$5)</f>
        <v/>
      </c>
      <c r="S10" s="38" t="s">
        <v>159</v>
      </c>
      <c r="T10" s="48">
        <v>2</v>
      </c>
      <c r="U10" s="53" t="e">
        <f ca="1">LOOKUP(T10,L$5:L$78,M$5:M$11)</f>
        <v>#REF!</v>
      </c>
      <c r="V10" s="37" t="s">
        <v>157</v>
      </c>
      <c r="W10" s="65" t="e">
        <f ca="1">LOOKUP(T10,L$5:L$78,O$5:O$11)</f>
        <v>#REF!</v>
      </c>
      <c r="X10" s="74"/>
    </row>
    <row r="11" spans="4:24" ht="13" thickBot="1">
      <c r="E11" s="12"/>
      <c r="F11" s="10"/>
      <c r="G11" s="77" t="s">
        <v>272</v>
      </c>
      <c r="H11" s="70" t="s">
        <v>208</v>
      </c>
      <c r="I11" s="9" t="str">
        <f>IF(OR(H9="",H13=""),"",+IF(H9&gt;H13,G9,G13))</f>
        <v/>
      </c>
      <c r="M11" s="29"/>
      <c r="P11" s="34"/>
      <c r="Q11" s="40"/>
      <c r="R11" s="40" t="str">
        <f t="shared" si="0"/>
        <v/>
      </c>
      <c r="S11" s="38" t="s">
        <v>159</v>
      </c>
      <c r="T11" s="48">
        <v>3</v>
      </c>
      <c r="U11" s="53" t="str">
        <f ca="1">LOOKUP(T11,L$5:L$78,M$5:M$11)</f>
        <v>Perd.J1</v>
      </c>
      <c r="V11" s="37" t="s">
        <v>157</v>
      </c>
      <c r="W11" s="65" t="str">
        <f ca="1">LOOKUP(T11,L$5:L$78,O$5:O$11)</f>
        <v>Perd.J2</v>
      </c>
      <c r="X11" s="74"/>
    </row>
    <row r="12" spans="4:24" ht="13" thickBot="1">
      <c r="D12">
        <v>3</v>
      </c>
      <c r="E12" s="10" t="e">
        <f>#REF!</f>
        <v>#REF!</v>
      </c>
      <c r="F12" s="11"/>
      <c r="H12" s="14"/>
      <c r="I12" s="10"/>
      <c r="P12" s="34"/>
      <c r="Q12" s="40"/>
      <c r="R12" s="40" t="str">
        <f t="shared" si="0"/>
        <v/>
      </c>
      <c r="S12" s="38" t="s">
        <v>159</v>
      </c>
      <c r="T12" s="48">
        <v>4</v>
      </c>
      <c r="U12" s="53" t="str">
        <f ca="1">LOOKUP(T12,L$5:L$78,M$5:M$11)</f>
        <v>Venc.J1</v>
      </c>
      <c r="V12" s="37" t="s">
        <v>157</v>
      </c>
      <c r="W12" s="65" t="str">
        <f ca="1">LOOKUP(T12,L$5:L$78,O$5:O$11)</f>
        <v>Venc.J2</v>
      </c>
      <c r="X12" s="74"/>
    </row>
    <row r="13" spans="4:24" ht="13" thickBot="1">
      <c r="E13" s="12"/>
      <c r="F13" s="13" t="s">
        <v>204</v>
      </c>
      <c r="G13" s="9" t="str">
        <f>IF(OR(F12="",F14=""),"",+IF(F12&gt;F14,E12,E14))</f>
        <v/>
      </c>
      <c r="H13" s="16"/>
      <c r="I13" s="10"/>
      <c r="P13" s="42"/>
      <c r="Q13" s="43"/>
      <c r="R13" s="43"/>
      <c r="S13" s="43"/>
      <c r="T13" s="61"/>
      <c r="U13" s="62"/>
      <c r="V13" s="63"/>
      <c r="W13" s="60"/>
      <c r="X13" s="75"/>
    </row>
    <row r="14" spans="4:24" ht="13" thickBot="1">
      <c r="D14">
        <v>4</v>
      </c>
      <c r="E14" s="10" t="e">
        <f>#REF!</f>
        <v>#REF!</v>
      </c>
      <c r="F14" s="16"/>
      <c r="H14" s="10"/>
      <c r="I14" s="10"/>
    </row>
    <row r="15" spans="4:24">
      <c r="E15" s="3"/>
    </row>
    <row r="18" spans="7:9" ht="13" thickBot="1">
      <c r="G18" s="10" t="str">
        <f>IF(OR(G9="",G13=""),"",+IF(F8&gt;F10,E10,E8))</f>
        <v/>
      </c>
      <c r="H18" s="17"/>
    </row>
    <row r="19" spans="7:9">
      <c r="G19" s="12"/>
      <c r="H19" s="13"/>
      <c r="I19" s="10"/>
    </row>
    <row r="20" spans="7:9" ht="13" thickBot="1">
      <c r="G20" s="77" t="s">
        <v>271</v>
      </c>
      <c r="H20" s="14" t="s">
        <v>206</v>
      </c>
      <c r="I20" s="9" t="str">
        <f>IF(OR(H18="",H22=""),"",+IF(H18&gt;H22,G18,G22))</f>
        <v/>
      </c>
    </row>
    <row r="21" spans="7:9">
      <c r="H21" s="14"/>
      <c r="I21" s="10"/>
    </row>
    <row r="22" spans="7:9" ht="13" thickBot="1">
      <c r="G22" s="9" t="str">
        <f>IF(OR(G9="",G13=""),"",+IF(F12&gt;F14,E14,E12))</f>
        <v/>
      </c>
      <c r="H22" s="16"/>
      <c r="I22" s="10"/>
    </row>
    <row r="28" spans="7:9">
      <c r="G28" s="10" t="s">
        <v>317</v>
      </c>
      <c r="H28" s="96">
        <v>1</v>
      </c>
    </row>
    <row r="29" spans="7:9">
      <c r="G29" s="10" t="s">
        <v>318</v>
      </c>
      <c r="H29" s="96">
        <v>4</v>
      </c>
    </row>
    <row r="30" spans="7:9">
      <c r="G30" s="10" t="s">
        <v>319</v>
      </c>
      <c r="H30" s="96">
        <f>4/2+1</f>
        <v>3</v>
      </c>
    </row>
    <row r="31" spans="7:9">
      <c r="G31" s="10" t="s">
        <v>320</v>
      </c>
      <c r="H31" s="96">
        <f>4/2</f>
        <v>2</v>
      </c>
    </row>
  </sheetData>
  <mergeCells count="3">
    <mergeCell ref="R6:W6"/>
    <mergeCell ref="Q7:W7"/>
    <mergeCell ref="S8:T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Plan11"/>
  <dimension ref="D4:X14"/>
  <sheetViews>
    <sheetView showGridLines="0" zoomScale="75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11.52734375" bestFit="1" customWidth="1"/>
    <col min="12" max="12" width="9.1171875"/>
    <col min="13" max="13" width="9.1171875" style="28"/>
    <col min="14" max="14" width="2.41015625" customWidth="1"/>
    <col min="15" max="15" width="9.1171875" style="29"/>
    <col min="16" max="16" width="9.1171875"/>
    <col min="17" max="17" width="7.52734375" bestFit="1" customWidth="1"/>
    <col min="18" max="18" width="6.52734375" bestFit="1" customWidth="1"/>
    <col min="19" max="19" width="2.3515625" bestFit="1" customWidth="1"/>
    <col min="20" max="20" width="3.52734375" style="10" bestFit="1" customWidth="1"/>
    <col min="21" max="21" width="15.64453125" style="28" customWidth="1"/>
    <col min="22" max="22" width="6.52734375" bestFit="1" customWidth="1"/>
    <col min="23" max="23" width="15.64453125" style="29" customWidth="1"/>
  </cols>
  <sheetData>
    <row r="4" spans="4:24" ht="13" thickBot="1"/>
    <row r="5" spans="4:24" ht="13" thickTop="1">
      <c r="J5" t="s">
        <v>311</v>
      </c>
      <c r="K5" s="82"/>
      <c r="L5">
        <v>1</v>
      </c>
      <c r="M5" s="28">
        <f>E11</f>
        <v>0</v>
      </c>
      <c r="N5" t="s">
        <v>77</v>
      </c>
      <c r="O5" s="29">
        <f>E13</f>
        <v>0</v>
      </c>
      <c r="P5" s="30"/>
      <c r="Q5" s="31"/>
      <c r="R5" s="31"/>
      <c r="S5" s="31"/>
      <c r="T5" s="49"/>
      <c r="U5" s="51"/>
      <c r="V5" s="31"/>
      <c r="W5" s="56"/>
      <c r="X5" s="73"/>
    </row>
    <row r="6" spans="4:24">
      <c r="L6">
        <v>2</v>
      </c>
      <c r="M6" s="28">
        <f>E8</f>
        <v>0</v>
      </c>
      <c r="N6" t="s">
        <v>77</v>
      </c>
      <c r="O6" s="29" t="s">
        <v>78</v>
      </c>
      <c r="P6" s="34"/>
      <c r="Q6" s="35" t="s">
        <v>153</v>
      </c>
      <c r="R6" s="100"/>
      <c r="S6" s="100"/>
      <c r="T6" s="100"/>
      <c r="U6" s="100"/>
      <c r="V6" s="100"/>
      <c r="W6" s="101"/>
      <c r="X6" s="74"/>
    </row>
    <row r="7" spans="4:24">
      <c r="P7" s="34"/>
      <c r="Q7" s="102"/>
      <c r="R7" s="103"/>
      <c r="S7" s="103"/>
      <c r="T7" s="103"/>
      <c r="U7" s="103"/>
      <c r="V7" s="103"/>
      <c r="W7" s="104"/>
      <c r="X7" s="74"/>
    </row>
    <row r="8" spans="4:24" ht="13" thickBot="1">
      <c r="D8">
        <v>1</v>
      </c>
      <c r="E8" s="10"/>
      <c r="F8" s="9"/>
      <c r="G8" s="9"/>
      <c r="H8" s="10"/>
      <c r="I8" s="10"/>
      <c r="P8" s="34"/>
      <c r="Q8" s="37" t="s">
        <v>154</v>
      </c>
      <c r="R8" s="37" t="s">
        <v>155</v>
      </c>
      <c r="S8" s="105" t="s">
        <v>158</v>
      </c>
      <c r="T8" s="106"/>
      <c r="U8" s="52"/>
      <c r="V8" s="39" t="s">
        <v>156</v>
      </c>
      <c r="W8" s="57"/>
      <c r="X8" s="74"/>
    </row>
    <row r="9" spans="4:24">
      <c r="E9" s="12"/>
      <c r="F9" s="10"/>
      <c r="G9" s="10"/>
      <c r="H9" s="13"/>
      <c r="I9" s="10"/>
      <c r="M9" s="29"/>
      <c r="P9" s="34"/>
      <c r="Q9" s="40"/>
      <c r="R9" s="40" t="str">
        <f>IF($K$5="","",$K$5)</f>
        <v/>
      </c>
      <c r="S9" s="38" t="s">
        <v>159</v>
      </c>
      <c r="T9" s="48">
        <v>1</v>
      </c>
      <c r="U9" s="53">
        <f ca="1">LOOKUP(T9,L$5:L$78,M$5:M$10)</f>
        <v>0</v>
      </c>
      <c r="V9" s="37" t="s">
        <v>157</v>
      </c>
      <c r="W9" s="65">
        <f ca="1">LOOKUP(T9,L$5:L$78,O$5:O$10)</f>
        <v>0</v>
      </c>
      <c r="X9" s="74"/>
    </row>
    <row r="10" spans="4:24" ht="13" thickBot="1">
      <c r="E10" s="10"/>
      <c r="F10" s="10"/>
      <c r="G10" s="10"/>
      <c r="H10" s="14" t="s">
        <v>204</v>
      </c>
      <c r="I10" s="9" t="str">
        <f>IF(OR(H8="",H12=""),"",+IF(H8&gt;H12,G8,G12))</f>
        <v/>
      </c>
      <c r="M10" s="29"/>
      <c r="P10" s="34"/>
      <c r="Q10" s="40"/>
      <c r="R10" s="40" t="str">
        <f>IF($K$5="","",$K$5)</f>
        <v/>
      </c>
      <c r="S10" s="38" t="s">
        <v>159</v>
      </c>
      <c r="T10" s="48">
        <v>2</v>
      </c>
      <c r="U10" s="53">
        <f ca="1">LOOKUP(T10,L$5:L$78,M$5:M$10)</f>
        <v>0</v>
      </c>
      <c r="V10" s="37" t="s">
        <v>157</v>
      </c>
      <c r="W10" s="65" t="str">
        <f ca="1">LOOKUP(T10,L$5:L$78,O$5:O$10)</f>
        <v>Venc.J1</v>
      </c>
      <c r="X10" s="74"/>
    </row>
    <row r="11" spans="4:24" ht="13" thickBot="1">
      <c r="D11">
        <v>2</v>
      </c>
      <c r="E11" s="10"/>
      <c r="F11" s="10"/>
      <c r="G11" s="10"/>
      <c r="H11" s="14"/>
      <c r="I11" s="10"/>
      <c r="P11" s="42"/>
      <c r="Q11" s="43"/>
      <c r="R11" s="43"/>
      <c r="S11" s="43"/>
      <c r="T11" s="61"/>
      <c r="U11" s="62"/>
      <c r="V11" s="63"/>
      <c r="W11" s="60"/>
      <c r="X11" s="75"/>
    </row>
    <row r="12" spans="4:24" ht="13.35" thickTop="1" thickBot="1">
      <c r="E12" s="12"/>
      <c r="F12" s="13" t="s">
        <v>202</v>
      </c>
      <c r="G12" s="9" t="str">
        <f>IF(OR(F11="",F13=""),"",+IF(F11&gt;F13,E11,E13))</f>
        <v/>
      </c>
      <c r="H12" s="67"/>
      <c r="I12" s="10"/>
    </row>
    <row r="13" spans="4:24" ht="13" thickBot="1">
      <c r="D13">
        <v>3</v>
      </c>
      <c r="E13" s="10"/>
      <c r="F13" s="67"/>
      <c r="G13" s="10"/>
      <c r="H13" s="10"/>
      <c r="I13" s="10"/>
    </row>
    <row r="14" spans="4:24">
      <c r="E14" s="3"/>
    </row>
  </sheetData>
  <mergeCells count="3">
    <mergeCell ref="R6:W6"/>
    <mergeCell ref="Q7:W7"/>
    <mergeCell ref="S8:T8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Planilha1"/>
  <dimension ref="D4:X13"/>
  <sheetViews>
    <sheetView showGridLines="0" workbookViewId="0">
      <selection activeCell="I14" sqref="I14"/>
    </sheetView>
  </sheetViews>
  <sheetFormatPr defaultRowHeight="12.7"/>
  <cols>
    <col min="5" max="5" width="12.41015625" customWidth="1"/>
    <col min="6" max="6" width="3.64453125" customWidth="1"/>
    <col min="7" max="7" width="15.64453125" customWidth="1"/>
    <col min="8" max="8" width="3.64453125" customWidth="1"/>
    <col min="9" max="9" width="15.64453125" customWidth="1"/>
    <col min="10" max="10" width="11.52734375" bestFit="1" customWidth="1"/>
    <col min="12" max="12" width="9.1171875"/>
    <col min="13" max="13" width="9.1171875" style="28"/>
    <col min="14" max="14" width="2.41015625" customWidth="1"/>
    <col min="15" max="15" width="9.1171875" style="29"/>
    <col min="16" max="16" width="9.1171875"/>
    <col min="17" max="17" width="7.52734375" bestFit="1" customWidth="1"/>
    <col min="18" max="18" width="6.52734375" bestFit="1" customWidth="1"/>
    <col min="19" max="19" width="2.3515625" bestFit="1" customWidth="1"/>
    <col min="20" max="20" width="3.52734375" style="10" bestFit="1" customWidth="1"/>
    <col min="21" max="21" width="15.64453125" style="28" customWidth="1"/>
    <col min="22" max="22" width="6.52734375" bestFit="1" customWidth="1"/>
    <col min="23" max="23" width="15.64453125" style="29" customWidth="1"/>
  </cols>
  <sheetData>
    <row r="4" spans="4:24" ht="13" thickBot="1"/>
    <row r="5" spans="4:24" ht="13" thickTop="1">
      <c r="J5" t="s">
        <v>311</v>
      </c>
      <c r="L5">
        <v>1</v>
      </c>
      <c r="N5" t="s">
        <v>77</v>
      </c>
      <c r="P5" s="30"/>
      <c r="Q5" s="31"/>
      <c r="R5" s="31"/>
      <c r="S5" s="31"/>
      <c r="T5" s="49"/>
      <c r="U5" s="51"/>
      <c r="V5" s="31"/>
      <c r="W5" s="56"/>
      <c r="X5" s="73"/>
    </row>
    <row r="6" spans="4:24">
      <c r="P6" s="34"/>
      <c r="Q6" s="35" t="s">
        <v>153</v>
      </c>
      <c r="R6" s="100"/>
      <c r="S6" s="100"/>
      <c r="T6" s="100"/>
      <c r="U6" s="100"/>
      <c r="V6" s="100"/>
      <c r="W6" s="101"/>
      <c r="X6" s="74"/>
    </row>
    <row r="7" spans="4:24">
      <c r="P7" s="34"/>
      <c r="Q7" s="102"/>
      <c r="R7" s="103"/>
      <c r="S7" s="103"/>
      <c r="T7" s="103"/>
      <c r="U7" s="103"/>
      <c r="V7" s="103"/>
      <c r="W7" s="104"/>
      <c r="X7" s="74"/>
    </row>
    <row r="8" spans="4:24" ht="13" thickBot="1">
      <c r="D8">
        <v>1</v>
      </c>
      <c r="E8" s="10" t="e">
        <f>#REF!</f>
        <v>#REF!</v>
      </c>
      <c r="F8" s="91"/>
      <c r="G8" s="10"/>
      <c r="H8" s="10"/>
      <c r="I8" s="10"/>
      <c r="P8" s="34"/>
      <c r="Q8" s="37" t="s">
        <v>154</v>
      </c>
      <c r="R8" s="37" t="s">
        <v>155</v>
      </c>
      <c r="S8" s="105" t="s">
        <v>158</v>
      </c>
      <c r="T8" s="106"/>
      <c r="U8" s="52"/>
      <c r="V8" s="39" t="s">
        <v>156</v>
      </c>
      <c r="W8" s="57"/>
      <c r="X8" s="74"/>
    </row>
    <row r="9" spans="4:24">
      <c r="E9" s="12"/>
      <c r="F9" s="13"/>
      <c r="G9" s="10"/>
      <c r="H9" s="10"/>
      <c r="I9" s="10"/>
      <c r="M9" s="29"/>
      <c r="P9" s="34"/>
      <c r="Q9" s="40"/>
      <c r="R9" s="40" t="str">
        <f>IF($K$5="","",$K$5)</f>
        <v/>
      </c>
      <c r="S9" s="38" t="s">
        <v>159</v>
      </c>
      <c r="T9" s="48">
        <v>1</v>
      </c>
      <c r="U9" s="53">
        <f ca="1">LOOKUP(T9,L$5:L$78,M$5:M$10)</f>
        <v>0</v>
      </c>
      <c r="V9" s="37" t="s">
        <v>157</v>
      </c>
      <c r="W9" s="65">
        <f ca="1">LOOKUP(T9,L$5:L$78,O$5:O$10)</f>
        <v>0</v>
      </c>
      <c r="X9" s="74"/>
    </row>
    <row r="10" spans="4:24" ht="13" thickBot="1">
      <c r="E10" s="10"/>
      <c r="F10" s="14"/>
      <c r="G10" s="10"/>
      <c r="H10" s="10"/>
      <c r="I10" s="10"/>
      <c r="M10" s="29"/>
      <c r="P10" s="34"/>
      <c r="Q10" s="89"/>
      <c r="R10" s="89"/>
      <c r="S10" s="89"/>
      <c r="T10" s="87"/>
      <c r="U10" s="88"/>
      <c r="V10" s="94"/>
      <c r="W10" s="95"/>
      <c r="X10" s="74"/>
    </row>
    <row r="11" spans="4:24" ht="13" thickBot="1">
      <c r="E11" s="10"/>
      <c r="F11" s="14"/>
      <c r="G11" s="90"/>
      <c r="H11" s="10"/>
      <c r="I11" s="10"/>
      <c r="P11" s="42"/>
      <c r="Q11" s="43"/>
      <c r="R11" s="43"/>
      <c r="S11" s="43"/>
      <c r="T11" s="85"/>
      <c r="U11" s="93"/>
      <c r="V11" s="43"/>
      <c r="W11" s="60"/>
      <c r="X11" s="75"/>
    </row>
    <row r="12" spans="4:24" ht="13.35" thickTop="1" thickBot="1">
      <c r="D12">
        <v>2</v>
      </c>
      <c r="E12" s="9" t="e">
        <f>#REF!</f>
        <v>#REF!</v>
      </c>
      <c r="F12" s="92"/>
      <c r="G12" s="10"/>
      <c r="H12" s="10"/>
      <c r="I12" s="10"/>
    </row>
    <row r="13" spans="4:24">
      <c r="H13" s="10"/>
      <c r="I13" s="10"/>
    </row>
  </sheetData>
  <mergeCells count="3">
    <mergeCell ref="R6:W6"/>
    <mergeCell ref="Q7:W7"/>
    <mergeCell ref="S8:T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76</vt:i4>
      </vt:variant>
    </vt:vector>
  </HeadingPairs>
  <TitlesOfParts>
    <vt:vector size="76" baseType="lpstr">
      <vt:lpstr>77</vt:lpstr>
      <vt:lpstr>76</vt:lpstr>
      <vt:lpstr>75</vt:lpstr>
      <vt:lpstr>74</vt:lpstr>
      <vt:lpstr>73</vt:lpstr>
      <vt:lpstr>72</vt:lpstr>
      <vt:lpstr>71</vt:lpstr>
      <vt:lpstr>70</vt:lpstr>
      <vt:lpstr>69</vt:lpstr>
      <vt:lpstr>68</vt:lpstr>
      <vt:lpstr>67</vt:lpstr>
      <vt:lpstr>66</vt:lpstr>
      <vt:lpstr>65</vt:lpstr>
      <vt:lpstr>64</vt:lpstr>
      <vt:lpstr>63</vt:lpstr>
      <vt:lpstr>62</vt:lpstr>
      <vt:lpstr>61</vt:lpstr>
      <vt:lpstr>60</vt:lpstr>
      <vt:lpstr>59</vt:lpstr>
      <vt:lpstr>58</vt:lpstr>
      <vt:lpstr>57</vt:lpstr>
      <vt:lpstr>56</vt:lpstr>
      <vt:lpstr>55</vt:lpstr>
      <vt:lpstr>54</vt:lpstr>
      <vt:lpstr>53</vt:lpstr>
      <vt:lpstr>52</vt:lpstr>
      <vt:lpstr>51</vt:lpstr>
      <vt:lpstr>50</vt:lpstr>
      <vt:lpstr>49</vt:lpstr>
      <vt:lpstr>48</vt:lpstr>
      <vt:lpstr>47</vt:lpstr>
      <vt:lpstr>46</vt:lpstr>
      <vt:lpstr>45</vt:lpstr>
      <vt:lpstr>44</vt:lpstr>
      <vt:lpstr>43</vt:lpstr>
      <vt:lpstr>42</vt:lpstr>
      <vt:lpstr>41</vt:lpstr>
      <vt:lpstr>40</vt:lpstr>
      <vt:lpstr>39</vt:lpstr>
      <vt:lpstr>38</vt:lpstr>
      <vt:lpstr>37</vt:lpstr>
      <vt:lpstr>36</vt:lpstr>
      <vt:lpstr>35</vt:lpstr>
      <vt:lpstr>34</vt:lpstr>
      <vt:lpstr>33</vt:lpstr>
      <vt:lpstr>32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02</vt:lpstr>
    </vt:vector>
  </TitlesOfParts>
  <Company>Particular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alemao</dc:creator>
  <cp:lastModifiedBy>Wagner Marrane</cp:lastModifiedBy>
  <cp:lastPrinted>2011-05-18T13:15:23Z</cp:lastPrinted>
  <dcterms:created xsi:type="dcterms:W3CDTF">2002-06-01T19:20:24Z</dcterms:created>
  <dcterms:modified xsi:type="dcterms:W3CDTF">2026-06-08T15:32:50Z</dcterms:modified>
</cp:coreProperties>
</file>